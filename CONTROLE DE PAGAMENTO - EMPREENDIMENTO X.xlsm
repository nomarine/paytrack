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afae\OneDrive\Documentos\Job\Ana Nunes (Contabilidade)\"/>
    </mc:Choice>
  </mc:AlternateContent>
  <xr:revisionPtr revIDLastSave="0" documentId="13_ncr:1_{69067F35-9993-403F-8D9C-E54462F09BC1}" xr6:coauthVersionLast="47" xr6:coauthVersionMax="47" xr10:uidLastSave="{00000000-0000-0000-0000-000000000000}"/>
  <bookViews>
    <workbookView xWindow="810" yWindow="-120" windowWidth="19800" windowHeight="11760" tabRatio="808" activeTab="2" xr2:uid="{00000000-000D-0000-FFFF-FFFF00000000}"/>
  </bookViews>
  <sheets>
    <sheet name="ESTOQUE " sheetId="6" r:id="rId1"/>
    <sheet name="CUSTOS REALIZADOS" sheetId="5" r:id="rId2"/>
    <sheet name="CLIENTES" sheetId="8" r:id="rId3"/>
    <sheet name="VALORES A CONTABILIZAR " sheetId="14" r:id="rId4"/>
    <sheet name="RESUMO" sheetId="21" r:id="rId5"/>
    <sheet name="DISTRATOS" sheetId="15" r:id="rId6"/>
    <sheet name="INCC" sheetId="16" r:id="rId7"/>
  </sheets>
  <functionGroups builtInGroupCount="19"/>
  <definedNames>
    <definedName name="_xlnm._FilterDatabase" localSheetId="0" hidden="1">'ESTOQUE '!$B$8:$N$80</definedName>
    <definedName name="_xlnm.Print_Area" localSheetId="2">CLIENTES!$B$3:$BN$258</definedName>
    <definedName name="_xlnm.Print_Area" localSheetId="3">'VALORES A CONTABILIZAR '!$B$1:$BL$56</definedName>
    <definedName name="_xlnm.Print_Titles" localSheetId="2">CLIENTES!$C:$E,CLIENTES!$4:$5</definedName>
    <definedName name="_xlnm.Print_Titles" localSheetId="3">'VALORES A CONTABILIZAR '!$5:$5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VRC00200_JAVA_5a40ec3e-756a-4e56-9405-aa0852c5b652" name="VRC00200_JAVA" connection="Excel RECEBIMENTO OUTUBRO DE 20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8" l="1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F3" i="8"/>
  <c r="F29" i="8"/>
  <c r="F37" i="8"/>
  <c r="G15" i="8"/>
  <c r="F269" i="8"/>
  <c r="F261" i="8"/>
  <c r="F253" i="8"/>
  <c r="F245" i="8"/>
  <c r="F237" i="8"/>
  <c r="F229" i="8"/>
  <c r="F221" i="8"/>
  <c r="F213" i="8"/>
  <c r="F205" i="8"/>
  <c r="F197" i="8"/>
  <c r="F189" i="8"/>
  <c r="F181" i="8"/>
  <c r="F173" i="8"/>
  <c r="F165" i="8"/>
  <c r="F157" i="8"/>
  <c r="F149" i="8"/>
  <c r="F141" i="8"/>
  <c r="F133" i="8"/>
  <c r="F125" i="8"/>
  <c r="F117" i="8"/>
  <c r="F109" i="8"/>
  <c r="F101" i="8"/>
  <c r="F93" i="8"/>
  <c r="F85" i="8"/>
  <c r="F77" i="8"/>
  <c r="F69" i="8"/>
  <c r="F61" i="8"/>
  <c r="F53" i="8"/>
  <c r="F45" i="8"/>
  <c r="F21" i="8"/>
  <c r="G13" i="8"/>
  <c r="E7" i="14" a="1"/>
  <c r="E7" i="14" s="1"/>
  <c r="BN267" i="8"/>
  <c r="BM267" i="8"/>
  <c r="BL267" i="8"/>
  <c r="BK267" i="8"/>
  <c r="BJ267" i="8"/>
  <c r="BI267" i="8"/>
  <c r="BH267" i="8"/>
  <c r="BG267" i="8"/>
  <c r="BF267" i="8"/>
  <c r="BE267" i="8"/>
  <c r="BD267" i="8"/>
  <c r="BC267" i="8"/>
  <c r="BB267" i="8"/>
  <c r="BA267" i="8"/>
  <c r="AZ267" i="8"/>
  <c r="AY267" i="8"/>
  <c r="AX267" i="8"/>
  <c r="AW267" i="8"/>
  <c r="AV267" i="8"/>
  <c r="AU267" i="8"/>
  <c r="AT267" i="8"/>
  <c r="AS267" i="8"/>
  <c r="AR267" i="8"/>
  <c r="AQ267" i="8"/>
  <c r="AP267" i="8"/>
  <c r="AO267" i="8"/>
  <c r="AN267" i="8"/>
  <c r="AM267" i="8"/>
  <c r="AL267" i="8"/>
  <c r="AK267" i="8"/>
  <c r="AJ267" i="8"/>
  <c r="AI267" i="8"/>
  <c r="AH267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Q271" i="8" s="1"/>
  <c r="P267" i="8"/>
  <c r="O267" i="8"/>
  <c r="N267" i="8"/>
  <c r="M267" i="8"/>
  <c r="L267" i="8"/>
  <c r="K267" i="8"/>
  <c r="J267" i="8"/>
  <c r="I267" i="8"/>
  <c r="H267" i="8"/>
  <c r="G267" i="8"/>
  <c r="F267" i="8"/>
  <c r="BN259" i="8"/>
  <c r="BM259" i="8"/>
  <c r="BL259" i="8"/>
  <c r="BK259" i="8"/>
  <c r="BJ259" i="8"/>
  <c r="BI259" i="8"/>
  <c r="BH259" i="8"/>
  <c r="BG259" i="8"/>
  <c r="BF259" i="8"/>
  <c r="BE259" i="8"/>
  <c r="BD259" i="8"/>
  <c r="BC259" i="8"/>
  <c r="BB259" i="8"/>
  <c r="BA259" i="8"/>
  <c r="AZ259" i="8"/>
  <c r="AY259" i="8"/>
  <c r="AX259" i="8"/>
  <c r="AW259" i="8"/>
  <c r="AV259" i="8"/>
  <c r="AU259" i="8"/>
  <c r="AT259" i="8"/>
  <c r="AS259" i="8"/>
  <c r="AR259" i="8"/>
  <c r="AQ259" i="8"/>
  <c r="AP259" i="8"/>
  <c r="AO259" i="8"/>
  <c r="AN259" i="8"/>
  <c r="AM259" i="8"/>
  <c r="AL259" i="8"/>
  <c r="AK259" i="8"/>
  <c r="AJ259" i="8"/>
  <c r="AI259" i="8"/>
  <c r="AH259" i="8"/>
  <c r="AG259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BN251" i="8"/>
  <c r="BM251" i="8"/>
  <c r="BL251" i="8"/>
  <c r="BK251" i="8"/>
  <c r="BJ251" i="8"/>
  <c r="BI251" i="8"/>
  <c r="BH251" i="8"/>
  <c r="BG251" i="8"/>
  <c r="BF251" i="8"/>
  <c r="BE251" i="8"/>
  <c r="BD251" i="8"/>
  <c r="BC251" i="8"/>
  <c r="BB251" i="8"/>
  <c r="BA251" i="8"/>
  <c r="AZ251" i="8"/>
  <c r="AY251" i="8"/>
  <c r="AX251" i="8"/>
  <c r="AW251" i="8"/>
  <c r="AV251" i="8"/>
  <c r="AU251" i="8"/>
  <c r="AT251" i="8"/>
  <c r="AS251" i="8"/>
  <c r="AR251" i="8"/>
  <c r="AQ251" i="8"/>
  <c r="AP251" i="8"/>
  <c r="AO251" i="8"/>
  <c r="AN251" i="8"/>
  <c r="AM251" i="8"/>
  <c r="AL251" i="8"/>
  <c r="AK251" i="8"/>
  <c r="AJ251" i="8"/>
  <c r="AI251" i="8"/>
  <c r="AH251" i="8"/>
  <c r="AG251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BN243" i="8"/>
  <c r="BM243" i="8"/>
  <c r="BL243" i="8"/>
  <c r="BK243" i="8"/>
  <c r="BJ243" i="8"/>
  <c r="BI243" i="8"/>
  <c r="BH243" i="8"/>
  <c r="BG243" i="8"/>
  <c r="BF243" i="8"/>
  <c r="BE243" i="8"/>
  <c r="BD243" i="8"/>
  <c r="BC243" i="8"/>
  <c r="BB243" i="8"/>
  <c r="BA243" i="8"/>
  <c r="AZ243" i="8"/>
  <c r="AY243" i="8"/>
  <c r="AX243" i="8"/>
  <c r="AW243" i="8"/>
  <c r="AV243" i="8"/>
  <c r="AU243" i="8"/>
  <c r="AT243" i="8"/>
  <c r="AS243" i="8"/>
  <c r="AR243" i="8"/>
  <c r="AQ243" i="8"/>
  <c r="AP243" i="8"/>
  <c r="AO243" i="8"/>
  <c r="AN243" i="8"/>
  <c r="AM243" i="8"/>
  <c r="AL243" i="8"/>
  <c r="AK243" i="8"/>
  <c r="AJ243" i="8"/>
  <c r="AI243" i="8"/>
  <c r="AH243" i="8"/>
  <c r="AG243" i="8"/>
  <c r="AF243" i="8"/>
  <c r="AE243" i="8"/>
  <c r="AD243" i="8"/>
  <c r="AC243" i="8"/>
  <c r="AB243" i="8"/>
  <c r="AA243" i="8"/>
  <c r="Z243" i="8"/>
  <c r="Y243" i="8"/>
  <c r="X243" i="8"/>
  <c r="W243" i="8"/>
  <c r="V243" i="8"/>
  <c r="U243" i="8"/>
  <c r="T243" i="8"/>
  <c r="S243" i="8"/>
  <c r="R243" i="8"/>
  <c r="Q243" i="8"/>
  <c r="P243" i="8"/>
  <c r="O243" i="8"/>
  <c r="N243" i="8"/>
  <c r="M243" i="8"/>
  <c r="L243" i="8"/>
  <c r="K243" i="8"/>
  <c r="J243" i="8"/>
  <c r="I243" i="8"/>
  <c r="H243" i="8"/>
  <c r="G243" i="8"/>
  <c r="F243" i="8"/>
  <c r="BN235" i="8"/>
  <c r="BM235" i="8"/>
  <c r="BL235" i="8"/>
  <c r="BK235" i="8"/>
  <c r="BJ235" i="8"/>
  <c r="BI235" i="8"/>
  <c r="BH235" i="8"/>
  <c r="BG235" i="8"/>
  <c r="BF235" i="8"/>
  <c r="BE235" i="8"/>
  <c r="BD235" i="8"/>
  <c r="BC235" i="8"/>
  <c r="BB235" i="8"/>
  <c r="BA235" i="8"/>
  <c r="AZ235" i="8"/>
  <c r="AY235" i="8"/>
  <c r="AX235" i="8"/>
  <c r="AW235" i="8"/>
  <c r="AV235" i="8"/>
  <c r="AU235" i="8"/>
  <c r="AT235" i="8"/>
  <c r="AS235" i="8"/>
  <c r="AR235" i="8"/>
  <c r="AQ235" i="8"/>
  <c r="AP235" i="8"/>
  <c r="AO235" i="8"/>
  <c r="AN235" i="8"/>
  <c r="AM235" i="8"/>
  <c r="AL235" i="8"/>
  <c r="AK235" i="8"/>
  <c r="AJ235" i="8"/>
  <c r="AI235" i="8"/>
  <c r="AH235" i="8"/>
  <c r="AG235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BN219" i="8"/>
  <c r="BM219" i="8"/>
  <c r="BL219" i="8"/>
  <c r="BK219" i="8"/>
  <c r="BJ219" i="8"/>
  <c r="BI219" i="8"/>
  <c r="BH219" i="8"/>
  <c r="BG219" i="8"/>
  <c r="BF219" i="8"/>
  <c r="BE219" i="8"/>
  <c r="BD219" i="8"/>
  <c r="BC219" i="8"/>
  <c r="BB219" i="8"/>
  <c r="BA219" i="8"/>
  <c r="AZ219" i="8"/>
  <c r="AY219" i="8"/>
  <c r="AX219" i="8"/>
  <c r="AW219" i="8"/>
  <c r="AV219" i="8"/>
  <c r="AU219" i="8"/>
  <c r="AT219" i="8"/>
  <c r="AS219" i="8"/>
  <c r="AR219" i="8"/>
  <c r="AQ219" i="8"/>
  <c r="AP219" i="8"/>
  <c r="AO219" i="8"/>
  <c r="AN219" i="8"/>
  <c r="AM219" i="8"/>
  <c r="AL219" i="8"/>
  <c r="AK219" i="8"/>
  <c r="AJ219" i="8"/>
  <c r="AI219" i="8"/>
  <c r="AH219" i="8"/>
  <c r="AG219" i="8"/>
  <c r="AF219" i="8"/>
  <c r="AE219" i="8"/>
  <c r="AD219" i="8"/>
  <c r="AC219" i="8"/>
  <c r="AB219" i="8"/>
  <c r="AA219" i="8"/>
  <c r="Z219" i="8"/>
  <c r="Y219" i="8"/>
  <c r="X219" i="8"/>
  <c r="W219" i="8"/>
  <c r="V219" i="8"/>
  <c r="U219" i="8"/>
  <c r="T219" i="8"/>
  <c r="S219" i="8"/>
  <c r="R219" i="8"/>
  <c r="Q219" i="8"/>
  <c r="P219" i="8"/>
  <c r="O219" i="8"/>
  <c r="N219" i="8"/>
  <c r="M219" i="8"/>
  <c r="L219" i="8"/>
  <c r="K219" i="8"/>
  <c r="J219" i="8"/>
  <c r="I219" i="8"/>
  <c r="H219" i="8"/>
  <c r="G219" i="8"/>
  <c r="F219" i="8"/>
  <c r="BN211" i="8"/>
  <c r="BM211" i="8"/>
  <c r="BL211" i="8"/>
  <c r="BK211" i="8"/>
  <c r="BJ211" i="8"/>
  <c r="BI211" i="8"/>
  <c r="BH211" i="8"/>
  <c r="BG211" i="8"/>
  <c r="BF211" i="8"/>
  <c r="BE211" i="8"/>
  <c r="BD211" i="8"/>
  <c r="BC211" i="8"/>
  <c r="BB211" i="8"/>
  <c r="BA211" i="8"/>
  <c r="AZ211" i="8"/>
  <c r="AY211" i="8"/>
  <c r="AX211" i="8"/>
  <c r="AW211" i="8"/>
  <c r="AV211" i="8"/>
  <c r="AU211" i="8"/>
  <c r="AT211" i="8"/>
  <c r="AS211" i="8"/>
  <c r="AR211" i="8"/>
  <c r="AQ211" i="8"/>
  <c r="AP211" i="8"/>
  <c r="AO211" i="8"/>
  <c r="AN211" i="8"/>
  <c r="AM211" i="8"/>
  <c r="AL211" i="8"/>
  <c r="AK211" i="8"/>
  <c r="AJ211" i="8"/>
  <c r="AI211" i="8"/>
  <c r="AH211" i="8"/>
  <c r="AG211" i="8"/>
  <c r="AF211" i="8"/>
  <c r="AE211" i="8"/>
  <c r="AD211" i="8"/>
  <c r="AC211" i="8"/>
  <c r="AB211" i="8"/>
  <c r="AA211" i="8"/>
  <c r="Z211" i="8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BN203" i="8"/>
  <c r="BM203" i="8"/>
  <c r="BL203" i="8"/>
  <c r="BK203" i="8"/>
  <c r="BJ203" i="8"/>
  <c r="BI203" i="8"/>
  <c r="BH203" i="8"/>
  <c r="BG203" i="8"/>
  <c r="BF203" i="8"/>
  <c r="BE203" i="8"/>
  <c r="BD203" i="8"/>
  <c r="BC203" i="8"/>
  <c r="BB203" i="8"/>
  <c r="BA203" i="8"/>
  <c r="AZ203" i="8"/>
  <c r="AY203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Z203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BN195" i="8"/>
  <c r="BM195" i="8"/>
  <c r="BL195" i="8"/>
  <c r="BK195" i="8"/>
  <c r="BJ195" i="8"/>
  <c r="BI195" i="8"/>
  <c r="BH195" i="8"/>
  <c r="BG195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Z195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BN187" i="8"/>
  <c r="BM187" i="8"/>
  <c r="BL187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BN179" i="8"/>
  <c r="BM179" i="8"/>
  <c r="BL179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BN171" i="8"/>
  <c r="BM171" i="8"/>
  <c r="BL171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BN163" i="8"/>
  <c r="BM163" i="8"/>
  <c r="BL163" i="8"/>
  <c r="BL164" i="8" s="1"/>
  <c r="BK163" i="8"/>
  <c r="BK164" i="8" s="1"/>
  <c r="BJ163" i="8"/>
  <c r="BJ164" i="8" s="1"/>
  <c r="BI163" i="8"/>
  <c r="BH163" i="8"/>
  <c r="BH164" i="8" s="1"/>
  <c r="BG163" i="8"/>
  <c r="BG164" i="8" s="1"/>
  <c r="BF163" i="8"/>
  <c r="BE163" i="8"/>
  <c r="BD163" i="8"/>
  <c r="BD164" i="8" s="1"/>
  <c r="BC163" i="8"/>
  <c r="BC164" i="8" s="1"/>
  <c r="BB163" i="8"/>
  <c r="BB164" i="8" s="1"/>
  <c r="BA163" i="8"/>
  <c r="AZ163" i="8"/>
  <c r="AZ164" i="8" s="1"/>
  <c r="AY163" i="8"/>
  <c r="AY164" i="8" s="1"/>
  <c r="AX163" i="8"/>
  <c r="AW163" i="8"/>
  <c r="AV163" i="8"/>
  <c r="AV164" i="8" s="1"/>
  <c r="AU163" i="8"/>
  <c r="AU164" i="8" s="1"/>
  <c r="AT163" i="8"/>
  <c r="AT164" i="8" s="1"/>
  <c r="AS163" i="8"/>
  <c r="AR163" i="8"/>
  <c r="AR164" i="8" s="1"/>
  <c r="AQ163" i="8"/>
  <c r="AQ164" i="8" s="1"/>
  <c r="AP163" i="8"/>
  <c r="AO163" i="8"/>
  <c r="AN163" i="8"/>
  <c r="AN164" i="8" s="1"/>
  <c r="AM163" i="8"/>
  <c r="AM164" i="8" s="1"/>
  <c r="AL163" i="8"/>
  <c r="AL164" i="8" s="1"/>
  <c r="AK163" i="8"/>
  <c r="AJ163" i="8"/>
  <c r="AJ164" i="8" s="1"/>
  <c r="AI163" i="8"/>
  <c r="AI164" i="8" s="1"/>
  <c r="AH163" i="8"/>
  <c r="AG163" i="8"/>
  <c r="AF163" i="8"/>
  <c r="AF164" i="8" s="1"/>
  <c r="AE163" i="8"/>
  <c r="AE164" i="8" s="1"/>
  <c r="AD163" i="8"/>
  <c r="AD164" i="8" s="1"/>
  <c r="AC163" i="8"/>
  <c r="AB163" i="8"/>
  <c r="AB164" i="8" s="1"/>
  <c r="AA163" i="8"/>
  <c r="AA164" i="8" s="1"/>
  <c r="Z163" i="8"/>
  <c r="Y163" i="8"/>
  <c r="X163" i="8"/>
  <c r="X164" i="8" s="1"/>
  <c r="W163" i="8"/>
  <c r="W164" i="8" s="1"/>
  <c r="V163" i="8"/>
  <c r="V164" i="8" s="1"/>
  <c r="U163" i="8"/>
  <c r="T163" i="8"/>
  <c r="T164" i="8" s="1"/>
  <c r="S163" i="8"/>
  <c r="S164" i="8" s="1"/>
  <c r="R163" i="8"/>
  <c r="Q163" i="8"/>
  <c r="P163" i="8"/>
  <c r="P164" i="8" s="1"/>
  <c r="O163" i="8"/>
  <c r="O164" i="8" s="1"/>
  <c r="N163" i="8"/>
  <c r="N164" i="8" s="1"/>
  <c r="M163" i="8"/>
  <c r="L163" i="8"/>
  <c r="L164" i="8" s="1"/>
  <c r="K163" i="8"/>
  <c r="K164" i="8" s="1"/>
  <c r="J163" i="8"/>
  <c r="J164" i="8" s="1"/>
  <c r="I163" i="8"/>
  <c r="I164" i="8" s="1"/>
  <c r="H163" i="8"/>
  <c r="H164" i="8" s="1"/>
  <c r="G163" i="8"/>
  <c r="G164" i="8" s="1"/>
  <c r="F163" i="8"/>
  <c r="F164" i="8" s="1"/>
  <c r="M164" i="8"/>
  <c r="Q164" i="8"/>
  <c r="R164" i="8"/>
  <c r="U164" i="8"/>
  <c r="Y164" i="8"/>
  <c r="Z164" i="8"/>
  <c r="AC164" i="8"/>
  <c r="AG164" i="8"/>
  <c r="AH164" i="8"/>
  <c r="AK164" i="8"/>
  <c r="AO164" i="8"/>
  <c r="AP164" i="8"/>
  <c r="AS164" i="8"/>
  <c r="AW164" i="8"/>
  <c r="AX164" i="8"/>
  <c r="BA164" i="8"/>
  <c r="BE164" i="8"/>
  <c r="BF164" i="8"/>
  <c r="BI164" i="8"/>
  <c r="BM164" i="8"/>
  <c r="BN164" i="8"/>
  <c r="BN155" i="8"/>
  <c r="BM155" i="8"/>
  <c r="BL155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AL155" i="8"/>
  <c r="AK155" i="8"/>
  <c r="AJ155" i="8"/>
  <c r="AI155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BN147" i="8"/>
  <c r="BM147" i="8"/>
  <c r="BL147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AM147" i="8"/>
  <c r="AL147" i="8"/>
  <c r="AK147" i="8"/>
  <c r="AJ147" i="8"/>
  <c r="AI147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BN139" i="8"/>
  <c r="BM139" i="8"/>
  <c r="BL139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AL139" i="8"/>
  <c r="AK139" i="8"/>
  <c r="AJ139" i="8"/>
  <c r="AI139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BN131" i="8"/>
  <c r="BM131" i="8"/>
  <c r="BL131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BN123" i="8"/>
  <c r="BM123" i="8"/>
  <c r="BL123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BN115" i="8"/>
  <c r="BM115" i="8"/>
  <c r="BL115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BN99" i="8"/>
  <c r="BM99" i="8"/>
  <c r="BL99" i="8"/>
  <c r="BK99" i="8"/>
  <c r="BJ99" i="8"/>
  <c r="BI99" i="8"/>
  <c r="BH99" i="8"/>
  <c r="BG99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AQ99" i="8"/>
  <c r="AP99" i="8"/>
  <c r="AO99" i="8"/>
  <c r="AN99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BN91" i="8"/>
  <c r="BM91" i="8"/>
  <c r="BL91" i="8"/>
  <c r="BK91" i="8"/>
  <c r="BJ91" i="8"/>
  <c r="BI91" i="8"/>
  <c r="BH91" i="8"/>
  <c r="BG91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AQ91" i="8"/>
  <c r="AP91" i="8"/>
  <c r="AO91" i="8"/>
  <c r="AN91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BN83" i="8"/>
  <c r="BM83" i="8"/>
  <c r="BL83" i="8"/>
  <c r="BK83" i="8"/>
  <c r="BJ83" i="8"/>
  <c r="BI83" i="8"/>
  <c r="BH83" i="8"/>
  <c r="BG83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AQ83" i="8"/>
  <c r="AP83" i="8"/>
  <c r="AO83" i="8"/>
  <c r="AN83" i="8"/>
  <c r="AM83" i="8"/>
  <c r="AL83" i="8"/>
  <c r="AK83" i="8"/>
  <c r="AJ83" i="8"/>
  <c r="AI83" i="8"/>
  <c r="AH83" i="8"/>
  <c r="AG83" i="8"/>
  <c r="AF83" i="8"/>
  <c r="AE83" i="8"/>
  <c r="AD83" i="8"/>
  <c r="AC83" i="8"/>
  <c r="AB83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BN75" i="8"/>
  <c r="BM75" i="8"/>
  <c r="BL75" i="8"/>
  <c r="BK75" i="8"/>
  <c r="BJ75" i="8"/>
  <c r="BI75" i="8"/>
  <c r="BH75" i="8"/>
  <c r="BG75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AQ75" i="8"/>
  <c r="AP75" i="8"/>
  <c r="AO75" i="8"/>
  <c r="AN75" i="8"/>
  <c r="AM75" i="8"/>
  <c r="AL75" i="8"/>
  <c r="AK75" i="8"/>
  <c r="AJ75" i="8"/>
  <c r="AI75" i="8"/>
  <c r="AH75" i="8"/>
  <c r="AG75" i="8"/>
  <c r="AF75" i="8"/>
  <c r="AE75" i="8"/>
  <c r="AD75" i="8"/>
  <c r="AC75" i="8"/>
  <c r="AB75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G11" i="8"/>
  <c r="H11" i="8"/>
  <c r="I11" i="8"/>
  <c r="I15" i="8" s="1"/>
  <c r="J11" i="8"/>
  <c r="J15" i="8" s="1"/>
  <c r="K11" i="8"/>
  <c r="K15" i="8" s="1"/>
  <c r="L11" i="8"/>
  <c r="L15" i="8" s="1"/>
  <c r="M11" i="8"/>
  <c r="M15" i="8" s="1"/>
  <c r="N11" i="8"/>
  <c r="N15" i="8" s="1"/>
  <c r="O11" i="8"/>
  <c r="O15" i="8" s="1"/>
  <c r="P11" i="8"/>
  <c r="P15" i="8" s="1"/>
  <c r="Q11" i="8"/>
  <c r="Q15" i="8" s="1"/>
  <c r="R11" i="8"/>
  <c r="R15" i="8" s="1"/>
  <c r="S11" i="8"/>
  <c r="S15" i="8" s="1"/>
  <c r="T11" i="8"/>
  <c r="T15" i="8" s="1"/>
  <c r="U11" i="8"/>
  <c r="U15" i="8" s="1"/>
  <c r="V11" i="8"/>
  <c r="V15" i="8" s="1"/>
  <c r="W11" i="8"/>
  <c r="W15" i="8" s="1"/>
  <c r="X11" i="8"/>
  <c r="X15" i="8" s="1"/>
  <c r="Y11" i="8"/>
  <c r="Y15" i="8" s="1"/>
  <c r="Z11" i="8"/>
  <c r="Z15" i="8" s="1"/>
  <c r="AA11" i="8"/>
  <c r="AA15" i="8" s="1"/>
  <c r="AB11" i="8"/>
  <c r="AB15" i="8" s="1"/>
  <c r="AC11" i="8"/>
  <c r="AC15" i="8" s="1"/>
  <c r="AD11" i="8"/>
  <c r="AD15" i="8" s="1"/>
  <c r="AE11" i="8"/>
  <c r="AE15" i="8" s="1"/>
  <c r="AF11" i="8"/>
  <c r="AF15" i="8" s="1"/>
  <c r="AG11" i="8"/>
  <c r="AG15" i="8" s="1"/>
  <c r="AH11" i="8"/>
  <c r="AH15" i="8" s="1"/>
  <c r="AI11" i="8"/>
  <c r="AI15" i="8" s="1"/>
  <c r="AJ11" i="8"/>
  <c r="AJ15" i="8" s="1"/>
  <c r="AK11" i="8"/>
  <c r="AK15" i="8" s="1"/>
  <c r="AL11" i="8"/>
  <c r="AL15" i="8" s="1"/>
  <c r="AM11" i="8"/>
  <c r="AM15" i="8" s="1"/>
  <c r="AN11" i="8"/>
  <c r="AN15" i="8" s="1"/>
  <c r="AO11" i="8"/>
  <c r="AO15" i="8" s="1"/>
  <c r="AP11" i="8"/>
  <c r="AP15" i="8" s="1"/>
  <c r="AQ11" i="8"/>
  <c r="AQ15" i="8" s="1"/>
  <c r="AR11" i="8"/>
  <c r="AR15" i="8" s="1"/>
  <c r="AS11" i="8"/>
  <c r="AS15" i="8" s="1"/>
  <c r="AT11" i="8"/>
  <c r="AT15" i="8" s="1"/>
  <c r="AU11" i="8"/>
  <c r="AU15" i="8" s="1"/>
  <c r="AV11" i="8"/>
  <c r="AV15" i="8" s="1"/>
  <c r="AW11" i="8"/>
  <c r="AW15" i="8" s="1"/>
  <c r="AX11" i="8"/>
  <c r="AX15" i="8" s="1"/>
  <c r="AY11" i="8"/>
  <c r="AY15" i="8" s="1"/>
  <c r="AZ11" i="8"/>
  <c r="AZ15" i="8" s="1"/>
  <c r="BA11" i="8"/>
  <c r="BA15" i="8" s="1"/>
  <c r="BB11" i="8"/>
  <c r="BB15" i="8" s="1"/>
  <c r="BC11" i="8"/>
  <c r="BC15" i="8" s="1"/>
  <c r="BD11" i="8"/>
  <c r="BD15" i="8" s="1"/>
  <c r="BE11" i="8"/>
  <c r="BE15" i="8" s="1"/>
  <c r="BF11" i="8"/>
  <c r="BF15" i="8" s="1"/>
  <c r="BG11" i="8"/>
  <c r="BG15" i="8" s="1"/>
  <c r="BH11" i="8"/>
  <c r="BH15" i="8" s="1"/>
  <c r="BI11" i="8"/>
  <c r="BI15" i="8" s="1"/>
  <c r="BJ11" i="8"/>
  <c r="BJ15" i="8" s="1"/>
  <c r="BK11" i="8"/>
  <c r="BK15" i="8" s="1"/>
  <c r="BL11" i="8"/>
  <c r="BL15" i="8" s="1"/>
  <c r="BM11" i="8"/>
  <c r="BM15" i="8" s="1"/>
  <c r="BN11" i="8"/>
  <c r="BN15" i="8" s="1"/>
  <c r="E127" i="14" l="1"/>
  <c r="G12" i="14" a="1"/>
  <c r="G12" i="14" s="1"/>
  <c r="H12" i="14" a="1"/>
  <c r="H12" i="14" s="1"/>
  <c r="I12" i="14" a="1"/>
  <c r="I12" i="14" s="1"/>
  <c r="J12" i="14" a="1"/>
  <c r="J12" i="14" s="1"/>
  <c r="K12" i="14" a="1"/>
  <c r="K12" i="14" s="1"/>
  <c r="L12" i="14" a="1"/>
  <c r="L12" i="14" s="1"/>
  <c r="M12" i="14" a="1"/>
  <c r="M12" i="14" s="1"/>
  <c r="N12" i="14" a="1"/>
  <c r="N12" i="14" s="1"/>
  <c r="O12" i="14" a="1"/>
  <c r="O12" i="14" s="1"/>
  <c r="P12" i="14" a="1"/>
  <c r="P12" i="14" s="1"/>
  <c r="Q12" i="14" a="1"/>
  <c r="Q12" i="14" s="1"/>
  <c r="R12" i="14" a="1"/>
  <c r="R12" i="14" s="1"/>
  <c r="S12" i="14" a="1"/>
  <c r="S12" i="14" s="1"/>
  <c r="T12" i="14" a="1"/>
  <c r="T12" i="14" s="1"/>
  <c r="U12" i="14" a="1"/>
  <c r="U12" i="14" s="1"/>
  <c r="V12" i="14" a="1"/>
  <c r="V12" i="14" s="1"/>
  <c r="W12" i="14" a="1"/>
  <c r="W12" i="14" s="1"/>
  <c r="X12" i="14" a="1"/>
  <c r="X12" i="14" s="1"/>
  <c r="Y12" i="14" a="1"/>
  <c r="Y12" i="14" s="1"/>
  <c r="Z12" i="14" a="1"/>
  <c r="Z12" i="14" s="1"/>
  <c r="AA12" i="14" a="1"/>
  <c r="AA12" i="14" s="1"/>
  <c r="AB12" i="14" a="1"/>
  <c r="AB12" i="14" s="1"/>
  <c r="AC12" i="14" a="1"/>
  <c r="AC12" i="14" s="1"/>
  <c r="AD12" i="14" a="1"/>
  <c r="AD12" i="14" s="1"/>
  <c r="AE12" i="14" a="1"/>
  <c r="AE12" i="14" s="1"/>
  <c r="AF12" i="14" a="1"/>
  <c r="AF12" i="14" s="1"/>
  <c r="AG12" i="14" a="1"/>
  <c r="AG12" i="14" s="1"/>
  <c r="AH12" i="14" a="1"/>
  <c r="AH12" i="14" s="1"/>
  <c r="AI12" i="14" a="1"/>
  <c r="AI12" i="14" s="1"/>
  <c r="AJ12" i="14" a="1"/>
  <c r="AJ12" i="14" s="1"/>
  <c r="AK12" i="14" a="1"/>
  <c r="AK12" i="14" s="1"/>
  <c r="AL12" i="14" a="1"/>
  <c r="AL12" i="14" s="1"/>
  <c r="AM12" i="14" a="1"/>
  <c r="AM12" i="14" s="1"/>
  <c r="AN12" i="14" a="1"/>
  <c r="AN12" i="14" s="1"/>
  <c r="AO12" i="14" a="1"/>
  <c r="AO12" i="14" s="1"/>
  <c r="AP12" i="14" a="1"/>
  <c r="AP12" i="14" s="1"/>
  <c r="AQ12" i="14" a="1"/>
  <c r="AQ12" i="14" s="1"/>
  <c r="AR12" i="14" a="1"/>
  <c r="AR12" i="14" s="1"/>
  <c r="AS12" i="14" a="1"/>
  <c r="AS12" i="14" s="1"/>
  <c r="AT12" i="14" a="1"/>
  <c r="AT12" i="14" s="1"/>
  <c r="AU12" i="14" a="1"/>
  <c r="AU12" i="14" s="1"/>
  <c r="AV12" i="14" a="1"/>
  <c r="AV12" i="14" s="1"/>
  <c r="AW12" i="14" a="1"/>
  <c r="AW12" i="14" s="1"/>
  <c r="AX12" i="14" a="1"/>
  <c r="AX12" i="14" s="1"/>
  <c r="AY12" i="14" a="1"/>
  <c r="AY12" i="14" s="1"/>
  <c r="AZ12" i="14" a="1"/>
  <c r="AZ12" i="14" s="1"/>
  <c r="BA12" i="14" a="1"/>
  <c r="BA12" i="14" s="1"/>
  <c r="BB12" i="14" a="1"/>
  <c r="BB12" i="14" s="1"/>
  <c r="BC12" i="14" a="1"/>
  <c r="BC12" i="14" s="1"/>
  <c r="BD12" i="14" a="1"/>
  <c r="BD12" i="14" s="1"/>
  <c r="BE12" i="14" a="1"/>
  <c r="BE12" i="14" s="1"/>
  <c r="BF12" i="14" a="1"/>
  <c r="BF12" i="14" s="1"/>
  <c r="BG12" i="14" a="1"/>
  <c r="BG12" i="14" s="1"/>
  <c r="BH12" i="14" a="1"/>
  <c r="BH12" i="14" s="1"/>
  <c r="BI12" i="14" a="1"/>
  <c r="BI12" i="14" s="1"/>
  <c r="BJ12" i="14" a="1"/>
  <c r="BJ12" i="14" s="1"/>
  <c r="BK12" i="14" a="1"/>
  <c r="BK12" i="14" s="1"/>
  <c r="BL12" i="14" a="1"/>
  <c r="BL12" i="14" s="1"/>
  <c r="F12" i="14" a="1"/>
  <c r="F12" i="14" s="1"/>
  <c r="E12" i="14" a="1"/>
  <c r="E12" i="14" s="1"/>
  <c r="F7" i="14" a="1"/>
  <c r="F7" i="14" s="1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F9" i="8"/>
  <c r="F11" i="8"/>
  <c r="H12" i="8"/>
  <c r="G7" i="14" a="1"/>
  <c r="G7" i="14" s="1"/>
  <c r="H7" i="14" a="1"/>
  <c r="H7" i="14" s="1"/>
  <c r="I7" i="14" a="1"/>
  <c r="I7" i="14" s="1"/>
  <c r="J7" i="14" a="1"/>
  <c r="J7" i="14" s="1"/>
  <c r="K7" i="14" a="1"/>
  <c r="K7" i="14" s="1"/>
  <c r="L7" i="14" a="1"/>
  <c r="L7" i="14" s="1"/>
  <c r="M7" i="14" a="1"/>
  <c r="M7" i="14" s="1"/>
  <c r="N7" i="14" a="1"/>
  <c r="N7" i="14" s="1"/>
  <c r="O7" i="14" a="1"/>
  <c r="O7" i="14" s="1"/>
  <c r="P7" i="14" a="1"/>
  <c r="P7" i="14" s="1"/>
  <c r="Q7" i="14" a="1"/>
  <c r="Q7" i="14" s="1"/>
  <c r="R7" i="14" a="1"/>
  <c r="R7" i="14" s="1"/>
  <c r="S7" i="14" a="1"/>
  <c r="S7" i="14" s="1"/>
  <c r="T7" i="14" a="1"/>
  <c r="T7" i="14" s="1"/>
  <c r="U7" i="14" a="1"/>
  <c r="U7" i="14" s="1"/>
  <c r="V7" i="14" a="1"/>
  <c r="V7" i="14" s="1"/>
  <c r="W7" i="14" a="1"/>
  <c r="W7" i="14" s="1"/>
  <c r="X7" i="14" a="1"/>
  <c r="X7" i="14" s="1"/>
  <c r="Y7" i="14" a="1"/>
  <c r="Y7" i="14" s="1"/>
  <c r="Z7" i="14" a="1"/>
  <c r="Z7" i="14" s="1"/>
  <c r="AA7" i="14" a="1"/>
  <c r="AA7" i="14" s="1"/>
  <c r="AB7" i="14" a="1"/>
  <c r="AB7" i="14" s="1"/>
  <c r="AC7" i="14" a="1"/>
  <c r="AC7" i="14" s="1"/>
  <c r="AD7" i="14" a="1"/>
  <c r="AD7" i="14" s="1"/>
  <c r="AE7" i="14" a="1"/>
  <c r="AE7" i="14" s="1"/>
  <c r="AF7" i="14" a="1"/>
  <c r="AF7" i="14" s="1"/>
  <c r="AG7" i="14" a="1"/>
  <c r="AG7" i="14" s="1"/>
  <c r="AH7" i="14" a="1"/>
  <c r="AH7" i="14" s="1"/>
  <c r="AI7" i="14" a="1"/>
  <c r="AI7" i="14" s="1"/>
  <c r="AJ7" i="14" a="1"/>
  <c r="AJ7" i="14" s="1"/>
  <c r="AK7" i="14" a="1"/>
  <c r="AK7" i="14" s="1"/>
  <c r="AL7" i="14" a="1"/>
  <c r="AL7" i="14" s="1"/>
  <c r="AM7" i="14" a="1"/>
  <c r="AM7" i="14" s="1"/>
  <c r="AN7" i="14" a="1"/>
  <c r="AN7" i="14" s="1"/>
  <c r="AO7" i="14" a="1"/>
  <c r="AO7" i="14" s="1"/>
  <c r="AP7" i="14" a="1"/>
  <c r="AP7" i="14" s="1"/>
  <c r="AQ7" i="14" a="1"/>
  <c r="AQ7" i="14" s="1"/>
  <c r="AR7" i="14" a="1"/>
  <c r="AR7" i="14" s="1"/>
  <c r="AS7" i="14" a="1"/>
  <c r="AS7" i="14" s="1"/>
  <c r="AT7" i="14" a="1"/>
  <c r="AT7" i="14" s="1"/>
  <c r="AU7" i="14" a="1"/>
  <c r="AU7" i="14" s="1"/>
  <c r="AV7" i="14" a="1"/>
  <c r="AV7" i="14" s="1"/>
  <c r="AW7" i="14" a="1"/>
  <c r="AW7" i="14" s="1"/>
  <c r="AX7" i="14" a="1"/>
  <c r="AX7" i="14" s="1"/>
  <c r="AY7" i="14" a="1"/>
  <c r="AY7" i="14" s="1"/>
  <c r="AZ7" i="14" a="1"/>
  <c r="AZ7" i="14" s="1"/>
  <c r="BA7" i="14" a="1"/>
  <c r="BA7" i="14" s="1"/>
  <c r="BB7" i="14" a="1"/>
  <c r="BB7" i="14" s="1"/>
  <c r="BC7" i="14" a="1"/>
  <c r="BC7" i="14" s="1"/>
  <c r="BD7" i="14" a="1"/>
  <c r="BD7" i="14" s="1"/>
  <c r="BE7" i="14" a="1"/>
  <c r="BE7" i="14" s="1"/>
  <c r="BF7" i="14" a="1"/>
  <c r="BF7" i="14" s="1"/>
  <c r="BG7" i="14" a="1"/>
  <c r="BG7" i="14" s="1"/>
  <c r="BH7" i="14" a="1"/>
  <c r="BH7" i="14" s="1"/>
  <c r="BI7" i="14" a="1"/>
  <c r="BI7" i="14" s="1"/>
  <c r="BJ7" i="14" a="1"/>
  <c r="BJ7" i="14" s="1"/>
  <c r="BK7" i="14" a="1"/>
  <c r="BK7" i="14" s="1"/>
  <c r="BL7" i="14" a="1"/>
  <c r="BL7" i="14" s="1"/>
  <c r="F248" i="8"/>
  <c r="F256" i="8"/>
  <c r="F264" i="8"/>
  <c r="F272" i="8"/>
  <c r="H9" i="6"/>
  <c r="E11" i="8"/>
  <c r="E19" i="8"/>
  <c r="C21" i="21" l="1" a="1"/>
  <c r="C21" i="21" s="1"/>
  <c r="G23" i="21" a="1"/>
  <c r="G23" i="21" s="1"/>
  <c r="G34" i="21" a="1"/>
  <c r="G34" i="21" s="1"/>
  <c r="G39" i="21" a="1"/>
  <c r="G39" i="21" s="1"/>
  <c r="G45" i="21" a="1"/>
  <c r="G45" i="21" s="1"/>
  <c r="G52" i="21" a="1"/>
  <c r="G52" i="21" s="1"/>
  <c r="G66" i="21" a="1"/>
  <c r="G66" i="21" s="1"/>
  <c r="G71" i="21" a="1"/>
  <c r="G71" i="21" s="1"/>
  <c r="G77" i="21" a="1"/>
  <c r="G77" i="21" s="1"/>
  <c r="G84" i="21" a="1"/>
  <c r="G84" i="21" s="1"/>
  <c r="G98" i="21" a="1"/>
  <c r="G98" i="21" s="1"/>
  <c r="G103" i="21" a="1"/>
  <c r="G103" i="21" s="1"/>
  <c r="G109" i="21" a="1"/>
  <c r="G109" i="21" s="1"/>
  <c r="G116" i="21" a="1"/>
  <c r="G116" i="21" s="1"/>
  <c r="G130" i="21" a="1"/>
  <c r="G130" i="21" s="1"/>
  <c r="G135" i="21" a="1"/>
  <c r="G135" i="21" s="1"/>
  <c r="G141" i="21" a="1"/>
  <c r="G141" i="21" s="1"/>
  <c r="G148" i="21" a="1"/>
  <c r="G148" i="21" s="1"/>
  <c r="G162" i="21" a="1"/>
  <c r="G162" i="21" s="1"/>
  <c r="G167" i="21" a="1"/>
  <c r="G167" i="21" s="1"/>
  <c r="G173" i="21" a="1"/>
  <c r="G173" i="21" s="1"/>
  <c r="G180" i="21" a="1"/>
  <c r="G180" i="21" s="1"/>
  <c r="G194" i="21" a="1"/>
  <c r="G194" i="21" s="1"/>
  <c r="G199" i="21" a="1"/>
  <c r="G199" i="21" s="1"/>
  <c r="G205" i="21" a="1"/>
  <c r="G205" i="21" s="1"/>
  <c r="G212" i="21" a="1"/>
  <c r="G212" i="21" s="1"/>
  <c r="G231" i="21" a="1"/>
  <c r="G231" i="21" s="1"/>
  <c r="G239" i="21" a="1"/>
  <c r="G239" i="21" s="1"/>
  <c r="G245" i="21" a="1"/>
  <c r="G245" i="21" s="1"/>
  <c r="G252" i="21" a="1"/>
  <c r="G252" i="21" s="1"/>
  <c r="G266" i="21" a="1"/>
  <c r="G266" i="21" s="1"/>
  <c r="G271" i="21" a="1"/>
  <c r="G271" i="21" s="1"/>
  <c r="C31" i="21" a="1"/>
  <c r="C31" i="21" s="1"/>
  <c r="C39" i="21" a="1"/>
  <c r="C39" i="21" s="1"/>
  <c r="C47" i="21" a="1"/>
  <c r="C47" i="21" s="1"/>
  <c r="C55" i="21" a="1"/>
  <c r="C55" i="21" s="1"/>
  <c r="C63" i="21" a="1"/>
  <c r="C63" i="21" s="1"/>
  <c r="C71" i="21" a="1"/>
  <c r="C71" i="21" s="1"/>
  <c r="C79" i="21" a="1"/>
  <c r="C79" i="21" s="1"/>
  <c r="C87" i="21" a="1"/>
  <c r="C87" i="21" s="1"/>
  <c r="C95" i="21" a="1"/>
  <c r="C95" i="21" s="1"/>
  <c r="C103" i="21" a="1"/>
  <c r="C103" i="21" s="1"/>
  <c r="C111" i="21" a="1"/>
  <c r="C111" i="21" s="1"/>
  <c r="C119" i="21" a="1"/>
  <c r="C119" i="21" s="1"/>
  <c r="C127" i="21" a="1"/>
  <c r="C127" i="21" s="1"/>
  <c r="C135" i="21" a="1"/>
  <c r="C135" i="21" s="1"/>
  <c r="C143" i="21" a="1"/>
  <c r="C143" i="21" s="1"/>
  <c r="C151" i="21" a="1"/>
  <c r="C151" i="21" s="1"/>
  <c r="C159" i="21" a="1"/>
  <c r="C159" i="21" s="1"/>
  <c r="C167" i="21" a="1"/>
  <c r="C167" i="21" s="1"/>
  <c r="C175" i="21" a="1"/>
  <c r="C175" i="21" s="1"/>
  <c r="C183" i="21" a="1"/>
  <c r="C183" i="21" s="1"/>
  <c r="C191" i="21" a="1"/>
  <c r="C191" i="21" s="1"/>
  <c r="C199" i="21" a="1"/>
  <c r="C199" i="21" s="1"/>
  <c r="C207" i="21" a="1"/>
  <c r="C207" i="21" s="1"/>
  <c r="C215" i="21" a="1"/>
  <c r="C215" i="21" s="1"/>
  <c r="C223" i="21" a="1"/>
  <c r="C223" i="21" s="1"/>
  <c r="C231" i="21" a="1"/>
  <c r="C231" i="21" s="1"/>
  <c r="C239" i="21" a="1"/>
  <c r="C239" i="21" s="1"/>
  <c r="I1" i="14" a="1"/>
  <c r="I1" i="14" s="1"/>
  <c r="L1" i="14" a="1"/>
  <c r="L1" i="14" s="1"/>
  <c r="G21" i="21" a="1"/>
  <c r="G21" i="21" s="1"/>
  <c r="G28" i="21" a="1"/>
  <c r="G28" i="21" s="1"/>
  <c r="G42" i="21" a="1"/>
  <c r="G42" i="21" s="1"/>
  <c r="G47" i="21" a="1"/>
  <c r="G47" i="21" s="1"/>
  <c r="G53" i="21" a="1"/>
  <c r="G53" i="21" s="1"/>
  <c r="G60" i="21" a="1"/>
  <c r="G60" i="21" s="1"/>
  <c r="G74" i="21" a="1"/>
  <c r="G74" i="21" s="1"/>
  <c r="G79" i="21" a="1"/>
  <c r="G79" i="21" s="1"/>
  <c r="G85" i="21" a="1"/>
  <c r="G85" i="21" s="1"/>
  <c r="G92" i="21" a="1"/>
  <c r="G92" i="21" s="1"/>
  <c r="G106" i="21" a="1"/>
  <c r="G106" i="21" s="1"/>
  <c r="G111" i="21" a="1"/>
  <c r="G111" i="21" s="1"/>
  <c r="G117" i="21" a="1"/>
  <c r="G117" i="21" s="1"/>
  <c r="G124" i="21" a="1"/>
  <c r="G124" i="21" s="1"/>
  <c r="G138" i="21" a="1"/>
  <c r="G138" i="21" s="1"/>
  <c r="G143" i="21" a="1"/>
  <c r="G143" i="21" s="1"/>
  <c r="G149" i="21" a="1"/>
  <c r="G149" i="21" s="1"/>
  <c r="G156" i="21" a="1"/>
  <c r="G156" i="21" s="1"/>
  <c r="G163" i="21" a="1"/>
  <c r="G163" i="21" s="1"/>
  <c r="G170" i="21" a="1"/>
  <c r="G170" i="21" s="1"/>
  <c r="G175" i="21" a="1"/>
  <c r="G175" i="21" s="1"/>
  <c r="G181" i="21" a="1"/>
  <c r="G181" i="21" s="1"/>
  <c r="G188" i="21" a="1"/>
  <c r="G188" i="21" s="1"/>
  <c r="G202" i="21" a="1"/>
  <c r="G202" i="21" s="1"/>
  <c r="G207" i="21" a="1"/>
  <c r="G207" i="21" s="1"/>
  <c r="G213" i="21" a="1"/>
  <c r="G213" i="21" s="1"/>
  <c r="G220" i="21" a="1"/>
  <c r="G220" i="21" s="1"/>
  <c r="G234" i="21" a="1"/>
  <c r="G234" i="21" s="1"/>
  <c r="G242" i="21" a="1"/>
  <c r="G242" i="21" s="1"/>
  <c r="G247" i="21" a="1"/>
  <c r="G247" i="21" s="1"/>
  <c r="G253" i="21" a="1"/>
  <c r="G253" i="21" s="1"/>
  <c r="G260" i="21" a="1"/>
  <c r="G260" i="21" s="1"/>
  <c r="C26" i="21" a="1"/>
  <c r="C26" i="21" s="1"/>
  <c r="C34" i="21" a="1"/>
  <c r="C34" i="21" s="1"/>
  <c r="C42" i="21" a="1"/>
  <c r="C42" i="21" s="1"/>
  <c r="C50" i="21" a="1"/>
  <c r="C50" i="21" s="1"/>
  <c r="C58" i="21" a="1"/>
  <c r="C58" i="21" s="1"/>
  <c r="C66" i="21" a="1"/>
  <c r="C66" i="21" s="1"/>
  <c r="C74" i="21" a="1"/>
  <c r="C74" i="21" s="1"/>
  <c r="C82" i="21" a="1"/>
  <c r="C82" i="21" s="1"/>
  <c r="C90" i="21" a="1"/>
  <c r="C90" i="21" s="1"/>
  <c r="C98" i="21" a="1"/>
  <c r="C98" i="21" s="1"/>
  <c r="C106" i="21" a="1"/>
  <c r="C106" i="21" s="1"/>
  <c r="C114" i="21" a="1"/>
  <c r="C114" i="21" s="1"/>
  <c r="C122" i="21" a="1"/>
  <c r="C122" i="21" s="1"/>
  <c r="C130" i="21" a="1"/>
  <c r="C130" i="21" s="1"/>
  <c r="C138" i="21" a="1"/>
  <c r="C138" i="21" s="1"/>
  <c r="C146" i="21" a="1"/>
  <c r="C146" i="21" s="1"/>
  <c r="C154" i="21" a="1"/>
  <c r="C154" i="21" s="1"/>
  <c r="C162" i="21" a="1"/>
  <c r="C162" i="21" s="1"/>
  <c r="C170" i="21" a="1"/>
  <c r="C170" i="21" s="1"/>
  <c r="C178" i="21" a="1"/>
  <c r="C178" i="21" s="1"/>
  <c r="C186" i="21" a="1"/>
  <c r="C186" i="21" s="1"/>
  <c r="C194" i="21" a="1"/>
  <c r="C194" i="21" s="1"/>
  <c r="C202" i="21" a="1"/>
  <c r="C202" i="21" s="1"/>
  <c r="C210" i="21" a="1"/>
  <c r="C210" i="21" s="1"/>
  <c r="C218" i="21" a="1"/>
  <c r="C218" i="21" s="1"/>
  <c r="C234" i="21" a="1"/>
  <c r="C234" i="21" s="1"/>
  <c r="C242" i="21" a="1"/>
  <c r="C242" i="21" s="1"/>
  <c r="C250" i="21" a="1"/>
  <c r="C250" i="21" s="1"/>
  <c r="C258" i="21" a="1"/>
  <c r="C258" i="21" s="1"/>
  <c r="C266" i="21" a="1"/>
  <c r="C266" i="21" s="1"/>
  <c r="G1" i="14" a="1"/>
  <c r="G1" i="14" s="1"/>
  <c r="J1" i="14" a="1"/>
  <c r="J1" i="14" s="1"/>
  <c r="C18" i="21" a="1"/>
  <c r="C18" i="21" s="1"/>
  <c r="G236" i="21" a="1"/>
  <c r="G236" i="21" s="1"/>
  <c r="G29" i="21" a="1"/>
  <c r="G29" i="21" s="1"/>
  <c r="G36" i="21" a="1"/>
  <c r="G36" i="21" s="1"/>
  <c r="G50" i="21" a="1"/>
  <c r="G50" i="21" s="1"/>
  <c r="G55" i="21" a="1"/>
  <c r="G55" i="21" s="1"/>
  <c r="G61" i="21" a="1"/>
  <c r="G61" i="21" s="1"/>
  <c r="G68" i="21" a="1"/>
  <c r="G68" i="21" s="1"/>
  <c r="G82" i="21" a="1"/>
  <c r="G82" i="21" s="1"/>
  <c r="G87" i="21" a="1"/>
  <c r="G87" i="21" s="1"/>
  <c r="G93" i="21" a="1"/>
  <c r="G93" i="21" s="1"/>
  <c r="G100" i="21" a="1"/>
  <c r="G100" i="21" s="1"/>
  <c r="G114" i="21" a="1"/>
  <c r="G114" i="21" s="1"/>
  <c r="G119" i="21" a="1"/>
  <c r="G119" i="21" s="1"/>
  <c r="G125" i="21" a="1"/>
  <c r="G125" i="21" s="1"/>
  <c r="G132" i="21" a="1"/>
  <c r="G132" i="21" s="1"/>
  <c r="G146" i="21" a="1"/>
  <c r="G146" i="21" s="1"/>
  <c r="G151" i="21" a="1"/>
  <c r="G151" i="21" s="1"/>
  <c r="G157" i="21" a="1"/>
  <c r="G157" i="21" s="1"/>
  <c r="G164" i="21" a="1"/>
  <c r="G164" i="21" s="1"/>
  <c r="G178" i="21" a="1"/>
  <c r="G178" i="21" s="1"/>
  <c r="G183" i="21" a="1"/>
  <c r="G183" i="21" s="1"/>
  <c r="G189" i="21" a="1"/>
  <c r="G189" i="21" s="1"/>
  <c r="G196" i="21" a="1"/>
  <c r="G196" i="21" s="1"/>
  <c r="G210" i="21" a="1"/>
  <c r="G210" i="21" s="1"/>
  <c r="G215" i="21" a="1"/>
  <c r="G215" i="21" s="1"/>
  <c r="G221" i="21" a="1"/>
  <c r="G221" i="21" s="1"/>
  <c r="G228" i="21" a="1"/>
  <c r="G228" i="21" s="1"/>
  <c r="G250" i="21" a="1"/>
  <c r="G250" i="21" s="1"/>
  <c r="G255" i="21" a="1"/>
  <c r="G255" i="21" s="1"/>
  <c r="G261" i="21" a="1"/>
  <c r="G261" i="21" s="1"/>
  <c r="G268" i="21" a="1"/>
  <c r="G268" i="21" s="1"/>
  <c r="C163" i="21" a="1"/>
  <c r="C163" i="21" s="1"/>
  <c r="H1" i="14" a="1"/>
  <c r="H1" i="14" s="1"/>
  <c r="M1" i="14" a="1"/>
  <c r="M1" i="14" s="1"/>
  <c r="P1" i="14" a="1"/>
  <c r="P1" i="14" s="1"/>
  <c r="G18" i="21" a="1"/>
  <c r="G18" i="21" s="1"/>
  <c r="G20" i="21" a="1"/>
  <c r="G20" i="21" s="1"/>
  <c r="C23" i="21" a="1"/>
  <c r="C23" i="21" s="1"/>
  <c r="G26" i="21" a="1"/>
  <c r="G26" i="21" s="1"/>
  <c r="G31" i="21" a="1"/>
  <c r="G31" i="21" s="1"/>
  <c r="G37" i="21" a="1"/>
  <c r="G37" i="21" s="1"/>
  <c r="G44" i="21" a="1"/>
  <c r="G44" i="21" s="1"/>
  <c r="G58" i="21" a="1"/>
  <c r="G58" i="21" s="1"/>
  <c r="G63" i="21" a="1"/>
  <c r="G63" i="21" s="1"/>
  <c r="G69" i="21" a="1"/>
  <c r="G69" i="21" s="1"/>
  <c r="G76" i="21" a="1"/>
  <c r="G76" i="21" s="1"/>
  <c r="G90" i="21" a="1"/>
  <c r="G90" i="21" s="1"/>
  <c r="G95" i="21" a="1"/>
  <c r="G95" i="21" s="1"/>
  <c r="G101" i="21" a="1"/>
  <c r="G101" i="21" s="1"/>
  <c r="G108" i="21" a="1"/>
  <c r="G108" i="21" s="1"/>
  <c r="G122" i="21" a="1"/>
  <c r="G122" i="21" s="1"/>
  <c r="G127" i="21" a="1"/>
  <c r="G127" i="21" s="1"/>
  <c r="G133" i="21" a="1"/>
  <c r="G133" i="21" s="1"/>
  <c r="G140" i="21" a="1"/>
  <c r="G140" i="21" s="1"/>
  <c r="G154" i="21" a="1"/>
  <c r="G154" i="21" s="1"/>
  <c r="G159" i="21" a="1"/>
  <c r="G159" i="21" s="1"/>
  <c r="G165" i="21" a="1"/>
  <c r="G165" i="21" s="1"/>
  <c r="G172" i="21" a="1"/>
  <c r="G172" i="21" s="1"/>
  <c r="G186" i="21" a="1"/>
  <c r="G186" i="21" s="1"/>
  <c r="G191" i="21" a="1"/>
  <c r="G191" i="21" s="1"/>
  <c r="G197" i="21" a="1"/>
  <c r="G197" i="21" s="1"/>
  <c r="G204" i="21" a="1"/>
  <c r="G204" i="21" s="1"/>
  <c r="G218" i="21" a="1"/>
  <c r="G218" i="21" s="1"/>
  <c r="G223" i="21" a="1"/>
  <c r="G223" i="21" s="1"/>
  <c r="G229" i="21" a="1"/>
  <c r="G229" i="21" s="1"/>
  <c r="G237" i="21" a="1"/>
  <c r="G237" i="21" s="1"/>
  <c r="G244" i="21" a="1"/>
  <c r="G244" i="21" s="1"/>
  <c r="G258" i="21" a="1"/>
  <c r="G258" i="21" s="1"/>
  <c r="G263" i="21" a="1"/>
  <c r="G263" i="21" s="1"/>
  <c r="G269" i="21" a="1"/>
  <c r="G269" i="21" s="1"/>
  <c r="C29" i="21" a="1"/>
  <c r="C29" i="21" s="1"/>
  <c r="C37" i="21" a="1"/>
  <c r="C37" i="21" s="1"/>
  <c r="C45" i="21" a="1"/>
  <c r="C45" i="21" s="1"/>
  <c r="C53" i="21" a="1"/>
  <c r="C53" i="21" s="1"/>
  <c r="C61" i="21" a="1"/>
  <c r="C61" i="21" s="1"/>
  <c r="C69" i="21" a="1"/>
  <c r="C69" i="21" s="1"/>
  <c r="C77" i="21" a="1"/>
  <c r="C77" i="21" s="1"/>
  <c r="C85" i="21" a="1"/>
  <c r="C85" i="21" s="1"/>
  <c r="C93" i="21" a="1"/>
  <c r="C93" i="21" s="1"/>
  <c r="C101" i="21" a="1"/>
  <c r="C101" i="21" s="1"/>
  <c r="C109" i="21" a="1"/>
  <c r="C109" i="21" s="1"/>
  <c r="C117" i="21" a="1"/>
  <c r="C117" i="21" s="1"/>
  <c r="C125" i="21" a="1"/>
  <c r="C125" i="21" s="1"/>
  <c r="C133" i="21" a="1"/>
  <c r="C133" i="21" s="1"/>
  <c r="C141" i="21" a="1"/>
  <c r="C141" i="21" s="1"/>
  <c r="C149" i="21" a="1"/>
  <c r="C149" i="21" s="1"/>
  <c r="C157" i="21" a="1"/>
  <c r="C157" i="21" s="1"/>
  <c r="C165" i="21" a="1"/>
  <c r="C165" i="21" s="1"/>
  <c r="C173" i="21" a="1"/>
  <c r="C173" i="21" s="1"/>
  <c r="C181" i="21" a="1"/>
  <c r="C181" i="21" s="1"/>
  <c r="C189" i="21" a="1"/>
  <c r="C189" i="21" s="1"/>
  <c r="C197" i="21" a="1"/>
  <c r="C197" i="21" s="1"/>
  <c r="C205" i="21" a="1"/>
  <c r="C205" i="21" s="1"/>
  <c r="C213" i="21" a="1"/>
  <c r="C213" i="21" s="1"/>
  <c r="C221" i="21" a="1"/>
  <c r="C221" i="21" s="1"/>
  <c r="C229" i="21" a="1"/>
  <c r="C229" i="21" s="1"/>
  <c r="C237" i="21" a="1"/>
  <c r="C237" i="21" s="1"/>
  <c r="C245" i="21" a="1"/>
  <c r="C245" i="21" s="1"/>
  <c r="C253" i="21" a="1"/>
  <c r="C253" i="21" s="1"/>
  <c r="C261" i="21" a="1"/>
  <c r="C261" i="21" s="1"/>
  <c r="C269" i="21" a="1"/>
  <c r="C269" i="21" s="1"/>
  <c r="K1" i="14" a="1"/>
  <c r="K1" i="14" s="1"/>
  <c r="N1" i="14" a="1"/>
  <c r="N1" i="14" s="1"/>
  <c r="S1" i="14" a="1"/>
  <c r="S1" i="14" s="1"/>
  <c r="V1" i="14" a="1"/>
  <c r="V1" i="14" s="1"/>
  <c r="AA1" i="14" a="1"/>
  <c r="AA1" i="14" s="1"/>
  <c r="AD1" i="14" a="1"/>
  <c r="AD1" i="14" s="1"/>
  <c r="AI1" i="14" a="1"/>
  <c r="AI1" i="14" s="1"/>
  <c r="AL1" i="14" a="1"/>
  <c r="AL1" i="14" s="1"/>
  <c r="AQ1" i="14" a="1"/>
  <c r="AQ1" i="14" s="1"/>
  <c r="AT1" i="14" a="1"/>
  <c r="AT1" i="14" s="1"/>
  <c r="AY1" i="14" a="1"/>
  <c r="AY1" i="14" s="1"/>
  <c r="BB1" i="14" a="1"/>
  <c r="BB1" i="14" s="1"/>
  <c r="BG1" i="14" a="1"/>
  <c r="BG1" i="14" s="1"/>
  <c r="BJ1" i="14" a="1"/>
  <c r="BJ1" i="14" s="1"/>
  <c r="Q1" i="14" a="1"/>
  <c r="Q1" i="14" s="1"/>
  <c r="T1" i="14" a="1"/>
  <c r="T1" i="14" s="1"/>
  <c r="Y1" i="14" a="1"/>
  <c r="Y1" i="14" s="1"/>
  <c r="AB1" i="14" a="1"/>
  <c r="AB1" i="14" s="1"/>
  <c r="AG1" i="14" a="1"/>
  <c r="AG1" i="14" s="1"/>
  <c r="AJ1" i="14" a="1"/>
  <c r="AJ1" i="14" s="1"/>
  <c r="AO1" i="14" a="1"/>
  <c r="AO1" i="14" s="1"/>
  <c r="AR1" i="14" a="1"/>
  <c r="AR1" i="14" s="1"/>
  <c r="AW1" i="14" a="1"/>
  <c r="AW1" i="14" s="1"/>
  <c r="AZ1" i="14" a="1"/>
  <c r="AZ1" i="14" s="1"/>
  <c r="BE1" i="14" a="1"/>
  <c r="BE1" i="14" s="1"/>
  <c r="BH1" i="14" a="1"/>
  <c r="BH1" i="14" s="1"/>
  <c r="F1" i="14" a="1"/>
  <c r="F1" i="14" s="1"/>
  <c r="R1" i="14" a="1"/>
  <c r="R1" i="14" s="1"/>
  <c r="W1" i="14" a="1"/>
  <c r="W1" i="14" s="1"/>
  <c r="Z1" i="14" a="1"/>
  <c r="Z1" i="14" s="1"/>
  <c r="AE1" i="14" a="1"/>
  <c r="AE1" i="14" s="1"/>
  <c r="AH1" i="14" a="1"/>
  <c r="AH1" i="14" s="1"/>
  <c r="AM1" i="14" a="1"/>
  <c r="AM1" i="14" s="1"/>
  <c r="AP1" i="14" a="1"/>
  <c r="AP1" i="14" s="1"/>
  <c r="AU1" i="14" a="1"/>
  <c r="AU1" i="14" s="1"/>
  <c r="AX1" i="14" a="1"/>
  <c r="AX1" i="14" s="1"/>
  <c r="BC1" i="14" a="1"/>
  <c r="BC1" i="14" s="1"/>
  <c r="BF1" i="14" a="1"/>
  <c r="BF1" i="14" s="1"/>
  <c r="BK1" i="14" a="1"/>
  <c r="BK1" i="14" s="1"/>
  <c r="E1" i="14" a="1"/>
  <c r="E1" i="14" s="1"/>
  <c r="O1" i="14" a="1"/>
  <c r="O1" i="14" s="1"/>
  <c r="U1" i="14" a="1"/>
  <c r="U1" i="14" s="1"/>
  <c r="X1" i="14" a="1"/>
  <c r="X1" i="14" s="1"/>
  <c r="AC1" i="14" a="1"/>
  <c r="AC1" i="14" s="1"/>
  <c r="AF1" i="14" a="1"/>
  <c r="AF1" i="14" s="1"/>
  <c r="AK1" i="14" a="1"/>
  <c r="AK1" i="14" s="1"/>
  <c r="AN1" i="14" a="1"/>
  <c r="AN1" i="14" s="1"/>
  <c r="AS1" i="14" a="1"/>
  <c r="AS1" i="14" s="1"/>
  <c r="AV1" i="14" a="1"/>
  <c r="AV1" i="14" s="1"/>
  <c r="BA1" i="14" a="1"/>
  <c r="BA1" i="14" s="1"/>
  <c r="BD1" i="14" a="1"/>
  <c r="BD1" i="14" s="1"/>
  <c r="BI1" i="14" a="1"/>
  <c r="BI1" i="14" s="1"/>
  <c r="BL1" i="14" a="1"/>
  <c r="BL1" i="14" s="1"/>
  <c r="C13" i="21" a="1"/>
  <c r="C13" i="21" s="1"/>
  <c r="C10" i="21" a="1"/>
  <c r="C10" i="21" s="1"/>
  <c r="G13" i="21" a="1"/>
  <c r="G13" i="21" s="1"/>
  <c r="G10" i="21" a="1"/>
  <c r="G10" i="21" s="1"/>
  <c r="C15" i="21" a="1"/>
  <c r="C15" i="21" s="1"/>
  <c r="G15" i="21" a="1"/>
  <c r="G15" i="21" s="1"/>
  <c r="BJ87" i="14" a="1"/>
  <c r="BJ87" i="14" s="1"/>
  <c r="BF87" i="14" a="1"/>
  <c r="BF87" i="14" s="1"/>
  <c r="BB87" i="14" a="1"/>
  <c r="BB87" i="14" s="1"/>
  <c r="AX87" i="14" a="1"/>
  <c r="AX87" i="14" s="1"/>
  <c r="AT87" i="14" a="1"/>
  <c r="AT87" i="14" s="1"/>
  <c r="AP87" i="14" a="1"/>
  <c r="AP87" i="14" s="1"/>
  <c r="AL87" i="14" a="1"/>
  <c r="AL87" i="14" s="1"/>
  <c r="AH87" i="14" a="1"/>
  <c r="AH87" i="14" s="1"/>
  <c r="AD87" i="14" a="1"/>
  <c r="AD87" i="14" s="1"/>
  <c r="Z87" i="14" a="1"/>
  <c r="Z87" i="14" s="1"/>
  <c r="V87" i="14" a="1"/>
  <c r="V87" i="14" s="1"/>
  <c r="R87" i="14" a="1"/>
  <c r="R87" i="14" s="1"/>
  <c r="BI87" i="14" a="1"/>
  <c r="BI87" i="14" s="1"/>
  <c r="BE87" i="14" a="1"/>
  <c r="BE87" i="14" s="1"/>
  <c r="BA87" i="14" a="1"/>
  <c r="BA87" i="14" s="1"/>
  <c r="AW87" i="14" a="1"/>
  <c r="AW87" i="14" s="1"/>
  <c r="AS87" i="14" a="1"/>
  <c r="AS87" i="14" s="1"/>
  <c r="AO87" i="14" a="1"/>
  <c r="AO87" i="14" s="1"/>
  <c r="AK87" i="14" a="1"/>
  <c r="AK87" i="14" s="1"/>
  <c r="AG87" i="14" a="1"/>
  <c r="AG87" i="14" s="1"/>
  <c r="AC87" i="14" a="1"/>
  <c r="AC87" i="14" s="1"/>
  <c r="Y87" i="14" a="1"/>
  <c r="Y87" i="14" s="1"/>
  <c r="U87" i="14" a="1"/>
  <c r="U87" i="14" s="1"/>
  <c r="Q87" i="14" a="1"/>
  <c r="Q87" i="14" s="1"/>
  <c r="M87" i="14" a="1"/>
  <c r="M87" i="14" s="1"/>
  <c r="I87" i="14" a="1"/>
  <c r="I87" i="14" s="1"/>
  <c r="BL86" i="14" a="1"/>
  <c r="BL86" i="14" s="1"/>
  <c r="BH86" i="14" a="1"/>
  <c r="BH86" i="14" s="1"/>
  <c r="BD86" i="14" a="1"/>
  <c r="BD86" i="14" s="1"/>
  <c r="AZ86" i="14" a="1"/>
  <c r="AZ86" i="14" s="1"/>
  <c r="AV86" i="14" a="1"/>
  <c r="AV86" i="14" s="1"/>
  <c r="AR86" i="14" a="1"/>
  <c r="AR86" i="14" s="1"/>
  <c r="AN86" i="14" a="1"/>
  <c r="AN86" i="14" s="1"/>
  <c r="AJ86" i="14" a="1"/>
  <c r="AJ86" i="14" s="1"/>
  <c r="AF86" i="14" a="1"/>
  <c r="AF86" i="14" s="1"/>
  <c r="AB86" i="14" a="1"/>
  <c r="AB86" i="14" s="1"/>
  <c r="X86" i="14" a="1"/>
  <c r="X86" i="14" s="1"/>
  <c r="T86" i="14" a="1"/>
  <c r="T86" i="14" s="1"/>
  <c r="P86" i="14" a="1"/>
  <c r="P86" i="14" s="1"/>
  <c r="L86" i="14" a="1"/>
  <c r="L86" i="14" s="1"/>
  <c r="H86" i="14" a="1"/>
  <c r="H86" i="14" s="1"/>
  <c r="BK82" i="14" a="1"/>
  <c r="BK82" i="14" s="1"/>
  <c r="BG82" i="14" a="1"/>
  <c r="BG82" i="14" s="1"/>
  <c r="BC82" i="14" a="1"/>
  <c r="BC82" i="14" s="1"/>
  <c r="AY82" i="14" a="1"/>
  <c r="AY82" i="14" s="1"/>
  <c r="AU82" i="14" a="1"/>
  <c r="AU82" i="14" s="1"/>
  <c r="AQ82" i="14" a="1"/>
  <c r="AQ82" i="14" s="1"/>
  <c r="AM82" i="14" a="1"/>
  <c r="AM82" i="14" s="1"/>
  <c r="AI82" i="14" a="1"/>
  <c r="AI82" i="14" s="1"/>
  <c r="AE82" i="14" a="1"/>
  <c r="AE82" i="14" s="1"/>
  <c r="AA82" i="14" a="1"/>
  <c r="AA82" i="14" s="1"/>
  <c r="W82" i="14" a="1"/>
  <c r="W82" i="14" s="1"/>
  <c r="S82" i="14" a="1"/>
  <c r="S82" i="14" s="1"/>
  <c r="O82" i="14" a="1"/>
  <c r="O82" i="14" s="1"/>
  <c r="K82" i="14" a="1"/>
  <c r="K82" i="14" s="1"/>
  <c r="G82" i="14" a="1"/>
  <c r="G82" i="14" s="1"/>
  <c r="BJ81" i="14" a="1"/>
  <c r="BJ81" i="14" s="1"/>
  <c r="BF81" i="14" a="1"/>
  <c r="BF81" i="14" s="1"/>
  <c r="BB81" i="14" a="1"/>
  <c r="BB81" i="14" s="1"/>
  <c r="AX81" i="14" a="1"/>
  <c r="AX81" i="14" s="1"/>
  <c r="AT81" i="14" a="1"/>
  <c r="AT81" i="14" s="1"/>
  <c r="AP81" i="14" a="1"/>
  <c r="AP81" i="14" s="1"/>
  <c r="AL81" i="14" a="1"/>
  <c r="AL81" i="14" s="1"/>
  <c r="AH81" i="14" a="1"/>
  <c r="AH81" i="14" s="1"/>
  <c r="AD81" i="14" a="1"/>
  <c r="AD81" i="14" s="1"/>
  <c r="Z81" i="14" a="1"/>
  <c r="Z81" i="14" s="1"/>
  <c r="V81" i="14" a="1"/>
  <c r="V81" i="14" s="1"/>
  <c r="R81" i="14" a="1"/>
  <c r="R81" i="14" s="1"/>
  <c r="N81" i="14" a="1"/>
  <c r="N81" i="14" s="1"/>
  <c r="J81" i="14" a="1"/>
  <c r="J81" i="14" s="1"/>
  <c r="BI77" i="14" a="1"/>
  <c r="BI77" i="14" s="1"/>
  <c r="BE77" i="14" a="1"/>
  <c r="BE77" i="14" s="1"/>
  <c r="BA77" i="14" a="1"/>
  <c r="BA77" i="14" s="1"/>
  <c r="AW77" i="14" a="1"/>
  <c r="AW77" i="14" s="1"/>
  <c r="AS77" i="14" a="1"/>
  <c r="AS77" i="14" s="1"/>
  <c r="AO77" i="14" a="1"/>
  <c r="AO77" i="14" s="1"/>
  <c r="AK77" i="14" a="1"/>
  <c r="AK77" i="14" s="1"/>
  <c r="AG77" i="14" a="1"/>
  <c r="AG77" i="14" s="1"/>
  <c r="AC77" i="14" a="1"/>
  <c r="AC77" i="14" s="1"/>
  <c r="Y77" i="14" a="1"/>
  <c r="Y77" i="14" s="1"/>
  <c r="U77" i="14" a="1"/>
  <c r="U77" i="14" s="1"/>
  <c r="Q77" i="14" a="1"/>
  <c r="Q77" i="14" s="1"/>
  <c r="BL87" i="14" a="1"/>
  <c r="BL87" i="14" s="1"/>
  <c r="BH87" i="14" a="1"/>
  <c r="BH87" i="14" s="1"/>
  <c r="BD87" i="14" a="1"/>
  <c r="BD87" i="14" s="1"/>
  <c r="AZ87" i="14" a="1"/>
  <c r="AZ87" i="14" s="1"/>
  <c r="AV87" i="14" a="1"/>
  <c r="AV87" i="14" s="1"/>
  <c r="AR87" i="14" a="1"/>
  <c r="AR87" i="14" s="1"/>
  <c r="AN87" i="14" a="1"/>
  <c r="AN87" i="14" s="1"/>
  <c r="AJ87" i="14" a="1"/>
  <c r="AJ87" i="14" s="1"/>
  <c r="AF87" i="14" a="1"/>
  <c r="AF87" i="14" s="1"/>
  <c r="AB87" i="14" a="1"/>
  <c r="AB87" i="14" s="1"/>
  <c r="X87" i="14" a="1"/>
  <c r="X87" i="14" s="1"/>
  <c r="T87" i="14" a="1"/>
  <c r="T87" i="14" s="1"/>
  <c r="P87" i="14" a="1"/>
  <c r="P87" i="14" s="1"/>
  <c r="L87" i="14" a="1"/>
  <c r="L87" i="14" s="1"/>
  <c r="H87" i="14" a="1"/>
  <c r="H87" i="14" s="1"/>
  <c r="BK86" i="14" a="1"/>
  <c r="BK86" i="14" s="1"/>
  <c r="BG86" i="14" a="1"/>
  <c r="BG86" i="14" s="1"/>
  <c r="BC86" i="14" a="1"/>
  <c r="BC86" i="14" s="1"/>
  <c r="AY86" i="14" a="1"/>
  <c r="AY86" i="14" s="1"/>
  <c r="AU86" i="14" a="1"/>
  <c r="AU86" i="14" s="1"/>
  <c r="AQ86" i="14" a="1"/>
  <c r="AQ86" i="14" s="1"/>
  <c r="AM86" i="14" a="1"/>
  <c r="AM86" i="14" s="1"/>
  <c r="AI86" i="14" a="1"/>
  <c r="AI86" i="14" s="1"/>
  <c r="AE86" i="14" a="1"/>
  <c r="AE86" i="14" s="1"/>
  <c r="AA86" i="14" a="1"/>
  <c r="AA86" i="14" s="1"/>
  <c r="W86" i="14" a="1"/>
  <c r="W86" i="14" s="1"/>
  <c r="S86" i="14" a="1"/>
  <c r="S86" i="14" s="1"/>
  <c r="O86" i="14" a="1"/>
  <c r="O86" i="14" s="1"/>
  <c r="K86" i="14" a="1"/>
  <c r="K86" i="14" s="1"/>
  <c r="BJ82" i="14" a="1"/>
  <c r="BJ82" i="14" s="1"/>
  <c r="BF82" i="14" a="1"/>
  <c r="BF82" i="14" s="1"/>
  <c r="BB82" i="14" a="1"/>
  <c r="BB82" i="14" s="1"/>
  <c r="AX82" i="14" a="1"/>
  <c r="AX82" i="14" s="1"/>
  <c r="AT82" i="14" a="1"/>
  <c r="AT82" i="14" s="1"/>
  <c r="AP82" i="14" a="1"/>
  <c r="AP82" i="14" s="1"/>
  <c r="AL82" i="14" a="1"/>
  <c r="AL82" i="14" s="1"/>
  <c r="AH82" i="14" a="1"/>
  <c r="AH82" i="14" s="1"/>
  <c r="AD82" i="14" a="1"/>
  <c r="AD82" i="14" s="1"/>
  <c r="Z82" i="14" a="1"/>
  <c r="Z82" i="14" s="1"/>
  <c r="V82" i="14" a="1"/>
  <c r="V82" i="14" s="1"/>
  <c r="R82" i="14" a="1"/>
  <c r="R82" i="14" s="1"/>
  <c r="N82" i="14" a="1"/>
  <c r="N82" i="14" s="1"/>
  <c r="J82" i="14" a="1"/>
  <c r="J82" i="14" s="1"/>
  <c r="F82" i="14" a="1"/>
  <c r="F82" i="14" s="1"/>
  <c r="BI81" i="14" a="1"/>
  <c r="BI81" i="14" s="1"/>
  <c r="BE81" i="14" a="1"/>
  <c r="BE81" i="14" s="1"/>
  <c r="BA81" i="14" a="1"/>
  <c r="BA81" i="14" s="1"/>
  <c r="AW81" i="14" a="1"/>
  <c r="AW81" i="14" s="1"/>
  <c r="AS81" i="14" a="1"/>
  <c r="AS81" i="14" s="1"/>
  <c r="AO81" i="14" a="1"/>
  <c r="AO81" i="14" s="1"/>
  <c r="AK81" i="14" a="1"/>
  <c r="AK81" i="14" s="1"/>
  <c r="AG81" i="14" a="1"/>
  <c r="AG81" i="14" s="1"/>
  <c r="AC81" i="14" a="1"/>
  <c r="AC81" i="14" s="1"/>
  <c r="Y81" i="14" a="1"/>
  <c r="Y81" i="14" s="1"/>
  <c r="U81" i="14" a="1"/>
  <c r="U81" i="14" s="1"/>
  <c r="Q81" i="14" a="1"/>
  <c r="Q81" i="14" s="1"/>
  <c r="M81" i="14" a="1"/>
  <c r="M81" i="14" s="1"/>
  <c r="I81" i="14" a="1"/>
  <c r="I81" i="14" s="1"/>
  <c r="BL77" i="14" a="1"/>
  <c r="BL77" i="14" s="1"/>
  <c r="BH77" i="14" a="1"/>
  <c r="BH77" i="14" s="1"/>
  <c r="BD77" i="14" a="1"/>
  <c r="BD77" i="14" s="1"/>
  <c r="AZ77" i="14" a="1"/>
  <c r="AZ77" i="14" s="1"/>
  <c r="AV77" i="14" a="1"/>
  <c r="AV77" i="14" s="1"/>
  <c r="AR77" i="14" a="1"/>
  <c r="AR77" i="14" s="1"/>
  <c r="AN77" i="14" a="1"/>
  <c r="AN77" i="14" s="1"/>
  <c r="AJ77" i="14" a="1"/>
  <c r="AJ77" i="14" s="1"/>
  <c r="AF77" i="14" a="1"/>
  <c r="AF77" i="14" s="1"/>
  <c r="AB77" i="14" a="1"/>
  <c r="AB77" i="14" s="1"/>
  <c r="X77" i="14" a="1"/>
  <c r="X77" i="14" s="1"/>
  <c r="T77" i="14" a="1"/>
  <c r="T77" i="14" s="1"/>
  <c r="P77" i="14" a="1"/>
  <c r="P77" i="14" s="1"/>
  <c r="L77" i="14" a="1"/>
  <c r="L77" i="14" s="1"/>
  <c r="H77" i="14" a="1"/>
  <c r="H77" i="14" s="1"/>
  <c r="BK76" i="14" a="1"/>
  <c r="BK76" i="14" s="1"/>
  <c r="BG76" i="14" a="1"/>
  <c r="BG76" i="14" s="1"/>
  <c r="BC76" i="14" a="1"/>
  <c r="BC76" i="14" s="1"/>
  <c r="AY76" i="14" a="1"/>
  <c r="AY76" i="14" s="1"/>
  <c r="AU76" i="14" a="1"/>
  <c r="AU76" i="14" s="1"/>
  <c r="AQ76" i="14" a="1"/>
  <c r="AQ76" i="14" s="1"/>
  <c r="AM76" i="14" a="1"/>
  <c r="AM76" i="14" s="1"/>
  <c r="AI76" i="14" a="1"/>
  <c r="AI76" i="14" s="1"/>
  <c r="AE76" i="14" a="1"/>
  <c r="AE76" i="14" s="1"/>
  <c r="AA76" i="14" a="1"/>
  <c r="AA76" i="14" s="1"/>
  <c r="W76" i="14" a="1"/>
  <c r="W76" i="14" s="1"/>
  <c r="BK87" i="14" a="1"/>
  <c r="BK87" i="14" s="1"/>
  <c r="BG87" i="14" a="1"/>
  <c r="BG87" i="14" s="1"/>
  <c r="BC87" i="14" a="1"/>
  <c r="BC87" i="14" s="1"/>
  <c r="AY87" i="14" a="1"/>
  <c r="AY87" i="14" s="1"/>
  <c r="AU87" i="14" a="1"/>
  <c r="AU87" i="14" s="1"/>
  <c r="AQ87" i="14" a="1"/>
  <c r="AQ87" i="14" s="1"/>
  <c r="AM87" i="14" a="1"/>
  <c r="AM87" i="14" s="1"/>
  <c r="AI87" i="14" a="1"/>
  <c r="AI87" i="14" s="1"/>
  <c r="AE87" i="14" a="1"/>
  <c r="AE87" i="14" s="1"/>
  <c r="AA87" i="14" a="1"/>
  <c r="AA87" i="14" s="1"/>
  <c r="W87" i="14" a="1"/>
  <c r="W87" i="14" s="1"/>
  <c r="S87" i="14" a="1"/>
  <c r="S87" i="14" s="1"/>
  <c r="O87" i="14" a="1"/>
  <c r="O87" i="14" s="1"/>
  <c r="K87" i="14" a="1"/>
  <c r="K87" i="14" s="1"/>
  <c r="G87" i="14" a="1"/>
  <c r="G87" i="14" s="1"/>
  <c r="BJ86" i="14" a="1"/>
  <c r="BJ86" i="14" s="1"/>
  <c r="BF86" i="14" a="1"/>
  <c r="BF86" i="14" s="1"/>
  <c r="BB86" i="14" a="1"/>
  <c r="BB86" i="14" s="1"/>
  <c r="AX86" i="14" a="1"/>
  <c r="AX86" i="14" s="1"/>
  <c r="AT86" i="14" a="1"/>
  <c r="AT86" i="14" s="1"/>
  <c r="AP86" i="14" a="1"/>
  <c r="AP86" i="14" s="1"/>
  <c r="AL86" i="14" a="1"/>
  <c r="AL86" i="14" s="1"/>
  <c r="AH86" i="14" a="1"/>
  <c r="AH86" i="14" s="1"/>
  <c r="AD86" i="14" a="1"/>
  <c r="AD86" i="14" s="1"/>
  <c r="Z86" i="14" a="1"/>
  <c r="Z86" i="14" s="1"/>
  <c r="V86" i="14" a="1"/>
  <c r="V86" i="14" s="1"/>
  <c r="R86" i="14" a="1"/>
  <c r="R86" i="14" s="1"/>
  <c r="N86" i="14" a="1"/>
  <c r="N86" i="14" s="1"/>
  <c r="J86" i="14" a="1"/>
  <c r="J86" i="14" s="1"/>
  <c r="BI82" i="14" a="1"/>
  <c r="BI82" i="14" s="1"/>
  <c r="BE82" i="14" a="1"/>
  <c r="BE82" i="14" s="1"/>
  <c r="BA82" i="14" a="1"/>
  <c r="BA82" i="14" s="1"/>
  <c r="AW82" i="14" a="1"/>
  <c r="AW82" i="14" s="1"/>
  <c r="AS82" i="14" a="1"/>
  <c r="AS82" i="14" s="1"/>
  <c r="AO82" i="14" a="1"/>
  <c r="AO82" i="14" s="1"/>
  <c r="AK82" i="14" a="1"/>
  <c r="AK82" i="14" s="1"/>
  <c r="AG82" i="14" a="1"/>
  <c r="AG82" i="14" s="1"/>
  <c r="AC82" i="14" a="1"/>
  <c r="AC82" i="14" s="1"/>
  <c r="Y82" i="14" a="1"/>
  <c r="Y82" i="14" s="1"/>
  <c r="U82" i="14" a="1"/>
  <c r="U82" i="14" s="1"/>
  <c r="Q82" i="14" a="1"/>
  <c r="Q82" i="14" s="1"/>
  <c r="M82" i="14" a="1"/>
  <c r="M82" i="14" s="1"/>
  <c r="I82" i="14" a="1"/>
  <c r="I82" i="14" s="1"/>
  <c r="BL81" i="14" a="1"/>
  <c r="BL81" i="14" s="1"/>
  <c r="BH81" i="14" a="1"/>
  <c r="BH81" i="14" s="1"/>
  <c r="BD81" i="14" a="1"/>
  <c r="BD81" i="14" s="1"/>
  <c r="AZ81" i="14" a="1"/>
  <c r="AZ81" i="14" s="1"/>
  <c r="AV81" i="14" a="1"/>
  <c r="AV81" i="14" s="1"/>
  <c r="AR81" i="14" a="1"/>
  <c r="AR81" i="14" s="1"/>
  <c r="AN81" i="14" a="1"/>
  <c r="AN81" i="14" s="1"/>
  <c r="AJ81" i="14" a="1"/>
  <c r="AJ81" i="14" s="1"/>
  <c r="AF81" i="14" a="1"/>
  <c r="AF81" i="14" s="1"/>
  <c r="AB81" i="14" a="1"/>
  <c r="AB81" i="14" s="1"/>
  <c r="X81" i="14" a="1"/>
  <c r="X81" i="14" s="1"/>
  <c r="T81" i="14" a="1"/>
  <c r="T81" i="14" s="1"/>
  <c r="P81" i="14" a="1"/>
  <c r="P81" i="14" s="1"/>
  <c r="L81" i="14" a="1"/>
  <c r="L81" i="14" s="1"/>
  <c r="H81" i="14" a="1"/>
  <c r="H81" i="14" s="1"/>
  <c r="BK77" i="14" a="1"/>
  <c r="BK77" i="14" s="1"/>
  <c r="BG77" i="14" a="1"/>
  <c r="BG77" i="14" s="1"/>
  <c r="BC77" i="14" a="1"/>
  <c r="BC77" i="14" s="1"/>
  <c r="AY77" i="14" a="1"/>
  <c r="AY77" i="14" s="1"/>
  <c r="AU77" i="14" a="1"/>
  <c r="AU77" i="14" s="1"/>
  <c r="AQ77" i="14" a="1"/>
  <c r="AQ77" i="14" s="1"/>
  <c r="AM77" i="14" a="1"/>
  <c r="AM77" i="14" s="1"/>
  <c r="AI77" i="14" a="1"/>
  <c r="AI77" i="14" s="1"/>
  <c r="AE77" i="14" a="1"/>
  <c r="AE77" i="14" s="1"/>
  <c r="AA77" i="14" a="1"/>
  <c r="AA77" i="14" s="1"/>
  <c r="W77" i="14" a="1"/>
  <c r="W77" i="14" s="1"/>
  <c r="S77" i="14" a="1"/>
  <c r="S77" i="14" s="1"/>
  <c r="N87" i="14" a="1"/>
  <c r="N87" i="14" s="1"/>
  <c r="BE86" i="14" a="1"/>
  <c r="BE86" i="14" s="1"/>
  <c r="AO86" i="14" a="1"/>
  <c r="AO86" i="14" s="1"/>
  <c r="Y86" i="14" a="1"/>
  <c r="Y86" i="14" s="1"/>
  <c r="I86" i="14" a="1"/>
  <c r="I86" i="14" s="1"/>
  <c r="AZ82" i="14" a="1"/>
  <c r="AZ82" i="14" s="1"/>
  <c r="AJ82" i="14" a="1"/>
  <c r="AJ82" i="14" s="1"/>
  <c r="T82" i="14" a="1"/>
  <c r="T82" i="14" s="1"/>
  <c r="BK81" i="14" a="1"/>
  <c r="BK81" i="14" s="1"/>
  <c r="AU81" i="14" a="1"/>
  <c r="AU81" i="14" s="1"/>
  <c r="AE81" i="14" a="1"/>
  <c r="AE81" i="14" s="1"/>
  <c r="O81" i="14" a="1"/>
  <c r="O81" i="14" s="1"/>
  <c r="BF77" i="14" a="1"/>
  <c r="BF77" i="14" s="1"/>
  <c r="AP77" i="14" a="1"/>
  <c r="AP77" i="14" s="1"/>
  <c r="Z77" i="14" a="1"/>
  <c r="Z77" i="14" s="1"/>
  <c r="N77" i="14" a="1"/>
  <c r="N77" i="14" s="1"/>
  <c r="I77" i="14" a="1"/>
  <c r="I77" i="14" s="1"/>
  <c r="BJ76" i="14" a="1"/>
  <c r="BJ76" i="14" s="1"/>
  <c r="BE76" i="14" a="1"/>
  <c r="BE76" i="14" s="1"/>
  <c r="AZ76" i="14" a="1"/>
  <c r="AZ76" i="14" s="1"/>
  <c r="AT76" i="14" a="1"/>
  <c r="AT76" i="14" s="1"/>
  <c r="AO76" i="14" a="1"/>
  <c r="AO76" i="14" s="1"/>
  <c r="AJ76" i="14" a="1"/>
  <c r="AJ76" i="14" s="1"/>
  <c r="AD76" i="14" a="1"/>
  <c r="AD76" i="14" s="1"/>
  <c r="Y76" i="14" a="1"/>
  <c r="Y76" i="14" s="1"/>
  <c r="T76" i="14" a="1"/>
  <c r="T76" i="14" s="1"/>
  <c r="P76" i="14" a="1"/>
  <c r="P76" i="14" s="1"/>
  <c r="L76" i="14" a="1"/>
  <c r="L76" i="14" s="1"/>
  <c r="H76" i="14" a="1"/>
  <c r="H76" i="14" s="1"/>
  <c r="BL72" i="14" a="1"/>
  <c r="BL72" i="14" s="1"/>
  <c r="BH72" i="14" a="1"/>
  <c r="BH72" i="14" s="1"/>
  <c r="BD72" i="14" a="1"/>
  <c r="BD72" i="14" s="1"/>
  <c r="AZ72" i="14" a="1"/>
  <c r="AZ72" i="14" s="1"/>
  <c r="AV72" i="14" a="1"/>
  <c r="AV72" i="14" s="1"/>
  <c r="AR72" i="14" a="1"/>
  <c r="AR72" i="14" s="1"/>
  <c r="AN72" i="14" a="1"/>
  <c r="AN72" i="14" s="1"/>
  <c r="AJ72" i="14" a="1"/>
  <c r="AJ72" i="14" s="1"/>
  <c r="AF72" i="14" a="1"/>
  <c r="AF72" i="14" s="1"/>
  <c r="AB72" i="14" a="1"/>
  <c r="AB72" i="14" s="1"/>
  <c r="X72" i="14" a="1"/>
  <c r="X72" i="14" s="1"/>
  <c r="T72" i="14" a="1"/>
  <c r="T72" i="14" s="1"/>
  <c r="P72" i="14" a="1"/>
  <c r="P72" i="14" s="1"/>
  <c r="L72" i="14" a="1"/>
  <c r="L72" i="14" s="1"/>
  <c r="H72" i="14" a="1"/>
  <c r="H72" i="14" s="1"/>
  <c r="BK71" i="14" a="1"/>
  <c r="BK71" i="14" s="1"/>
  <c r="BG71" i="14" a="1"/>
  <c r="BG71" i="14" s="1"/>
  <c r="BC71" i="14" a="1"/>
  <c r="BC71" i="14" s="1"/>
  <c r="AY71" i="14" a="1"/>
  <c r="AY71" i="14" s="1"/>
  <c r="AU71" i="14" a="1"/>
  <c r="AU71" i="14" s="1"/>
  <c r="AQ71" i="14" a="1"/>
  <c r="AQ71" i="14" s="1"/>
  <c r="AM71" i="14" a="1"/>
  <c r="AM71" i="14" s="1"/>
  <c r="AI71" i="14" a="1"/>
  <c r="AI71" i="14" s="1"/>
  <c r="AE71" i="14" a="1"/>
  <c r="AE71" i="14" s="1"/>
  <c r="AA71" i="14" a="1"/>
  <c r="AA71" i="14" s="1"/>
  <c r="W71" i="14" a="1"/>
  <c r="W71" i="14" s="1"/>
  <c r="S71" i="14" a="1"/>
  <c r="S71" i="14" s="1"/>
  <c r="O71" i="14" a="1"/>
  <c r="O71" i="14" s="1"/>
  <c r="K71" i="14" a="1"/>
  <c r="K71" i="14" s="1"/>
  <c r="BJ67" i="14" a="1"/>
  <c r="BJ67" i="14" s="1"/>
  <c r="BF67" i="14" a="1"/>
  <c r="BF67" i="14" s="1"/>
  <c r="BB67" i="14" a="1"/>
  <c r="BB67" i="14" s="1"/>
  <c r="AX67" i="14" a="1"/>
  <c r="AX67" i="14" s="1"/>
  <c r="AT67" i="14" a="1"/>
  <c r="AT67" i="14" s="1"/>
  <c r="AP67" i="14" a="1"/>
  <c r="AP67" i="14" s="1"/>
  <c r="AL67" i="14" a="1"/>
  <c r="AL67" i="14" s="1"/>
  <c r="AH67" i="14" a="1"/>
  <c r="AH67" i="14" s="1"/>
  <c r="AD67" i="14" a="1"/>
  <c r="AD67" i="14" s="1"/>
  <c r="Z67" i="14" a="1"/>
  <c r="Z67" i="14" s="1"/>
  <c r="V67" i="14" a="1"/>
  <c r="V67" i="14" s="1"/>
  <c r="R67" i="14" a="1"/>
  <c r="R67" i="14" s="1"/>
  <c r="N67" i="14" a="1"/>
  <c r="N67" i="14" s="1"/>
  <c r="J67" i="14" a="1"/>
  <c r="J67" i="14" s="1"/>
  <c r="F67" i="14" a="1"/>
  <c r="F67" i="14" s="1"/>
  <c r="BI66" i="14" a="1"/>
  <c r="BI66" i="14" s="1"/>
  <c r="BE66" i="14" a="1"/>
  <c r="BE66" i="14" s="1"/>
  <c r="BA66" i="14" a="1"/>
  <c r="BA66" i="14" s="1"/>
  <c r="AW66" i="14" a="1"/>
  <c r="AW66" i="14" s="1"/>
  <c r="AS66" i="14" a="1"/>
  <c r="AS66" i="14" s="1"/>
  <c r="AO66" i="14" a="1"/>
  <c r="AO66" i="14" s="1"/>
  <c r="AK66" i="14" a="1"/>
  <c r="AK66" i="14" s="1"/>
  <c r="AG66" i="14" a="1"/>
  <c r="AG66" i="14" s="1"/>
  <c r="AC66" i="14" a="1"/>
  <c r="AC66" i="14" s="1"/>
  <c r="Y66" i="14" a="1"/>
  <c r="Y66" i="14" s="1"/>
  <c r="U66" i="14" a="1"/>
  <c r="U66" i="14" s="1"/>
  <c r="J87" i="14" a="1"/>
  <c r="J87" i="14" s="1"/>
  <c r="BA86" i="14" a="1"/>
  <c r="BA86" i="14" s="1"/>
  <c r="AK86" i="14" a="1"/>
  <c r="AK86" i="14" s="1"/>
  <c r="U86" i="14" a="1"/>
  <c r="U86" i="14" s="1"/>
  <c r="BL82" i="14" a="1"/>
  <c r="BL82" i="14" s="1"/>
  <c r="AV82" i="14" a="1"/>
  <c r="AV82" i="14" s="1"/>
  <c r="AF82" i="14" a="1"/>
  <c r="AF82" i="14" s="1"/>
  <c r="P82" i="14" a="1"/>
  <c r="P82" i="14" s="1"/>
  <c r="BG81" i="14" a="1"/>
  <c r="BG81" i="14" s="1"/>
  <c r="AQ81" i="14" a="1"/>
  <c r="AQ81" i="14" s="1"/>
  <c r="AA81" i="14" a="1"/>
  <c r="AA81" i="14" s="1"/>
  <c r="K81" i="14" a="1"/>
  <c r="K81" i="14" s="1"/>
  <c r="BB77" i="14" a="1"/>
  <c r="BB77" i="14" s="1"/>
  <c r="AL77" i="14" a="1"/>
  <c r="AL77" i="14" s="1"/>
  <c r="V77" i="14" a="1"/>
  <c r="V77" i="14" s="1"/>
  <c r="M77" i="14" a="1"/>
  <c r="M77" i="14" s="1"/>
  <c r="G77" i="14" a="1"/>
  <c r="G77" i="14" s="1"/>
  <c r="BI76" i="14" a="1"/>
  <c r="BI76" i="14" s="1"/>
  <c r="BD76" i="14" a="1"/>
  <c r="BD76" i="14" s="1"/>
  <c r="AX76" i="14" a="1"/>
  <c r="AX76" i="14" s="1"/>
  <c r="AS76" i="14" a="1"/>
  <c r="AS76" i="14" s="1"/>
  <c r="AN76" i="14" a="1"/>
  <c r="AN76" i="14" s="1"/>
  <c r="AH76" i="14" a="1"/>
  <c r="AH76" i="14" s="1"/>
  <c r="AC76" i="14" a="1"/>
  <c r="AC76" i="14" s="1"/>
  <c r="X76" i="14" a="1"/>
  <c r="X76" i="14" s="1"/>
  <c r="S76" i="14" a="1"/>
  <c r="S76" i="14" s="1"/>
  <c r="O76" i="14" a="1"/>
  <c r="O76" i="14" s="1"/>
  <c r="K76" i="14" a="1"/>
  <c r="K76" i="14" s="1"/>
  <c r="BK72" i="14" a="1"/>
  <c r="BK72" i="14" s="1"/>
  <c r="BG72" i="14" a="1"/>
  <c r="BG72" i="14" s="1"/>
  <c r="BC72" i="14" a="1"/>
  <c r="BC72" i="14" s="1"/>
  <c r="AY72" i="14" a="1"/>
  <c r="AY72" i="14" s="1"/>
  <c r="AU72" i="14" a="1"/>
  <c r="AU72" i="14" s="1"/>
  <c r="AQ72" i="14" a="1"/>
  <c r="AQ72" i="14" s="1"/>
  <c r="AM72" i="14" a="1"/>
  <c r="AM72" i="14" s="1"/>
  <c r="AI72" i="14" a="1"/>
  <c r="AI72" i="14" s="1"/>
  <c r="F87" i="14" a="1"/>
  <c r="F87" i="14" s="1"/>
  <c r="AW86" i="14" a="1"/>
  <c r="AW86" i="14" s="1"/>
  <c r="AG86" i="14" a="1"/>
  <c r="AG86" i="14" s="1"/>
  <c r="Q86" i="14" a="1"/>
  <c r="Q86" i="14" s="1"/>
  <c r="BH82" i="14" a="1"/>
  <c r="BH82" i="14" s="1"/>
  <c r="AR82" i="14" a="1"/>
  <c r="AR82" i="14" s="1"/>
  <c r="AB82" i="14" a="1"/>
  <c r="AB82" i="14" s="1"/>
  <c r="L82" i="14" a="1"/>
  <c r="L82" i="14" s="1"/>
  <c r="BC81" i="14" a="1"/>
  <c r="BC81" i="14" s="1"/>
  <c r="AM81" i="14" a="1"/>
  <c r="AM81" i="14" s="1"/>
  <c r="W81" i="14" a="1"/>
  <c r="W81" i="14" s="1"/>
  <c r="AX77" i="14" a="1"/>
  <c r="AX77" i="14" s="1"/>
  <c r="AH77" i="14" a="1"/>
  <c r="AH77" i="14" s="1"/>
  <c r="R77" i="14" a="1"/>
  <c r="R77" i="14" s="1"/>
  <c r="K77" i="14" a="1"/>
  <c r="K77" i="14" s="1"/>
  <c r="F77" i="14" a="1"/>
  <c r="F77" i="14" s="1"/>
  <c r="BH76" i="14" a="1"/>
  <c r="BH76" i="14" s="1"/>
  <c r="BB76" i="14" a="1"/>
  <c r="BB76" i="14" s="1"/>
  <c r="AW76" i="14" a="1"/>
  <c r="AW76" i="14" s="1"/>
  <c r="AR76" i="14" a="1"/>
  <c r="AR76" i="14" s="1"/>
  <c r="AL76" i="14" a="1"/>
  <c r="AL76" i="14" s="1"/>
  <c r="AG76" i="14" a="1"/>
  <c r="AG76" i="14" s="1"/>
  <c r="AB76" i="14" a="1"/>
  <c r="AB76" i="14" s="1"/>
  <c r="V76" i="14" a="1"/>
  <c r="V76" i="14" s="1"/>
  <c r="R76" i="14" a="1"/>
  <c r="R76" i="14" s="1"/>
  <c r="N76" i="14" a="1"/>
  <c r="N76" i="14" s="1"/>
  <c r="J76" i="14" a="1"/>
  <c r="J76" i="14" s="1"/>
  <c r="BJ72" i="14" a="1"/>
  <c r="BJ72" i="14" s="1"/>
  <c r="BF72" i="14" a="1"/>
  <c r="BF72" i="14" s="1"/>
  <c r="BB72" i="14" a="1"/>
  <c r="BB72" i="14" s="1"/>
  <c r="AX72" i="14" a="1"/>
  <c r="AX72" i="14" s="1"/>
  <c r="AT72" i="14" a="1"/>
  <c r="AT72" i="14" s="1"/>
  <c r="AP72" i="14" a="1"/>
  <c r="AP72" i="14" s="1"/>
  <c r="AL72" i="14" a="1"/>
  <c r="AL72" i="14" s="1"/>
  <c r="AH72" i="14" a="1"/>
  <c r="AH72" i="14" s="1"/>
  <c r="AD72" i="14" a="1"/>
  <c r="AD72" i="14" s="1"/>
  <c r="Z72" i="14" a="1"/>
  <c r="Z72" i="14" s="1"/>
  <c r="V72" i="14" a="1"/>
  <c r="V72" i="14" s="1"/>
  <c r="R72" i="14" a="1"/>
  <c r="R72" i="14" s="1"/>
  <c r="N72" i="14" a="1"/>
  <c r="N72" i="14" s="1"/>
  <c r="J72" i="14" a="1"/>
  <c r="J72" i="14" s="1"/>
  <c r="F72" i="14" a="1"/>
  <c r="F72" i="14" s="1"/>
  <c r="BI71" i="14" a="1"/>
  <c r="BI71" i="14" s="1"/>
  <c r="BE71" i="14" a="1"/>
  <c r="BE71" i="14" s="1"/>
  <c r="BA71" i="14" a="1"/>
  <c r="BA71" i="14" s="1"/>
  <c r="AW71" i="14" a="1"/>
  <c r="AW71" i="14" s="1"/>
  <c r="AS71" i="14" a="1"/>
  <c r="AS71" i="14" s="1"/>
  <c r="AO71" i="14" a="1"/>
  <c r="AO71" i="14" s="1"/>
  <c r="AK71" i="14" a="1"/>
  <c r="AK71" i="14" s="1"/>
  <c r="AG71" i="14" a="1"/>
  <c r="AG71" i="14" s="1"/>
  <c r="AC71" i="14" a="1"/>
  <c r="AC71" i="14" s="1"/>
  <c r="Y71" i="14" a="1"/>
  <c r="Y71" i="14" s="1"/>
  <c r="U71" i="14" a="1"/>
  <c r="U71" i="14" s="1"/>
  <c r="Q71" i="14" a="1"/>
  <c r="Q71" i="14" s="1"/>
  <c r="M71" i="14" a="1"/>
  <c r="M71" i="14" s="1"/>
  <c r="I71" i="14" a="1"/>
  <c r="I71" i="14" s="1"/>
  <c r="BL67" i="14" a="1"/>
  <c r="BL67" i="14" s="1"/>
  <c r="BH67" i="14" a="1"/>
  <c r="BH67" i="14" s="1"/>
  <c r="BD67" i="14" a="1"/>
  <c r="BD67" i="14" s="1"/>
  <c r="AZ67" i="14" a="1"/>
  <c r="AZ67" i="14" s="1"/>
  <c r="AV67" i="14" a="1"/>
  <c r="AV67" i="14" s="1"/>
  <c r="AR67" i="14" a="1"/>
  <c r="AR67" i="14" s="1"/>
  <c r="AN67" i="14" a="1"/>
  <c r="AN67" i="14" s="1"/>
  <c r="AJ67" i="14" a="1"/>
  <c r="AJ67" i="14" s="1"/>
  <c r="AF67" i="14" a="1"/>
  <c r="AF67" i="14" s="1"/>
  <c r="AB67" i="14" a="1"/>
  <c r="AB67" i="14" s="1"/>
  <c r="X67" i="14" a="1"/>
  <c r="X67" i="14" s="1"/>
  <c r="T67" i="14" a="1"/>
  <c r="T67" i="14" s="1"/>
  <c r="P67" i="14" a="1"/>
  <c r="P67" i="14" s="1"/>
  <c r="L67" i="14" a="1"/>
  <c r="L67" i="14" s="1"/>
  <c r="H67" i="14" a="1"/>
  <c r="H67" i="14" s="1"/>
  <c r="BK66" i="14" a="1"/>
  <c r="BK66" i="14" s="1"/>
  <c r="BG66" i="14" a="1"/>
  <c r="BG66" i="14" s="1"/>
  <c r="BC66" i="14" a="1"/>
  <c r="BC66" i="14" s="1"/>
  <c r="BI86" i="14" a="1"/>
  <c r="BI86" i="14" s="1"/>
  <c r="BD82" i="14" a="1"/>
  <c r="BD82" i="14" s="1"/>
  <c r="AY81" i="14" a="1"/>
  <c r="AY81" i="14" s="1"/>
  <c r="AT77" i="14" a="1"/>
  <c r="AT77" i="14" s="1"/>
  <c r="BL76" i="14" a="1"/>
  <c r="BL76" i="14" s="1"/>
  <c r="AP76" i="14" a="1"/>
  <c r="AP76" i="14" s="1"/>
  <c r="U76" i="14" a="1"/>
  <c r="U76" i="14" s="1"/>
  <c r="AW72" i="14" a="1"/>
  <c r="AW72" i="14" s="1"/>
  <c r="AG72" i="14" a="1"/>
  <c r="AG72" i="14" s="1"/>
  <c r="Y72" i="14" a="1"/>
  <c r="Y72" i="14" s="1"/>
  <c r="Q72" i="14" a="1"/>
  <c r="Q72" i="14" s="1"/>
  <c r="I72" i="14" a="1"/>
  <c r="I72" i="14" s="1"/>
  <c r="BH71" i="14" a="1"/>
  <c r="BH71" i="14" s="1"/>
  <c r="AZ71" i="14" a="1"/>
  <c r="AZ71" i="14" s="1"/>
  <c r="AR71" i="14" a="1"/>
  <c r="AR71" i="14" s="1"/>
  <c r="AJ71" i="14" a="1"/>
  <c r="AJ71" i="14" s="1"/>
  <c r="AB71" i="14" a="1"/>
  <c r="AB71" i="14" s="1"/>
  <c r="T71" i="14" a="1"/>
  <c r="T71" i="14" s="1"/>
  <c r="L71" i="14" a="1"/>
  <c r="L71" i="14" s="1"/>
  <c r="BK67" i="14" a="1"/>
  <c r="BK67" i="14" s="1"/>
  <c r="BC67" i="14" a="1"/>
  <c r="BC67" i="14" s="1"/>
  <c r="AU67" i="14" a="1"/>
  <c r="AU67" i="14" s="1"/>
  <c r="AM67" i="14" a="1"/>
  <c r="AM67" i="14" s="1"/>
  <c r="AE67" i="14" a="1"/>
  <c r="AE67" i="14" s="1"/>
  <c r="W67" i="14" a="1"/>
  <c r="W67" i="14" s="1"/>
  <c r="O67" i="14" a="1"/>
  <c r="O67" i="14" s="1"/>
  <c r="G67" i="14" a="1"/>
  <c r="G67" i="14" s="1"/>
  <c r="BF66" i="14" a="1"/>
  <c r="BF66" i="14" s="1"/>
  <c r="AY66" i="14" a="1"/>
  <c r="AY66" i="14" s="1"/>
  <c r="AT66" i="14" a="1"/>
  <c r="AT66" i="14" s="1"/>
  <c r="AN66" i="14" a="1"/>
  <c r="AN66" i="14" s="1"/>
  <c r="AI66" i="14" a="1"/>
  <c r="AI66" i="14" s="1"/>
  <c r="AD66" i="14" a="1"/>
  <c r="AD66" i="14" s="1"/>
  <c r="X66" i="14" a="1"/>
  <c r="X66" i="14" s="1"/>
  <c r="S66" i="14" a="1"/>
  <c r="S66" i="14" s="1"/>
  <c r="O66" i="14" a="1"/>
  <c r="O66" i="14" s="1"/>
  <c r="K66" i="14" a="1"/>
  <c r="K66" i="14" s="1"/>
  <c r="BJ62" i="14" a="1"/>
  <c r="BJ62" i="14" s="1"/>
  <c r="BF62" i="14" a="1"/>
  <c r="BF62" i="14" s="1"/>
  <c r="BB62" i="14" a="1"/>
  <c r="BB62" i="14" s="1"/>
  <c r="AX62" i="14" a="1"/>
  <c r="AX62" i="14" s="1"/>
  <c r="AT62" i="14" a="1"/>
  <c r="AT62" i="14" s="1"/>
  <c r="AP62" i="14" a="1"/>
  <c r="AP62" i="14" s="1"/>
  <c r="AL62" i="14" a="1"/>
  <c r="AL62" i="14" s="1"/>
  <c r="AH62" i="14" a="1"/>
  <c r="AH62" i="14" s="1"/>
  <c r="AD62" i="14" a="1"/>
  <c r="AD62" i="14" s="1"/>
  <c r="Z62" i="14" a="1"/>
  <c r="Z62" i="14" s="1"/>
  <c r="V62" i="14" a="1"/>
  <c r="V62" i="14" s="1"/>
  <c r="R62" i="14" a="1"/>
  <c r="R62" i="14" s="1"/>
  <c r="N62" i="14" a="1"/>
  <c r="N62" i="14" s="1"/>
  <c r="J62" i="14" a="1"/>
  <c r="J62" i="14" s="1"/>
  <c r="F62" i="14" a="1"/>
  <c r="F62" i="14" s="1"/>
  <c r="BI61" i="14" a="1"/>
  <c r="BI61" i="14" s="1"/>
  <c r="BE61" i="14" a="1"/>
  <c r="BE61" i="14" s="1"/>
  <c r="BA61" i="14" a="1"/>
  <c r="BA61" i="14" s="1"/>
  <c r="AW61" i="14" a="1"/>
  <c r="AW61" i="14" s="1"/>
  <c r="AS61" i="14" a="1"/>
  <c r="AS61" i="14" s="1"/>
  <c r="AO61" i="14" a="1"/>
  <c r="AO61" i="14" s="1"/>
  <c r="AK61" i="14" a="1"/>
  <c r="AK61" i="14" s="1"/>
  <c r="AG61" i="14" a="1"/>
  <c r="AG61" i="14" s="1"/>
  <c r="AC61" i="14" a="1"/>
  <c r="AC61" i="14" s="1"/>
  <c r="Y61" i="14" a="1"/>
  <c r="Y61" i="14" s="1"/>
  <c r="U61" i="14" a="1"/>
  <c r="U61" i="14" s="1"/>
  <c r="Q61" i="14" a="1"/>
  <c r="Q61" i="14" s="1"/>
  <c r="M61" i="14" a="1"/>
  <c r="M61" i="14" s="1"/>
  <c r="I61" i="14" a="1"/>
  <c r="I61" i="14" s="1"/>
  <c r="BL57" i="14" a="1"/>
  <c r="BL57" i="14" s="1"/>
  <c r="BH57" i="14" a="1"/>
  <c r="BH57" i="14" s="1"/>
  <c r="BD57" i="14" a="1"/>
  <c r="BD57" i="14" s="1"/>
  <c r="AZ57" i="14" a="1"/>
  <c r="AZ57" i="14" s="1"/>
  <c r="AV57" i="14" a="1"/>
  <c r="AV57" i="14" s="1"/>
  <c r="AR57" i="14" a="1"/>
  <c r="AR57" i="14" s="1"/>
  <c r="AN57" i="14" a="1"/>
  <c r="AN57" i="14" s="1"/>
  <c r="AJ57" i="14" a="1"/>
  <c r="AJ57" i="14" s="1"/>
  <c r="AF57" i="14" a="1"/>
  <c r="AF57" i="14" s="1"/>
  <c r="AB57" i="14" a="1"/>
  <c r="AB57" i="14" s="1"/>
  <c r="X57" i="14" a="1"/>
  <c r="X57" i="14" s="1"/>
  <c r="T57" i="14" a="1"/>
  <c r="T57" i="14" s="1"/>
  <c r="P57" i="14" a="1"/>
  <c r="P57" i="14" s="1"/>
  <c r="L57" i="14" a="1"/>
  <c r="L57" i="14" s="1"/>
  <c r="H57" i="14" a="1"/>
  <c r="H57" i="14" s="1"/>
  <c r="BK56" i="14" a="1"/>
  <c r="BK56" i="14" s="1"/>
  <c r="BG56" i="14" a="1"/>
  <c r="BG56" i="14" s="1"/>
  <c r="BC56" i="14" a="1"/>
  <c r="BC56" i="14" s="1"/>
  <c r="AY56" i="14" a="1"/>
  <c r="AY56" i="14" s="1"/>
  <c r="AU56" i="14" a="1"/>
  <c r="AU56" i="14" s="1"/>
  <c r="AQ56" i="14" a="1"/>
  <c r="AQ56" i="14" s="1"/>
  <c r="AM56" i="14" a="1"/>
  <c r="AM56" i="14" s="1"/>
  <c r="AI56" i="14" a="1"/>
  <c r="AI56" i="14" s="1"/>
  <c r="AE56" i="14" a="1"/>
  <c r="AE56" i="14" s="1"/>
  <c r="AA56" i="14" a="1"/>
  <c r="AA56" i="14" s="1"/>
  <c r="W56" i="14" a="1"/>
  <c r="W56" i="14" s="1"/>
  <c r="S56" i="14" a="1"/>
  <c r="S56" i="14" s="1"/>
  <c r="O56" i="14" a="1"/>
  <c r="O56" i="14" s="1"/>
  <c r="K56" i="14" a="1"/>
  <c r="K56" i="14" s="1"/>
  <c r="BJ52" i="14" a="1"/>
  <c r="BJ52" i="14" s="1"/>
  <c r="BF52" i="14" a="1"/>
  <c r="BF52" i="14" s="1"/>
  <c r="AS86" i="14" a="1"/>
  <c r="AS86" i="14" s="1"/>
  <c r="AN82" i="14" a="1"/>
  <c r="AN82" i="14" s="1"/>
  <c r="AI81" i="14" a="1"/>
  <c r="AI81" i="14" s="1"/>
  <c r="AD77" i="14" a="1"/>
  <c r="AD77" i="14" s="1"/>
  <c r="BF76" i="14" a="1"/>
  <c r="BF76" i="14" s="1"/>
  <c r="AK76" i="14" a="1"/>
  <c r="AK76" i="14" s="1"/>
  <c r="Q76" i="14" a="1"/>
  <c r="Q76" i="14" s="1"/>
  <c r="BI72" i="14" a="1"/>
  <c r="BI72" i="14" s="1"/>
  <c r="AS72" i="14" a="1"/>
  <c r="AS72" i="14" s="1"/>
  <c r="AE72" i="14" a="1"/>
  <c r="AE72" i="14" s="1"/>
  <c r="W72" i="14" a="1"/>
  <c r="W72" i="14" s="1"/>
  <c r="O72" i="14" a="1"/>
  <c r="O72" i="14" s="1"/>
  <c r="G72" i="14" a="1"/>
  <c r="G72" i="14" s="1"/>
  <c r="BF71" i="14" a="1"/>
  <c r="BF71" i="14" s="1"/>
  <c r="AX71" i="14" a="1"/>
  <c r="AX71" i="14" s="1"/>
  <c r="AP71" i="14" a="1"/>
  <c r="AP71" i="14" s="1"/>
  <c r="AH71" i="14" a="1"/>
  <c r="AH71" i="14" s="1"/>
  <c r="Z71" i="14" a="1"/>
  <c r="Z71" i="14" s="1"/>
  <c r="R71" i="14" a="1"/>
  <c r="R71" i="14" s="1"/>
  <c r="J71" i="14" a="1"/>
  <c r="J71" i="14" s="1"/>
  <c r="BI67" i="14" a="1"/>
  <c r="BI67" i="14" s="1"/>
  <c r="BA67" i="14" a="1"/>
  <c r="BA67" i="14" s="1"/>
  <c r="AS67" i="14" a="1"/>
  <c r="AS67" i="14" s="1"/>
  <c r="AK67" i="14" a="1"/>
  <c r="AK67" i="14" s="1"/>
  <c r="AC67" i="14" a="1"/>
  <c r="AC67" i="14" s="1"/>
  <c r="U67" i="14" a="1"/>
  <c r="U67" i="14" s="1"/>
  <c r="M67" i="14" a="1"/>
  <c r="M67" i="14" s="1"/>
  <c r="BL66" i="14" a="1"/>
  <c r="BL66" i="14" s="1"/>
  <c r="BD66" i="14" a="1"/>
  <c r="BD66" i="14" s="1"/>
  <c r="AX66" i="14" a="1"/>
  <c r="AX66" i="14" s="1"/>
  <c r="AR66" i="14" a="1"/>
  <c r="AR66" i="14" s="1"/>
  <c r="AM66" i="14" a="1"/>
  <c r="AM66" i="14" s="1"/>
  <c r="AH66" i="14" a="1"/>
  <c r="AH66" i="14" s="1"/>
  <c r="AB66" i="14" a="1"/>
  <c r="AB66" i="14" s="1"/>
  <c r="W66" i="14" a="1"/>
  <c r="W66" i="14" s="1"/>
  <c r="R66" i="14" a="1"/>
  <c r="R66" i="14" s="1"/>
  <c r="N66" i="14" a="1"/>
  <c r="N66" i="14" s="1"/>
  <c r="J66" i="14" a="1"/>
  <c r="J66" i="14" s="1"/>
  <c r="BI62" i="14" a="1"/>
  <c r="BI62" i="14" s="1"/>
  <c r="BE62" i="14" a="1"/>
  <c r="BE62" i="14" s="1"/>
  <c r="BA62" i="14" a="1"/>
  <c r="BA62" i="14" s="1"/>
  <c r="AW62" i="14" a="1"/>
  <c r="AW62" i="14" s="1"/>
  <c r="AS62" i="14" a="1"/>
  <c r="AS62" i="14" s="1"/>
  <c r="AO62" i="14" a="1"/>
  <c r="AO62" i="14" s="1"/>
  <c r="AK62" i="14" a="1"/>
  <c r="AK62" i="14" s="1"/>
  <c r="AG62" i="14" a="1"/>
  <c r="AG62" i="14" s="1"/>
  <c r="AC62" i="14" a="1"/>
  <c r="AC62" i="14" s="1"/>
  <c r="Y62" i="14" a="1"/>
  <c r="Y62" i="14" s="1"/>
  <c r="U62" i="14" a="1"/>
  <c r="U62" i="14" s="1"/>
  <c r="Q62" i="14" a="1"/>
  <c r="Q62" i="14" s="1"/>
  <c r="M62" i="14" a="1"/>
  <c r="M62" i="14" s="1"/>
  <c r="I62" i="14" a="1"/>
  <c r="I62" i="14" s="1"/>
  <c r="BL61" i="14" a="1"/>
  <c r="BL61" i="14" s="1"/>
  <c r="BH61" i="14" a="1"/>
  <c r="BH61" i="14" s="1"/>
  <c r="BD61" i="14" a="1"/>
  <c r="BD61" i="14" s="1"/>
  <c r="AZ61" i="14" a="1"/>
  <c r="AZ61" i="14" s="1"/>
  <c r="AV61" i="14" a="1"/>
  <c r="AV61" i="14" s="1"/>
  <c r="AR61" i="14" a="1"/>
  <c r="AR61" i="14" s="1"/>
  <c r="AN61" i="14" a="1"/>
  <c r="AN61" i="14" s="1"/>
  <c r="AJ61" i="14" a="1"/>
  <c r="AJ61" i="14" s="1"/>
  <c r="AF61" i="14" a="1"/>
  <c r="AF61" i="14" s="1"/>
  <c r="AB61" i="14" a="1"/>
  <c r="AB61" i="14" s="1"/>
  <c r="X61" i="14" a="1"/>
  <c r="X61" i="14" s="1"/>
  <c r="T61" i="14" a="1"/>
  <c r="T61" i="14" s="1"/>
  <c r="P61" i="14" a="1"/>
  <c r="P61" i="14" s="1"/>
  <c r="L61" i="14" a="1"/>
  <c r="L61" i="14" s="1"/>
  <c r="H61" i="14" a="1"/>
  <c r="H61" i="14" s="1"/>
  <c r="BK57" i="14" a="1"/>
  <c r="BK57" i="14" s="1"/>
  <c r="BG57" i="14" a="1"/>
  <c r="BG57" i="14" s="1"/>
  <c r="BC57" i="14" a="1"/>
  <c r="BC57" i="14" s="1"/>
  <c r="AY57" i="14" a="1"/>
  <c r="AY57" i="14" s="1"/>
  <c r="AU57" i="14" a="1"/>
  <c r="AU57" i="14" s="1"/>
  <c r="AQ57" i="14" a="1"/>
  <c r="AQ57" i="14" s="1"/>
  <c r="AM57" i="14" a="1"/>
  <c r="AM57" i="14" s="1"/>
  <c r="AI57" i="14" a="1"/>
  <c r="AI57" i="14" s="1"/>
  <c r="AE57" i="14" a="1"/>
  <c r="AE57" i="14" s="1"/>
  <c r="AA57" i="14" a="1"/>
  <c r="AA57" i="14" s="1"/>
  <c r="W57" i="14" a="1"/>
  <c r="W57" i="14" s="1"/>
  <c r="S57" i="14" a="1"/>
  <c r="S57" i="14" s="1"/>
  <c r="O57" i="14" a="1"/>
  <c r="O57" i="14" s="1"/>
  <c r="K57" i="14" a="1"/>
  <c r="K57" i="14" s="1"/>
  <c r="G57" i="14" a="1"/>
  <c r="G57" i="14" s="1"/>
  <c r="BJ56" i="14" a="1"/>
  <c r="BJ56" i="14" s="1"/>
  <c r="BF56" i="14" a="1"/>
  <c r="BF56" i="14" s="1"/>
  <c r="AC86" i="14" a="1"/>
  <c r="AC86" i="14" s="1"/>
  <c r="X82" i="14" a="1"/>
  <c r="X82" i="14" s="1"/>
  <c r="S81" i="14" a="1"/>
  <c r="S81" i="14" s="1"/>
  <c r="O77" i="14" a="1"/>
  <c r="O77" i="14" s="1"/>
  <c r="BA76" i="14" a="1"/>
  <c r="BA76" i="14" s="1"/>
  <c r="AF76" i="14" a="1"/>
  <c r="AF76" i="14" s="1"/>
  <c r="M76" i="14" a="1"/>
  <c r="M76" i="14" s="1"/>
  <c r="BE72" i="14" a="1"/>
  <c r="BE72" i="14" s="1"/>
  <c r="AO72" i="14" a="1"/>
  <c r="AO72" i="14" s="1"/>
  <c r="AC72" i="14" a="1"/>
  <c r="AC72" i="14" s="1"/>
  <c r="U72" i="14" a="1"/>
  <c r="U72" i="14" s="1"/>
  <c r="M72" i="14" a="1"/>
  <c r="M72" i="14" s="1"/>
  <c r="BL71" i="14" a="1"/>
  <c r="BL71" i="14" s="1"/>
  <c r="BD71" i="14" a="1"/>
  <c r="BD71" i="14" s="1"/>
  <c r="AV71" i="14" a="1"/>
  <c r="AV71" i="14" s="1"/>
  <c r="AN71" i="14" a="1"/>
  <c r="AN71" i="14" s="1"/>
  <c r="AF71" i="14" a="1"/>
  <c r="AF71" i="14" s="1"/>
  <c r="X71" i="14" a="1"/>
  <c r="X71" i="14" s="1"/>
  <c r="P71" i="14" a="1"/>
  <c r="P71" i="14" s="1"/>
  <c r="H71" i="14" a="1"/>
  <c r="H71" i="14" s="1"/>
  <c r="BG67" i="14" a="1"/>
  <c r="BG67" i="14" s="1"/>
  <c r="AY67" i="14" a="1"/>
  <c r="AY67" i="14" s="1"/>
  <c r="AQ67" i="14" a="1"/>
  <c r="AQ67" i="14" s="1"/>
  <c r="AI67" i="14" a="1"/>
  <c r="AI67" i="14" s="1"/>
  <c r="AA67" i="14" a="1"/>
  <c r="AA67" i="14" s="1"/>
  <c r="S67" i="14" a="1"/>
  <c r="S67" i="14" s="1"/>
  <c r="K67" i="14" a="1"/>
  <c r="K67" i="14" s="1"/>
  <c r="BJ66" i="14" a="1"/>
  <c r="BJ66" i="14" s="1"/>
  <c r="BB66" i="14" a="1"/>
  <c r="BB66" i="14" s="1"/>
  <c r="AV66" i="14" a="1"/>
  <c r="AV66" i="14" s="1"/>
  <c r="AQ66" i="14" a="1"/>
  <c r="AQ66" i="14" s="1"/>
  <c r="AL66" i="14" a="1"/>
  <c r="AL66" i="14" s="1"/>
  <c r="AF66" i="14" a="1"/>
  <c r="AF66" i="14" s="1"/>
  <c r="AA66" i="14" a="1"/>
  <c r="AA66" i="14" s="1"/>
  <c r="V66" i="14" a="1"/>
  <c r="V66" i="14" s="1"/>
  <c r="Q66" i="14" a="1"/>
  <c r="Q66" i="14" s="1"/>
  <c r="M66" i="14" a="1"/>
  <c r="M66" i="14" s="1"/>
  <c r="I66" i="14" a="1"/>
  <c r="I66" i="14" s="1"/>
  <c r="BL62" i="14" a="1"/>
  <c r="BL62" i="14" s="1"/>
  <c r="BH62" i="14" a="1"/>
  <c r="BH62" i="14" s="1"/>
  <c r="BD62" i="14" a="1"/>
  <c r="BD62" i="14" s="1"/>
  <c r="AZ62" i="14" a="1"/>
  <c r="AZ62" i="14" s="1"/>
  <c r="AV62" i="14" a="1"/>
  <c r="AV62" i="14" s="1"/>
  <c r="AR62" i="14" a="1"/>
  <c r="AR62" i="14" s="1"/>
  <c r="AN62" i="14" a="1"/>
  <c r="AN62" i="14" s="1"/>
  <c r="AJ62" i="14" a="1"/>
  <c r="AJ62" i="14" s="1"/>
  <c r="AF62" i="14" a="1"/>
  <c r="AF62" i="14" s="1"/>
  <c r="AB62" i="14" a="1"/>
  <c r="AB62" i="14" s="1"/>
  <c r="X62" i="14" a="1"/>
  <c r="X62" i="14" s="1"/>
  <c r="T62" i="14" a="1"/>
  <c r="T62" i="14" s="1"/>
  <c r="P62" i="14" a="1"/>
  <c r="P62" i="14" s="1"/>
  <c r="L62" i="14" a="1"/>
  <c r="L62" i="14" s="1"/>
  <c r="H62" i="14" a="1"/>
  <c r="H62" i="14" s="1"/>
  <c r="BK61" i="14" a="1"/>
  <c r="BK61" i="14" s="1"/>
  <c r="BG61" i="14" a="1"/>
  <c r="BG61" i="14" s="1"/>
  <c r="BC61" i="14" a="1"/>
  <c r="BC61" i="14" s="1"/>
  <c r="AY61" i="14" a="1"/>
  <c r="AY61" i="14" s="1"/>
  <c r="AU61" i="14" a="1"/>
  <c r="AU61" i="14" s="1"/>
  <c r="AQ61" i="14" a="1"/>
  <c r="AQ61" i="14" s="1"/>
  <c r="AM61" i="14" a="1"/>
  <c r="AM61" i="14" s="1"/>
  <c r="AI61" i="14" a="1"/>
  <c r="AI61" i="14" s="1"/>
  <c r="AE61" i="14" a="1"/>
  <c r="AE61" i="14" s="1"/>
  <c r="AA61" i="14" a="1"/>
  <c r="AA61" i="14" s="1"/>
  <c r="W61" i="14" a="1"/>
  <c r="W61" i="14" s="1"/>
  <c r="S61" i="14" a="1"/>
  <c r="S61" i="14" s="1"/>
  <c r="O61" i="14" a="1"/>
  <c r="O61" i="14" s="1"/>
  <c r="K61" i="14" a="1"/>
  <c r="K61" i="14" s="1"/>
  <c r="BJ57" i="14" a="1"/>
  <c r="BJ57" i="14" s="1"/>
  <c r="BF57" i="14" a="1"/>
  <c r="BF57" i="14" s="1"/>
  <c r="BB57" i="14" a="1"/>
  <c r="BB57" i="14" s="1"/>
  <c r="AX57" i="14" a="1"/>
  <c r="AX57" i="14" s="1"/>
  <c r="AT57" i="14" a="1"/>
  <c r="AT57" i="14" s="1"/>
  <c r="AP57" i="14" a="1"/>
  <c r="AP57" i="14" s="1"/>
  <c r="AL57" i="14" a="1"/>
  <c r="AL57" i="14" s="1"/>
  <c r="AH57" i="14" a="1"/>
  <c r="AH57" i="14" s="1"/>
  <c r="AD57" i="14" a="1"/>
  <c r="AD57" i="14" s="1"/>
  <c r="Z57" i="14" a="1"/>
  <c r="Z57" i="14" s="1"/>
  <c r="V57" i="14" a="1"/>
  <c r="V57" i="14" s="1"/>
  <c r="R57" i="14" a="1"/>
  <c r="R57" i="14" s="1"/>
  <c r="N57" i="14" a="1"/>
  <c r="N57" i="14" s="1"/>
  <c r="J57" i="14" a="1"/>
  <c r="J57" i="14" s="1"/>
  <c r="F57" i="14" a="1"/>
  <c r="F57" i="14" s="1"/>
  <c r="BI56" i="14" a="1"/>
  <c r="BI56" i="14" s="1"/>
  <c r="BE56" i="14" a="1"/>
  <c r="BE56" i="14" s="1"/>
  <c r="BA56" i="14" a="1"/>
  <c r="BA56" i="14" s="1"/>
  <c r="AW56" i="14" a="1"/>
  <c r="AW56" i="14" s="1"/>
  <c r="AS56" i="14" a="1"/>
  <c r="AS56" i="14" s="1"/>
  <c r="AO56" i="14" a="1"/>
  <c r="AO56" i="14" s="1"/>
  <c r="AK56" i="14" a="1"/>
  <c r="AK56" i="14" s="1"/>
  <c r="AG56" i="14" a="1"/>
  <c r="AG56" i="14" s="1"/>
  <c r="AC56" i="14" a="1"/>
  <c r="AC56" i="14" s="1"/>
  <c r="Y56" i="14" a="1"/>
  <c r="Y56" i="14" s="1"/>
  <c r="U56" i="14" a="1"/>
  <c r="U56" i="14" s="1"/>
  <c r="Q56" i="14" a="1"/>
  <c r="Q56" i="14" s="1"/>
  <c r="M56" i="14" a="1"/>
  <c r="M56" i="14" s="1"/>
  <c r="I56" i="14" a="1"/>
  <c r="I56" i="14" s="1"/>
  <c r="BL52" i="14" a="1"/>
  <c r="BL52" i="14" s="1"/>
  <c r="BH52" i="14" a="1"/>
  <c r="BH52" i="14" s="1"/>
  <c r="BD52" i="14" a="1"/>
  <c r="BD52" i="14" s="1"/>
  <c r="AZ52" i="14" a="1"/>
  <c r="AZ52" i="14" s="1"/>
  <c r="M86" i="14" a="1"/>
  <c r="M86" i="14" s="1"/>
  <c r="H82" i="14" a="1"/>
  <c r="H82" i="14" s="1"/>
  <c r="BJ77" i="14" a="1"/>
  <c r="BJ77" i="14" s="1"/>
  <c r="J77" i="14" a="1"/>
  <c r="J77" i="14" s="1"/>
  <c r="AV76" i="14" a="1"/>
  <c r="AV76" i="14" s="1"/>
  <c r="Z76" i="14" a="1"/>
  <c r="Z76" i="14" s="1"/>
  <c r="I76" i="14" a="1"/>
  <c r="I76" i="14" s="1"/>
  <c r="BA72" i="14" a="1"/>
  <c r="BA72" i="14" s="1"/>
  <c r="AK72" i="14" a="1"/>
  <c r="AK72" i="14" s="1"/>
  <c r="AA72" i="14" a="1"/>
  <c r="AA72" i="14" s="1"/>
  <c r="S72" i="14" a="1"/>
  <c r="S72" i="14" s="1"/>
  <c r="K72" i="14" a="1"/>
  <c r="K72" i="14" s="1"/>
  <c r="BJ71" i="14" a="1"/>
  <c r="BJ71" i="14" s="1"/>
  <c r="BB71" i="14" a="1"/>
  <c r="BB71" i="14" s="1"/>
  <c r="AT71" i="14" a="1"/>
  <c r="AT71" i="14" s="1"/>
  <c r="AL71" i="14" a="1"/>
  <c r="AL71" i="14" s="1"/>
  <c r="AD71" i="14" a="1"/>
  <c r="AD71" i="14" s="1"/>
  <c r="V71" i="14" a="1"/>
  <c r="V71" i="14" s="1"/>
  <c r="N71" i="14" a="1"/>
  <c r="N71" i="14" s="1"/>
  <c r="BE67" i="14" a="1"/>
  <c r="BE67" i="14" s="1"/>
  <c r="AW67" i="14" a="1"/>
  <c r="AW67" i="14" s="1"/>
  <c r="AO67" i="14" a="1"/>
  <c r="AO67" i="14" s="1"/>
  <c r="AG67" i="14" a="1"/>
  <c r="AG67" i="14" s="1"/>
  <c r="Y67" i="14" a="1"/>
  <c r="Y67" i="14" s="1"/>
  <c r="Q67" i="14" a="1"/>
  <c r="Q67" i="14" s="1"/>
  <c r="I67" i="14" a="1"/>
  <c r="I67" i="14" s="1"/>
  <c r="BH66" i="14" a="1"/>
  <c r="BH66" i="14" s="1"/>
  <c r="AZ66" i="14" a="1"/>
  <c r="AZ66" i="14" s="1"/>
  <c r="AU66" i="14" a="1"/>
  <c r="AU66" i="14" s="1"/>
  <c r="AP66" i="14" a="1"/>
  <c r="AP66" i="14" s="1"/>
  <c r="AJ66" i="14" a="1"/>
  <c r="AJ66" i="14" s="1"/>
  <c r="AE66" i="14" a="1"/>
  <c r="AE66" i="14" s="1"/>
  <c r="Z66" i="14" a="1"/>
  <c r="Z66" i="14" s="1"/>
  <c r="T66" i="14" a="1"/>
  <c r="T66" i="14" s="1"/>
  <c r="P66" i="14" a="1"/>
  <c r="P66" i="14" s="1"/>
  <c r="L66" i="14" a="1"/>
  <c r="L66" i="14" s="1"/>
  <c r="H66" i="14" a="1"/>
  <c r="H66" i="14" s="1"/>
  <c r="BK62" i="14" a="1"/>
  <c r="BK62" i="14" s="1"/>
  <c r="BG62" i="14" a="1"/>
  <c r="BG62" i="14" s="1"/>
  <c r="BC62" i="14" a="1"/>
  <c r="BC62" i="14" s="1"/>
  <c r="AM62" i="14" a="1"/>
  <c r="AM62" i="14" s="1"/>
  <c r="W62" i="14" a="1"/>
  <c r="W62" i="14" s="1"/>
  <c r="G62" i="14" a="1"/>
  <c r="G62" i="14" s="1"/>
  <c r="AX61" i="14" a="1"/>
  <c r="AX61" i="14" s="1"/>
  <c r="AH61" i="14" a="1"/>
  <c r="AH61" i="14" s="1"/>
  <c r="R61" i="14" a="1"/>
  <c r="R61" i="14" s="1"/>
  <c r="BI57" i="14" a="1"/>
  <c r="BI57" i="14" s="1"/>
  <c r="AS57" i="14" a="1"/>
  <c r="AS57" i="14" s="1"/>
  <c r="AC57" i="14" a="1"/>
  <c r="AC57" i="14" s="1"/>
  <c r="M57" i="14" a="1"/>
  <c r="M57" i="14" s="1"/>
  <c r="BD56" i="14" a="1"/>
  <c r="BD56" i="14" s="1"/>
  <c r="AV56" i="14" a="1"/>
  <c r="AV56" i="14" s="1"/>
  <c r="AN56" i="14" a="1"/>
  <c r="AN56" i="14" s="1"/>
  <c r="AF56" i="14" a="1"/>
  <c r="AF56" i="14" s="1"/>
  <c r="X56" i="14" a="1"/>
  <c r="X56" i="14" s="1"/>
  <c r="P56" i="14" a="1"/>
  <c r="P56" i="14" s="1"/>
  <c r="H56" i="14" a="1"/>
  <c r="H56" i="14" s="1"/>
  <c r="BG52" i="14" a="1"/>
  <c r="BG52" i="14" s="1"/>
  <c r="BA52" i="14" a="1"/>
  <c r="BA52" i="14" s="1"/>
  <c r="AV52" i="14" a="1"/>
  <c r="AV52" i="14" s="1"/>
  <c r="AR52" i="14" a="1"/>
  <c r="AR52" i="14" s="1"/>
  <c r="AN52" i="14" a="1"/>
  <c r="AN52" i="14" s="1"/>
  <c r="AJ52" i="14" a="1"/>
  <c r="AJ52" i="14" s="1"/>
  <c r="AF52" i="14" a="1"/>
  <c r="AF52" i="14" s="1"/>
  <c r="AB52" i="14" a="1"/>
  <c r="AB52" i="14" s="1"/>
  <c r="X52" i="14" a="1"/>
  <c r="X52" i="14" s="1"/>
  <c r="T52" i="14" a="1"/>
  <c r="T52" i="14" s="1"/>
  <c r="P52" i="14" a="1"/>
  <c r="P52" i="14" s="1"/>
  <c r="L52" i="14" a="1"/>
  <c r="L52" i="14" s="1"/>
  <c r="H52" i="14" a="1"/>
  <c r="H52" i="14" s="1"/>
  <c r="BK51" i="14" a="1"/>
  <c r="BK51" i="14" s="1"/>
  <c r="BG51" i="14" a="1"/>
  <c r="BG51" i="14" s="1"/>
  <c r="BC51" i="14" a="1"/>
  <c r="BC51" i="14" s="1"/>
  <c r="AY51" i="14" a="1"/>
  <c r="AY51" i="14" s="1"/>
  <c r="AU51" i="14" a="1"/>
  <c r="AU51" i="14" s="1"/>
  <c r="AQ51" i="14" a="1"/>
  <c r="AQ51" i="14" s="1"/>
  <c r="AM51" i="14" a="1"/>
  <c r="AM51" i="14" s="1"/>
  <c r="AI51" i="14" a="1"/>
  <c r="AI51" i="14" s="1"/>
  <c r="AE51" i="14" a="1"/>
  <c r="AE51" i="14" s="1"/>
  <c r="AA51" i="14" a="1"/>
  <c r="AA51" i="14" s="1"/>
  <c r="W51" i="14" a="1"/>
  <c r="W51" i="14" s="1"/>
  <c r="S51" i="14" a="1"/>
  <c r="S51" i="14" s="1"/>
  <c r="O51" i="14" a="1"/>
  <c r="O51" i="14" s="1"/>
  <c r="K51" i="14" a="1"/>
  <c r="K51" i="14" s="1"/>
  <c r="BJ47" i="14" a="1"/>
  <c r="BJ47" i="14" s="1"/>
  <c r="BF47" i="14" a="1"/>
  <c r="BF47" i="14" s="1"/>
  <c r="BB47" i="14" a="1"/>
  <c r="BB47" i="14" s="1"/>
  <c r="AX47" i="14" a="1"/>
  <c r="AX47" i="14" s="1"/>
  <c r="AT47" i="14" a="1"/>
  <c r="AT47" i="14" s="1"/>
  <c r="AP47" i="14" a="1"/>
  <c r="AP47" i="14" s="1"/>
  <c r="AL47" i="14" a="1"/>
  <c r="AL47" i="14" s="1"/>
  <c r="AH47" i="14" a="1"/>
  <c r="AH47" i="14" s="1"/>
  <c r="AD47" i="14" a="1"/>
  <c r="AD47" i="14" s="1"/>
  <c r="Z47" i="14" a="1"/>
  <c r="Z47" i="14" s="1"/>
  <c r="V47" i="14" a="1"/>
  <c r="V47" i="14" s="1"/>
  <c r="R47" i="14" a="1"/>
  <c r="R47" i="14" s="1"/>
  <c r="N47" i="14" a="1"/>
  <c r="N47" i="14" s="1"/>
  <c r="J47" i="14" a="1"/>
  <c r="J47" i="14" s="1"/>
  <c r="F47" i="14" a="1"/>
  <c r="F47" i="14" s="1"/>
  <c r="BI46" i="14" a="1"/>
  <c r="BI46" i="14" s="1"/>
  <c r="BE46" i="14" a="1"/>
  <c r="BE46" i="14" s="1"/>
  <c r="BA46" i="14" a="1"/>
  <c r="BA46" i="14" s="1"/>
  <c r="AW46" i="14" a="1"/>
  <c r="AW46" i="14" s="1"/>
  <c r="AS46" i="14" a="1"/>
  <c r="AS46" i="14" s="1"/>
  <c r="AO46" i="14" a="1"/>
  <c r="AO46" i="14" s="1"/>
  <c r="AK46" i="14" a="1"/>
  <c r="AK46" i="14" s="1"/>
  <c r="AG46" i="14" a="1"/>
  <c r="AG46" i="14" s="1"/>
  <c r="AC46" i="14" a="1"/>
  <c r="AC46" i="14" s="1"/>
  <c r="Y46" i="14" a="1"/>
  <c r="Y46" i="14" s="1"/>
  <c r="U46" i="14" a="1"/>
  <c r="U46" i="14" s="1"/>
  <c r="Q46" i="14" a="1"/>
  <c r="Q46" i="14" s="1"/>
  <c r="M46" i="14" a="1"/>
  <c r="M46" i="14" s="1"/>
  <c r="I46" i="14" a="1"/>
  <c r="I46" i="14" s="1"/>
  <c r="BL42" i="14" a="1"/>
  <c r="BL42" i="14" s="1"/>
  <c r="BH42" i="14" a="1"/>
  <c r="BH42" i="14" s="1"/>
  <c r="BD42" i="14" a="1"/>
  <c r="BD42" i="14" s="1"/>
  <c r="AZ42" i="14" a="1"/>
  <c r="AZ42" i="14" s="1"/>
  <c r="AV42" i="14" a="1"/>
  <c r="AV42" i="14" s="1"/>
  <c r="AR42" i="14" a="1"/>
  <c r="AR42" i="14" s="1"/>
  <c r="AN42" i="14" a="1"/>
  <c r="AN42" i="14" s="1"/>
  <c r="AJ42" i="14" a="1"/>
  <c r="AJ42" i="14" s="1"/>
  <c r="AF42" i="14" a="1"/>
  <c r="AF42" i="14" s="1"/>
  <c r="AB42" i="14" a="1"/>
  <c r="AB42" i="14" s="1"/>
  <c r="AY62" i="14" a="1"/>
  <c r="AY62" i="14" s="1"/>
  <c r="AI62" i="14" a="1"/>
  <c r="AI62" i="14" s="1"/>
  <c r="S62" i="14" a="1"/>
  <c r="S62" i="14" s="1"/>
  <c r="BJ61" i="14" a="1"/>
  <c r="BJ61" i="14" s="1"/>
  <c r="AT61" i="14" a="1"/>
  <c r="AT61" i="14" s="1"/>
  <c r="AD61" i="14" a="1"/>
  <c r="AD61" i="14" s="1"/>
  <c r="N61" i="14" a="1"/>
  <c r="N61" i="14" s="1"/>
  <c r="BE57" i="14" a="1"/>
  <c r="BE57" i="14" s="1"/>
  <c r="AO57" i="14" a="1"/>
  <c r="AO57" i="14" s="1"/>
  <c r="Y57" i="14" a="1"/>
  <c r="Y57" i="14" s="1"/>
  <c r="I57" i="14" a="1"/>
  <c r="I57" i="14" s="1"/>
  <c r="BB56" i="14" a="1"/>
  <c r="BB56" i="14" s="1"/>
  <c r="AT56" i="14" a="1"/>
  <c r="AT56" i="14" s="1"/>
  <c r="AL56" i="14" a="1"/>
  <c r="AL56" i="14" s="1"/>
  <c r="AD56" i="14" a="1"/>
  <c r="AD56" i="14" s="1"/>
  <c r="V56" i="14" a="1"/>
  <c r="V56" i="14" s="1"/>
  <c r="N56" i="14" a="1"/>
  <c r="N56" i="14" s="1"/>
  <c r="BE52" i="14" a="1"/>
  <c r="BE52" i="14" s="1"/>
  <c r="AY52" i="14" a="1"/>
  <c r="AY52" i="14" s="1"/>
  <c r="AU52" i="14" a="1"/>
  <c r="AU52" i="14" s="1"/>
  <c r="AQ52" i="14" a="1"/>
  <c r="AQ52" i="14" s="1"/>
  <c r="AM52" i="14" a="1"/>
  <c r="AM52" i="14" s="1"/>
  <c r="AI52" i="14" a="1"/>
  <c r="AI52" i="14" s="1"/>
  <c r="AE52" i="14" a="1"/>
  <c r="AE52" i="14" s="1"/>
  <c r="AA52" i="14" a="1"/>
  <c r="AA52" i="14" s="1"/>
  <c r="W52" i="14" a="1"/>
  <c r="W52" i="14" s="1"/>
  <c r="S52" i="14" a="1"/>
  <c r="S52" i="14" s="1"/>
  <c r="O52" i="14" a="1"/>
  <c r="O52" i="14" s="1"/>
  <c r="K52" i="14" a="1"/>
  <c r="K52" i="14" s="1"/>
  <c r="G52" i="14" a="1"/>
  <c r="G52" i="14" s="1"/>
  <c r="BJ51" i="14" a="1"/>
  <c r="BJ51" i="14" s="1"/>
  <c r="BF51" i="14" a="1"/>
  <c r="BF51" i="14" s="1"/>
  <c r="BB51" i="14" a="1"/>
  <c r="BB51" i="14" s="1"/>
  <c r="AX51" i="14" a="1"/>
  <c r="AX51" i="14" s="1"/>
  <c r="AT51" i="14" a="1"/>
  <c r="AT51" i="14" s="1"/>
  <c r="AP51" i="14" a="1"/>
  <c r="AP51" i="14" s="1"/>
  <c r="AL51" i="14" a="1"/>
  <c r="AL51" i="14" s="1"/>
  <c r="AH51" i="14" a="1"/>
  <c r="AH51" i="14" s="1"/>
  <c r="AD51" i="14" a="1"/>
  <c r="AD51" i="14" s="1"/>
  <c r="Z51" i="14" a="1"/>
  <c r="Z51" i="14" s="1"/>
  <c r="V51" i="14" a="1"/>
  <c r="V51" i="14" s="1"/>
  <c r="R51" i="14" a="1"/>
  <c r="R51" i="14" s="1"/>
  <c r="N51" i="14" a="1"/>
  <c r="N51" i="14" s="1"/>
  <c r="J51" i="14" a="1"/>
  <c r="J51" i="14" s="1"/>
  <c r="BI47" i="14" a="1"/>
  <c r="BI47" i="14" s="1"/>
  <c r="BE47" i="14" a="1"/>
  <c r="BE47" i="14" s="1"/>
  <c r="BA47" i="14" a="1"/>
  <c r="BA47" i="14" s="1"/>
  <c r="AW47" i="14" a="1"/>
  <c r="AW47" i="14" s="1"/>
  <c r="AS47" i="14" a="1"/>
  <c r="AS47" i="14" s="1"/>
  <c r="AO47" i="14" a="1"/>
  <c r="AO47" i="14" s="1"/>
  <c r="AK47" i="14" a="1"/>
  <c r="AK47" i="14" s="1"/>
  <c r="AG47" i="14" a="1"/>
  <c r="AG47" i="14" s="1"/>
  <c r="AC47" i="14" a="1"/>
  <c r="AC47" i="14" s="1"/>
  <c r="Y47" i="14" a="1"/>
  <c r="Y47" i="14" s="1"/>
  <c r="U47" i="14" a="1"/>
  <c r="U47" i="14" s="1"/>
  <c r="Q47" i="14" a="1"/>
  <c r="Q47" i="14" s="1"/>
  <c r="M47" i="14" a="1"/>
  <c r="M47" i="14" s="1"/>
  <c r="I47" i="14" a="1"/>
  <c r="I47" i="14" s="1"/>
  <c r="BL46" i="14" a="1"/>
  <c r="BL46" i="14" s="1"/>
  <c r="BH46" i="14" a="1"/>
  <c r="BH46" i="14" s="1"/>
  <c r="BD46" i="14" a="1"/>
  <c r="BD46" i="14" s="1"/>
  <c r="AZ46" i="14" a="1"/>
  <c r="AZ46" i="14" s="1"/>
  <c r="AV46" i="14" a="1"/>
  <c r="AV46" i="14" s="1"/>
  <c r="AR46" i="14" a="1"/>
  <c r="AR46" i="14" s="1"/>
  <c r="AN46" i="14" a="1"/>
  <c r="AN46" i="14" s="1"/>
  <c r="AJ46" i="14" a="1"/>
  <c r="AJ46" i="14" s="1"/>
  <c r="AF46" i="14" a="1"/>
  <c r="AF46" i="14" s="1"/>
  <c r="AB46" i="14" a="1"/>
  <c r="AB46" i="14" s="1"/>
  <c r="X46" i="14" a="1"/>
  <c r="X46" i="14" s="1"/>
  <c r="T46" i="14" a="1"/>
  <c r="T46" i="14" s="1"/>
  <c r="P46" i="14" a="1"/>
  <c r="P46" i="14" s="1"/>
  <c r="L46" i="14" a="1"/>
  <c r="L46" i="14" s="1"/>
  <c r="H46" i="14" a="1"/>
  <c r="H46" i="14" s="1"/>
  <c r="BK42" i="14" a="1"/>
  <c r="BK42" i="14" s="1"/>
  <c r="BG42" i="14" a="1"/>
  <c r="BG42" i="14" s="1"/>
  <c r="BC42" i="14" a="1"/>
  <c r="BC42" i="14" s="1"/>
  <c r="AY42" i="14" a="1"/>
  <c r="AY42" i="14" s="1"/>
  <c r="AU42" i="14" a="1"/>
  <c r="AU42" i="14" s="1"/>
  <c r="AQ42" i="14" a="1"/>
  <c r="AQ42" i="14" s="1"/>
  <c r="AM42" i="14" a="1"/>
  <c r="AM42" i="14" s="1"/>
  <c r="AI42" i="14" a="1"/>
  <c r="AI42" i="14" s="1"/>
  <c r="AE42" i="14" a="1"/>
  <c r="AE42" i="14" s="1"/>
  <c r="AA42" i="14" a="1"/>
  <c r="AA42" i="14" s="1"/>
  <c r="AU62" i="14" a="1"/>
  <c r="AU62" i="14" s="1"/>
  <c r="AE62" i="14" a="1"/>
  <c r="AE62" i="14" s="1"/>
  <c r="O62" i="14" a="1"/>
  <c r="O62" i="14" s="1"/>
  <c r="BF61" i="14" a="1"/>
  <c r="BF61" i="14" s="1"/>
  <c r="AP61" i="14" a="1"/>
  <c r="AP61" i="14" s="1"/>
  <c r="Z61" i="14" a="1"/>
  <c r="Z61" i="14" s="1"/>
  <c r="J61" i="14" a="1"/>
  <c r="J61" i="14" s="1"/>
  <c r="BA57" i="14" a="1"/>
  <c r="BA57" i="14" s="1"/>
  <c r="AK57" i="14" a="1"/>
  <c r="AK57" i="14" s="1"/>
  <c r="U57" i="14" a="1"/>
  <c r="U57" i="14" s="1"/>
  <c r="BL56" i="14" a="1"/>
  <c r="BL56" i="14" s="1"/>
  <c r="AZ56" i="14" a="1"/>
  <c r="AZ56" i="14" s="1"/>
  <c r="AR56" i="14" a="1"/>
  <c r="AR56" i="14" s="1"/>
  <c r="AJ56" i="14" a="1"/>
  <c r="AJ56" i="14" s="1"/>
  <c r="AB56" i="14" a="1"/>
  <c r="AB56" i="14" s="1"/>
  <c r="T56" i="14" a="1"/>
  <c r="T56" i="14" s="1"/>
  <c r="L56" i="14" a="1"/>
  <c r="L56" i="14" s="1"/>
  <c r="BK52" i="14" a="1"/>
  <c r="BK52" i="14" s="1"/>
  <c r="BC52" i="14" a="1"/>
  <c r="BC52" i="14" s="1"/>
  <c r="AX52" i="14" a="1"/>
  <c r="AX52" i="14" s="1"/>
  <c r="AT52" i="14" a="1"/>
  <c r="AT52" i="14" s="1"/>
  <c r="AP52" i="14" a="1"/>
  <c r="AP52" i="14" s="1"/>
  <c r="AL52" i="14" a="1"/>
  <c r="AL52" i="14" s="1"/>
  <c r="AH52" i="14" a="1"/>
  <c r="AH52" i="14" s="1"/>
  <c r="AD52" i="14" a="1"/>
  <c r="AD52" i="14" s="1"/>
  <c r="Z52" i="14" a="1"/>
  <c r="Z52" i="14" s="1"/>
  <c r="V52" i="14" a="1"/>
  <c r="V52" i="14" s="1"/>
  <c r="R52" i="14" a="1"/>
  <c r="R52" i="14" s="1"/>
  <c r="N52" i="14" a="1"/>
  <c r="N52" i="14" s="1"/>
  <c r="J52" i="14" a="1"/>
  <c r="J52" i="14" s="1"/>
  <c r="F52" i="14" a="1"/>
  <c r="F52" i="14" s="1"/>
  <c r="BI51" i="14" a="1"/>
  <c r="BI51" i="14" s="1"/>
  <c r="BE51" i="14" a="1"/>
  <c r="BE51" i="14" s="1"/>
  <c r="BA51" i="14" a="1"/>
  <c r="BA51" i="14" s="1"/>
  <c r="AW51" i="14" a="1"/>
  <c r="AW51" i="14" s="1"/>
  <c r="AS51" i="14" a="1"/>
  <c r="AS51" i="14" s="1"/>
  <c r="AO51" i="14" a="1"/>
  <c r="AO51" i="14" s="1"/>
  <c r="AK51" i="14" a="1"/>
  <c r="AK51" i="14" s="1"/>
  <c r="AG51" i="14" a="1"/>
  <c r="AG51" i="14" s="1"/>
  <c r="AC51" i="14" a="1"/>
  <c r="AC51" i="14" s="1"/>
  <c r="Y51" i="14" a="1"/>
  <c r="Y51" i="14" s="1"/>
  <c r="U51" i="14" a="1"/>
  <c r="U51" i="14" s="1"/>
  <c r="Q51" i="14" a="1"/>
  <c r="Q51" i="14" s="1"/>
  <c r="M51" i="14" a="1"/>
  <c r="M51" i="14" s="1"/>
  <c r="I51" i="14" a="1"/>
  <c r="I51" i="14" s="1"/>
  <c r="BL47" i="14" a="1"/>
  <c r="BL47" i="14" s="1"/>
  <c r="BH47" i="14" a="1"/>
  <c r="BH47" i="14" s="1"/>
  <c r="BD47" i="14" a="1"/>
  <c r="BD47" i="14" s="1"/>
  <c r="AZ47" i="14" a="1"/>
  <c r="AZ47" i="14" s="1"/>
  <c r="AV47" i="14" a="1"/>
  <c r="AV47" i="14" s="1"/>
  <c r="AR47" i="14" a="1"/>
  <c r="AR47" i="14" s="1"/>
  <c r="AN47" i="14" a="1"/>
  <c r="AN47" i="14" s="1"/>
  <c r="AJ47" i="14" a="1"/>
  <c r="AJ47" i="14" s="1"/>
  <c r="AF47" i="14" a="1"/>
  <c r="AF47" i="14" s="1"/>
  <c r="AB47" i="14" a="1"/>
  <c r="AB47" i="14" s="1"/>
  <c r="X47" i="14" a="1"/>
  <c r="X47" i="14" s="1"/>
  <c r="T47" i="14" a="1"/>
  <c r="T47" i="14" s="1"/>
  <c r="P47" i="14" a="1"/>
  <c r="P47" i="14" s="1"/>
  <c r="L47" i="14" a="1"/>
  <c r="L47" i="14" s="1"/>
  <c r="H47" i="14" a="1"/>
  <c r="H47" i="14" s="1"/>
  <c r="BK46" i="14" a="1"/>
  <c r="BK46" i="14" s="1"/>
  <c r="BG46" i="14" a="1"/>
  <c r="BG46" i="14" s="1"/>
  <c r="BC46" i="14" a="1"/>
  <c r="BC46" i="14" s="1"/>
  <c r="AY46" i="14" a="1"/>
  <c r="AY46" i="14" s="1"/>
  <c r="AU46" i="14" a="1"/>
  <c r="AU46" i="14" s="1"/>
  <c r="AQ46" i="14" a="1"/>
  <c r="AQ46" i="14" s="1"/>
  <c r="AM46" i="14" a="1"/>
  <c r="AM46" i="14" s="1"/>
  <c r="AI46" i="14" a="1"/>
  <c r="AI46" i="14" s="1"/>
  <c r="AE46" i="14" a="1"/>
  <c r="AE46" i="14" s="1"/>
  <c r="AA46" i="14" a="1"/>
  <c r="AA46" i="14" s="1"/>
  <c r="W46" i="14" a="1"/>
  <c r="W46" i="14" s="1"/>
  <c r="S46" i="14" a="1"/>
  <c r="S46" i="14" s="1"/>
  <c r="O46" i="14" a="1"/>
  <c r="O46" i="14" s="1"/>
  <c r="K46" i="14" a="1"/>
  <c r="K46" i="14" s="1"/>
  <c r="BJ42" i="14" a="1"/>
  <c r="BJ42" i="14" s="1"/>
  <c r="BF42" i="14" a="1"/>
  <c r="BF42" i="14" s="1"/>
  <c r="BB42" i="14" a="1"/>
  <c r="BB42" i="14" s="1"/>
  <c r="AX42" i="14" a="1"/>
  <c r="AX42" i="14" s="1"/>
  <c r="AT42" i="14" a="1"/>
  <c r="AT42" i="14" s="1"/>
  <c r="AP42" i="14" a="1"/>
  <c r="AP42" i="14" s="1"/>
  <c r="AL42" i="14" a="1"/>
  <c r="AL42" i="14" s="1"/>
  <c r="AH42" i="14" a="1"/>
  <c r="AH42" i="14" s="1"/>
  <c r="AD42" i="14" a="1"/>
  <c r="AD42" i="14" s="1"/>
  <c r="Z42" i="14" a="1"/>
  <c r="Z42" i="14" s="1"/>
  <c r="V42" i="14" a="1"/>
  <c r="V42" i="14" s="1"/>
  <c r="AQ62" i="14" a="1"/>
  <c r="AQ62" i="14" s="1"/>
  <c r="AA62" i="14" a="1"/>
  <c r="AA62" i="14" s="1"/>
  <c r="K62" i="14" a="1"/>
  <c r="K62" i="14" s="1"/>
  <c r="BB61" i="14" a="1"/>
  <c r="BB61" i="14" s="1"/>
  <c r="AL61" i="14" a="1"/>
  <c r="AL61" i="14" s="1"/>
  <c r="V61" i="14" a="1"/>
  <c r="V61" i="14" s="1"/>
  <c r="AW57" i="14" a="1"/>
  <c r="AW57" i="14" s="1"/>
  <c r="AG57" i="14" a="1"/>
  <c r="AG57" i="14" s="1"/>
  <c r="Q57" i="14" a="1"/>
  <c r="Q57" i="14" s="1"/>
  <c r="BH56" i="14" a="1"/>
  <c r="BH56" i="14" s="1"/>
  <c r="AX56" i="14" a="1"/>
  <c r="AX56" i="14" s="1"/>
  <c r="AP56" i="14" a="1"/>
  <c r="AP56" i="14" s="1"/>
  <c r="AH56" i="14" a="1"/>
  <c r="AH56" i="14" s="1"/>
  <c r="Z56" i="14" a="1"/>
  <c r="Z56" i="14" s="1"/>
  <c r="R56" i="14" a="1"/>
  <c r="R56" i="14" s="1"/>
  <c r="J56" i="14" a="1"/>
  <c r="J56" i="14" s="1"/>
  <c r="BI52" i="14" a="1"/>
  <c r="BI52" i="14" s="1"/>
  <c r="BB52" i="14" a="1"/>
  <c r="BB52" i="14" s="1"/>
  <c r="AW52" i="14" a="1"/>
  <c r="AW52" i="14" s="1"/>
  <c r="AS52" i="14" a="1"/>
  <c r="AS52" i="14" s="1"/>
  <c r="AO52" i="14" a="1"/>
  <c r="AO52" i="14" s="1"/>
  <c r="AK52" i="14" a="1"/>
  <c r="AK52" i="14" s="1"/>
  <c r="AG52" i="14" a="1"/>
  <c r="AG52" i="14" s="1"/>
  <c r="AC52" i="14" a="1"/>
  <c r="AC52" i="14" s="1"/>
  <c r="Y52" i="14" a="1"/>
  <c r="Y52" i="14" s="1"/>
  <c r="U52" i="14" a="1"/>
  <c r="U52" i="14" s="1"/>
  <c r="Q52" i="14" a="1"/>
  <c r="Q52" i="14" s="1"/>
  <c r="M52" i="14" a="1"/>
  <c r="M52" i="14" s="1"/>
  <c r="I52" i="14" a="1"/>
  <c r="I52" i="14" s="1"/>
  <c r="BL51" i="14" a="1"/>
  <c r="BL51" i="14" s="1"/>
  <c r="BH51" i="14" a="1"/>
  <c r="BH51" i="14" s="1"/>
  <c r="BD51" i="14" a="1"/>
  <c r="BD51" i="14" s="1"/>
  <c r="AZ51" i="14" a="1"/>
  <c r="AZ51" i="14" s="1"/>
  <c r="AV51" i="14" a="1"/>
  <c r="AV51" i="14" s="1"/>
  <c r="AR51" i="14" a="1"/>
  <c r="AR51" i="14" s="1"/>
  <c r="AN51" i="14" a="1"/>
  <c r="AN51" i="14" s="1"/>
  <c r="AJ51" i="14" a="1"/>
  <c r="AJ51" i="14" s="1"/>
  <c r="AF51" i="14" a="1"/>
  <c r="AF51" i="14" s="1"/>
  <c r="AB51" i="14" a="1"/>
  <c r="AB51" i="14" s="1"/>
  <c r="X51" i="14" a="1"/>
  <c r="X51" i="14" s="1"/>
  <c r="T51" i="14" a="1"/>
  <c r="T51" i="14" s="1"/>
  <c r="P51" i="14" a="1"/>
  <c r="P51" i="14" s="1"/>
  <c r="L51" i="14" a="1"/>
  <c r="L51" i="14" s="1"/>
  <c r="H51" i="14" a="1"/>
  <c r="H51" i="14" s="1"/>
  <c r="BK47" i="14" a="1"/>
  <c r="BK47" i="14" s="1"/>
  <c r="BG47" i="14" a="1"/>
  <c r="BG47" i="14" s="1"/>
  <c r="BC47" i="14" a="1"/>
  <c r="BC47" i="14" s="1"/>
  <c r="AY47" i="14" a="1"/>
  <c r="AY47" i="14" s="1"/>
  <c r="AU47" i="14" a="1"/>
  <c r="AU47" i="14" s="1"/>
  <c r="AQ47" i="14" a="1"/>
  <c r="AQ47" i="14" s="1"/>
  <c r="AM47" i="14" a="1"/>
  <c r="AM47" i="14" s="1"/>
  <c r="AI47" i="14" a="1"/>
  <c r="AI47" i="14" s="1"/>
  <c r="AE47" i="14" a="1"/>
  <c r="AE47" i="14" s="1"/>
  <c r="AA47" i="14" a="1"/>
  <c r="AA47" i="14" s="1"/>
  <c r="W47" i="14" a="1"/>
  <c r="W47" i="14" s="1"/>
  <c r="S47" i="14" a="1"/>
  <c r="S47" i="14" s="1"/>
  <c r="O47" i="14" a="1"/>
  <c r="O47" i="14" s="1"/>
  <c r="K47" i="14" a="1"/>
  <c r="K47" i="14" s="1"/>
  <c r="G47" i="14" a="1"/>
  <c r="G47" i="14" s="1"/>
  <c r="BJ46" i="14" a="1"/>
  <c r="BJ46" i="14" s="1"/>
  <c r="BF46" i="14" a="1"/>
  <c r="BF46" i="14" s="1"/>
  <c r="BB46" i="14" a="1"/>
  <c r="BB46" i="14" s="1"/>
  <c r="AX46" i="14" a="1"/>
  <c r="AX46" i="14" s="1"/>
  <c r="AT46" i="14" a="1"/>
  <c r="AT46" i="14" s="1"/>
  <c r="AP46" i="14" a="1"/>
  <c r="AP46" i="14" s="1"/>
  <c r="AL46" i="14" a="1"/>
  <c r="AL46" i="14" s="1"/>
  <c r="AH46" i="14" a="1"/>
  <c r="AH46" i="14" s="1"/>
  <c r="AD46" i="14" a="1"/>
  <c r="AD46" i="14" s="1"/>
  <c r="Z46" i="14" a="1"/>
  <c r="Z46" i="14" s="1"/>
  <c r="V46" i="14" a="1"/>
  <c r="V46" i="14" s="1"/>
  <c r="R46" i="14" a="1"/>
  <c r="R46" i="14" s="1"/>
  <c r="N46" i="14" a="1"/>
  <c r="N46" i="14" s="1"/>
  <c r="J46" i="14" a="1"/>
  <c r="J46" i="14" s="1"/>
  <c r="BI42" i="14" a="1"/>
  <c r="BI42" i="14" s="1"/>
  <c r="BE42" i="14" a="1"/>
  <c r="BE42" i="14" s="1"/>
  <c r="BA42" i="14" a="1"/>
  <c r="BA42" i="14" s="1"/>
  <c r="AW42" i="14" a="1"/>
  <c r="AW42" i="14" s="1"/>
  <c r="AS42" i="14" a="1"/>
  <c r="AS42" i="14" s="1"/>
  <c r="AO42" i="14" a="1"/>
  <c r="AO42" i="14" s="1"/>
  <c r="AK42" i="14" a="1"/>
  <c r="AK42" i="14" s="1"/>
  <c r="AG42" i="14" a="1"/>
  <c r="AG42" i="14" s="1"/>
  <c r="AC42" i="14" a="1"/>
  <c r="AC42" i="14" s="1"/>
  <c r="Y42" i="14" a="1"/>
  <c r="Y42" i="14" s="1"/>
  <c r="X42" i="14" a="1"/>
  <c r="X42" i="14" s="1"/>
  <c r="S42" i="14" a="1"/>
  <c r="S42" i="14" s="1"/>
  <c r="O42" i="14" a="1"/>
  <c r="O42" i="14" s="1"/>
  <c r="K42" i="14" a="1"/>
  <c r="K42" i="14" s="1"/>
  <c r="G42" i="14" a="1"/>
  <c r="G42" i="14" s="1"/>
  <c r="BJ41" i="14" a="1"/>
  <c r="BJ41" i="14" s="1"/>
  <c r="BF41" i="14" a="1"/>
  <c r="BF41" i="14" s="1"/>
  <c r="BB41" i="14" a="1"/>
  <c r="BB41" i="14" s="1"/>
  <c r="AX41" i="14" a="1"/>
  <c r="AX41" i="14" s="1"/>
  <c r="AT41" i="14" a="1"/>
  <c r="AT41" i="14" s="1"/>
  <c r="AP41" i="14" a="1"/>
  <c r="AP41" i="14" s="1"/>
  <c r="AL41" i="14" a="1"/>
  <c r="AL41" i="14" s="1"/>
  <c r="AH41" i="14" a="1"/>
  <c r="AH41" i="14" s="1"/>
  <c r="AD41" i="14" a="1"/>
  <c r="AD41" i="14" s="1"/>
  <c r="Z41" i="14" a="1"/>
  <c r="Z41" i="14" s="1"/>
  <c r="V41" i="14" a="1"/>
  <c r="V41" i="14" s="1"/>
  <c r="R41" i="14" a="1"/>
  <c r="R41" i="14" s="1"/>
  <c r="N41" i="14" a="1"/>
  <c r="N41" i="14" s="1"/>
  <c r="J41" i="14" a="1"/>
  <c r="J41" i="14" s="1"/>
  <c r="BI37" i="14" a="1"/>
  <c r="BI37" i="14" s="1"/>
  <c r="BE37" i="14" a="1"/>
  <c r="BE37" i="14" s="1"/>
  <c r="BA37" i="14" a="1"/>
  <c r="BA37" i="14" s="1"/>
  <c r="AW37" i="14" a="1"/>
  <c r="AW37" i="14" s="1"/>
  <c r="AS37" i="14" a="1"/>
  <c r="AS37" i="14" s="1"/>
  <c r="AO37" i="14" a="1"/>
  <c r="AO37" i="14" s="1"/>
  <c r="AK37" i="14" a="1"/>
  <c r="AK37" i="14" s="1"/>
  <c r="AG37" i="14" a="1"/>
  <c r="AG37" i="14" s="1"/>
  <c r="AC37" i="14" a="1"/>
  <c r="AC37" i="14" s="1"/>
  <c r="Y37" i="14" a="1"/>
  <c r="Y37" i="14" s="1"/>
  <c r="U37" i="14" a="1"/>
  <c r="U37" i="14" s="1"/>
  <c r="Q37" i="14" a="1"/>
  <c r="Q37" i="14" s="1"/>
  <c r="M37" i="14" a="1"/>
  <c r="M37" i="14" s="1"/>
  <c r="I37" i="14" a="1"/>
  <c r="I37" i="14" s="1"/>
  <c r="BL36" i="14" a="1"/>
  <c r="BL36" i="14" s="1"/>
  <c r="BH36" i="14" a="1"/>
  <c r="BH36" i="14" s="1"/>
  <c r="BD36" i="14" a="1"/>
  <c r="BD36" i="14" s="1"/>
  <c r="AZ36" i="14" a="1"/>
  <c r="AZ36" i="14" s="1"/>
  <c r="AV36" i="14" a="1"/>
  <c r="AV36" i="14" s="1"/>
  <c r="AR36" i="14" a="1"/>
  <c r="AR36" i="14" s="1"/>
  <c r="AN36" i="14" a="1"/>
  <c r="AN36" i="14" s="1"/>
  <c r="AJ36" i="14" a="1"/>
  <c r="AJ36" i="14" s="1"/>
  <c r="AF36" i="14" a="1"/>
  <c r="AF36" i="14" s="1"/>
  <c r="AB36" i="14" a="1"/>
  <c r="AB36" i="14" s="1"/>
  <c r="X36" i="14" a="1"/>
  <c r="X36" i="14" s="1"/>
  <c r="T36" i="14" a="1"/>
  <c r="T36" i="14" s="1"/>
  <c r="P36" i="14" a="1"/>
  <c r="P36" i="14" s="1"/>
  <c r="L36" i="14" a="1"/>
  <c r="L36" i="14" s="1"/>
  <c r="H36" i="14" a="1"/>
  <c r="H36" i="14" s="1"/>
  <c r="BK32" i="14" a="1"/>
  <c r="BK32" i="14" s="1"/>
  <c r="BG32" i="14" a="1"/>
  <c r="BG32" i="14" s="1"/>
  <c r="BC32" i="14" a="1"/>
  <c r="BC32" i="14" s="1"/>
  <c r="AY32" i="14" a="1"/>
  <c r="AY32" i="14" s="1"/>
  <c r="AU32" i="14" a="1"/>
  <c r="AU32" i="14" s="1"/>
  <c r="AQ32" i="14" a="1"/>
  <c r="AQ32" i="14" s="1"/>
  <c r="AM32" i="14" a="1"/>
  <c r="AM32" i="14" s="1"/>
  <c r="AI32" i="14" a="1"/>
  <c r="AI32" i="14" s="1"/>
  <c r="AE32" i="14" a="1"/>
  <c r="AE32" i="14" s="1"/>
  <c r="AA32" i="14" a="1"/>
  <c r="AA32" i="14" s="1"/>
  <c r="W32" i="14" a="1"/>
  <c r="W32" i="14" s="1"/>
  <c r="S32" i="14" a="1"/>
  <c r="S32" i="14" s="1"/>
  <c r="O32" i="14" a="1"/>
  <c r="O32" i="14" s="1"/>
  <c r="K32" i="14" a="1"/>
  <c r="K32" i="14" s="1"/>
  <c r="G32" i="14" a="1"/>
  <c r="G32" i="14" s="1"/>
  <c r="BJ31" i="14" a="1"/>
  <c r="BJ31" i="14" s="1"/>
  <c r="BF31" i="14" a="1"/>
  <c r="BF31" i="14" s="1"/>
  <c r="BB31" i="14" a="1"/>
  <c r="BB31" i="14" s="1"/>
  <c r="AX31" i="14" a="1"/>
  <c r="AX31" i="14" s="1"/>
  <c r="AT31" i="14" a="1"/>
  <c r="AT31" i="14" s="1"/>
  <c r="AP31" i="14" a="1"/>
  <c r="AP31" i="14" s="1"/>
  <c r="AL31" i="14" a="1"/>
  <c r="AL31" i="14" s="1"/>
  <c r="AH31" i="14" a="1"/>
  <c r="AH31" i="14" s="1"/>
  <c r="AD31" i="14" a="1"/>
  <c r="AD31" i="14" s="1"/>
  <c r="Z31" i="14" a="1"/>
  <c r="Z31" i="14" s="1"/>
  <c r="V31" i="14" a="1"/>
  <c r="V31" i="14" s="1"/>
  <c r="R31" i="14" a="1"/>
  <c r="R31" i="14" s="1"/>
  <c r="N31" i="14" a="1"/>
  <c r="N31" i="14" s="1"/>
  <c r="J31" i="14" a="1"/>
  <c r="J31" i="14" s="1"/>
  <c r="BI27" i="14" a="1"/>
  <c r="BI27" i="14" s="1"/>
  <c r="BE27" i="14" a="1"/>
  <c r="BE27" i="14" s="1"/>
  <c r="BA27" i="14" a="1"/>
  <c r="BA27" i="14" s="1"/>
  <c r="AW27" i="14" a="1"/>
  <c r="AW27" i="14" s="1"/>
  <c r="AS27" i="14" a="1"/>
  <c r="AS27" i="14" s="1"/>
  <c r="AO27" i="14" a="1"/>
  <c r="AO27" i="14" s="1"/>
  <c r="AK27" i="14" a="1"/>
  <c r="AK27" i="14" s="1"/>
  <c r="AG27" i="14" a="1"/>
  <c r="AG27" i="14" s="1"/>
  <c r="AC27" i="14" a="1"/>
  <c r="AC27" i="14" s="1"/>
  <c r="Y27" i="14" a="1"/>
  <c r="Y27" i="14" s="1"/>
  <c r="U27" i="14" a="1"/>
  <c r="U27" i="14" s="1"/>
  <c r="Q27" i="14" a="1"/>
  <c r="Q27" i="14" s="1"/>
  <c r="M27" i="14" a="1"/>
  <c r="M27" i="14" s="1"/>
  <c r="I27" i="14" a="1"/>
  <c r="I27" i="14" s="1"/>
  <c r="BL26" i="14" a="1"/>
  <c r="BL26" i="14" s="1"/>
  <c r="BH26" i="14" a="1"/>
  <c r="BH26" i="14" s="1"/>
  <c r="BD26" i="14" a="1"/>
  <c r="BD26" i="14" s="1"/>
  <c r="AZ26" i="14" a="1"/>
  <c r="AZ26" i="14" s="1"/>
  <c r="AV26" i="14" a="1"/>
  <c r="AV26" i="14" s="1"/>
  <c r="AR26" i="14" a="1"/>
  <c r="AR26" i="14" s="1"/>
  <c r="AN26" i="14" a="1"/>
  <c r="AN26" i="14" s="1"/>
  <c r="AJ26" i="14" a="1"/>
  <c r="AJ26" i="14" s="1"/>
  <c r="AF26" i="14" a="1"/>
  <c r="AF26" i="14" s="1"/>
  <c r="AB26" i="14" a="1"/>
  <c r="AB26" i="14" s="1"/>
  <c r="X26" i="14" a="1"/>
  <c r="X26" i="14" s="1"/>
  <c r="T26" i="14" a="1"/>
  <c r="T26" i="14" s="1"/>
  <c r="P26" i="14" a="1"/>
  <c r="P26" i="14" s="1"/>
  <c r="L26" i="14" a="1"/>
  <c r="L26" i="14" s="1"/>
  <c r="H26" i="14" a="1"/>
  <c r="H26" i="14" s="1"/>
  <c r="E112" i="14" a="1"/>
  <c r="E112" i="14" s="1"/>
  <c r="E102" i="14" a="1"/>
  <c r="E102" i="14" s="1"/>
  <c r="E92" i="14" a="1"/>
  <c r="E92" i="14" s="1"/>
  <c r="E82" i="14" a="1"/>
  <c r="E82" i="14" s="1"/>
  <c r="E72" i="14" a="1"/>
  <c r="E72" i="14" s="1"/>
  <c r="E62" i="14" a="1"/>
  <c r="E62" i="14" s="1"/>
  <c r="E52" i="14" a="1"/>
  <c r="E52" i="14" s="1"/>
  <c r="E42" i="14" a="1"/>
  <c r="E42" i="14" s="1"/>
  <c r="E32" i="14" a="1"/>
  <c r="E32" i="14" s="1"/>
  <c r="BL22" i="14" a="1"/>
  <c r="BL22" i="14" s="1"/>
  <c r="BH22" i="14" a="1"/>
  <c r="BH22" i="14" s="1"/>
  <c r="BD22" i="14" a="1"/>
  <c r="BD22" i="14" s="1"/>
  <c r="AZ22" i="14" a="1"/>
  <c r="AZ22" i="14" s="1"/>
  <c r="AV22" i="14" a="1"/>
  <c r="AV22" i="14" s="1"/>
  <c r="AR22" i="14" a="1"/>
  <c r="AR22" i="14" s="1"/>
  <c r="AN22" i="14" a="1"/>
  <c r="AN22" i="14" s="1"/>
  <c r="AJ22" i="14" a="1"/>
  <c r="AJ22" i="14" s="1"/>
  <c r="AF22" i="14" a="1"/>
  <c r="AF22" i="14" s="1"/>
  <c r="AB22" i="14" a="1"/>
  <c r="AB22" i="14" s="1"/>
  <c r="X22" i="14" a="1"/>
  <c r="X22" i="14" s="1"/>
  <c r="T22" i="14" a="1"/>
  <c r="T22" i="14" s="1"/>
  <c r="P22" i="14" a="1"/>
  <c r="P22" i="14" s="1"/>
  <c r="L22" i="14" a="1"/>
  <c r="L22" i="14" s="1"/>
  <c r="H22" i="14" a="1"/>
  <c r="H22" i="14" s="1"/>
  <c r="K21" i="14" a="1"/>
  <c r="K21" i="14" s="1"/>
  <c r="O21" i="14" a="1"/>
  <c r="O21" i="14" s="1"/>
  <c r="S21" i="14" a="1"/>
  <c r="S21" i="14" s="1"/>
  <c r="V21" i="14" a="1"/>
  <c r="V21" i="14" s="1"/>
  <c r="Z21" i="14" a="1"/>
  <c r="Z21" i="14" s="1"/>
  <c r="AD21" i="14" a="1"/>
  <c r="AD21" i="14" s="1"/>
  <c r="AH21" i="14" a="1"/>
  <c r="AH21" i="14" s="1"/>
  <c r="AL21" i="14" a="1"/>
  <c r="AL21" i="14" s="1"/>
  <c r="AP21" i="14" a="1"/>
  <c r="AP21" i="14" s="1"/>
  <c r="AT21" i="14" a="1"/>
  <c r="AT21" i="14" s="1"/>
  <c r="AX21" i="14" a="1"/>
  <c r="AX21" i="14" s="1"/>
  <c r="BB21" i="14" a="1"/>
  <c r="BB21" i="14" s="1"/>
  <c r="BF21" i="14" a="1"/>
  <c r="BF21" i="14" s="1"/>
  <c r="BJ21" i="14" a="1"/>
  <c r="BJ21" i="14" s="1"/>
  <c r="I16" i="14" a="1"/>
  <c r="I16" i="14" s="1"/>
  <c r="M16" i="14" a="1"/>
  <c r="M16" i="14" s="1"/>
  <c r="Q16" i="14" a="1"/>
  <c r="Q16" i="14" s="1"/>
  <c r="T16" i="14" a="1"/>
  <c r="T16" i="14" s="1"/>
  <c r="X16" i="14" a="1"/>
  <c r="X16" i="14" s="1"/>
  <c r="AB16" i="14" a="1"/>
  <c r="AB16" i="14" s="1"/>
  <c r="AF16" i="14" a="1"/>
  <c r="AF16" i="14" s="1"/>
  <c r="AJ16" i="14" a="1"/>
  <c r="AJ16" i="14" s="1"/>
  <c r="AN16" i="14" a="1"/>
  <c r="AN16" i="14" s="1"/>
  <c r="AR16" i="14" a="1"/>
  <c r="AR16" i="14" s="1"/>
  <c r="AV16" i="14" a="1"/>
  <c r="AV16" i="14" s="1"/>
  <c r="AY16" i="14" a="1"/>
  <c r="AY16" i="14" s="1"/>
  <c r="BC16" i="14" a="1"/>
  <c r="BC16" i="14" s="1"/>
  <c r="BG16" i="14" a="1"/>
  <c r="BG16" i="14" s="1"/>
  <c r="BK16" i="14" a="1"/>
  <c r="BK16" i="14" s="1"/>
  <c r="I17" i="14" a="1"/>
  <c r="I17" i="14" s="1"/>
  <c r="M17" i="14" a="1"/>
  <c r="M17" i="14" s="1"/>
  <c r="W42" i="14" a="1"/>
  <c r="W42" i="14" s="1"/>
  <c r="R42" i="14" a="1"/>
  <c r="R42" i="14" s="1"/>
  <c r="N42" i="14" a="1"/>
  <c r="N42" i="14" s="1"/>
  <c r="J42" i="14" a="1"/>
  <c r="J42" i="14" s="1"/>
  <c r="F42" i="14" a="1"/>
  <c r="F42" i="14" s="1"/>
  <c r="BI41" i="14" a="1"/>
  <c r="BI41" i="14" s="1"/>
  <c r="BE41" i="14" a="1"/>
  <c r="BE41" i="14" s="1"/>
  <c r="BA41" i="14" a="1"/>
  <c r="BA41" i="14" s="1"/>
  <c r="AW41" i="14" a="1"/>
  <c r="AW41" i="14" s="1"/>
  <c r="AS41" i="14" a="1"/>
  <c r="AS41" i="14" s="1"/>
  <c r="AO41" i="14" a="1"/>
  <c r="AO41" i="14" s="1"/>
  <c r="AK41" i="14" a="1"/>
  <c r="AK41" i="14" s="1"/>
  <c r="AG41" i="14" a="1"/>
  <c r="AG41" i="14" s="1"/>
  <c r="AC41" i="14" a="1"/>
  <c r="AC41" i="14" s="1"/>
  <c r="Y41" i="14" a="1"/>
  <c r="Y41" i="14" s="1"/>
  <c r="U41" i="14" a="1"/>
  <c r="U41" i="14" s="1"/>
  <c r="Q41" i="14" a="1"/>
  <c r="Q41" i="14" s="1"/>
  <c r="M41" i="14" a="1"/>
  <c r="M41" i="14" s="1"/>
  <c r="I41" i="14" a="1"/>
  <c r="I41" i="14" s="1"/>
  <c r="BL37" i="14" a="1"/>
  <c r="BL37" i="14" s="1"/>
  <c r="BH37" i="14" a="1"/>
  <c r="BH37" i="14" s="1"/>
  <c r="BD37" i="14" a="1"/>
  <c r="BD37" i="14" s="1"/>
  <c r="AZ37" i="14" a="1"/>
  <c r="AZ37" i="14" s="1"/>
  <c r="AV37" i="14" a="1"/>
  <c r="AV37" i="14" s="1"/>
  <c r="AR37" i="14" a="1"/>
  <c r="AR37" i="14" s="1"/>
  <c r="AN37" i="14" a="1"/>
  <c r="AN37" i="14" s="1"/>
  <c r="AJ37" i="14" a="1"/>
  <c r="AJ37" i="14" s="1"/>
  <c r="AF37" i="14" a="1"/>
  <c r="AF37" i="14" s="1"/>
  <c r="AB37" i="14" a="1"/>
  <c r="AB37" i="14" s="1"/>
  <c r="X37" i="14" a="1"/>
  <c r="X37" i="14" s="1"/>
  <c r="T37" i="14" a="1"/>
  <c r="T37" i="14" s="1"/>
  <c r="P37" i="14" a="1"/>
  <c r="P37" i="14" s="1"/>
  <c r="L37" i="14" a="1"/>
  <c r="L37" i="14" s="1"/>
  <c r="H37" i="14" a="1"/>
  <c r="H37" i="14" s="1"/>
  <c r="BK36" i="14" a="1"/>
  <c r="BK36" i="14" s="1"/>
  <c r="BG36" i="14" a="1"/>
  <c r="BG36" i="14" s="1"/>
  <c r="BC36" i="14" a="1"/>
  <c r="BC36" i="14" s="1"/>
  <c r="AY36" i="14" a="1"/>
  <c r="AY36" i="14" s="1"/>
  <c r="AU36" i="14" a="1"/>
  <c r="AU36" i="14" s="1"/>
  <c r="AQ36" i="14" a="1"/>
  <c r="AQ36" i="14" s="1"/>
  <c r="AM36" i="14" a="1"/>
  <c r="AM36" i="14" s="1"/>
  <c r="AI36" i="14" a="1"/>
  <c r="AI36" i="14" s="1"/>
  <c r="AE36" i="14" a="1"/>
  <c r="AE36" i="14" s="1"/>
  <c r="AA36" i="14" a="1"/>
  <c r="AA36" i="14" s="1"/>
  <c r="W36" i="14" a="1"/>
  <c r="W36" i="14" s="1"/>
  <c r="S36" i="14" a="1"/>
  <c r="S36" i="14" s="1"/>
  <c r="O36" i="14" a="1"/>
  <c r="O36" i="14" s="1"/>
  <c r="K36" i="14" a="1"/>
  <c r="K36" i="14" s="1"/>
  <c r="BJ32" i="14" a="1"/>
  <c r="BJ32" i="14" s="1"/>
  <c r="BF32" i="14" a="1"/>
  <c r="BF32" i="14" s="1"/>
  <c r="BB32" i="14" a="1"/>
  <c r="BB32" i="14" s="1"/>
  <c r="AX32" i="14" a="1"/>
  <c r="AX32" i="14" s="1"/>
  <c r="AT32" i="14" a="1"/>
  <c r="AT32" i="14" s="1"/>
  <c r="AP32" i="14" a="1"/>
  <c r="AP32" i="14" s="1"/>
  <c r="AL32" i="14" a="1"/>
  <c r="AL32" i="14" s="1"/>
  <c r="AH32" i="14" a="1"/>
  <c r="AH32" i="14" s="1"/>
  <c r="AD32" i="14" a="1"/>
  <c r="AD32" i="14" s="1"/>
  <c r="Z32" i="14" a="1"/>
  <c r="Z32" i="14" s="1"/>
  <c r="V32" i="14" a="1"/>
  <c r="V32" i="14" s="1"/>
  <c r="R32" i="14" a="1"/>
  <c r="R32" i="14" s="1"/>
  <c r="N32" i="14" a="1"/>
  <c r="N32" i="14" s="1"/>
  <c r="J32" i="14" a="1"/>
  <c r="J32" i="14" s="1"/>
  <c r="F32" i="14" a="1"/>
  <c r="F32" i="14" s="1"/>
  <c r="BI31" i="14" a="1"/>
  <c r="BI31" i="14" s="1"/>
  <c r="BE31" i="14" a="1"/>
  <c r="BE31" i="14" s="1"/>
  <c r="BA31" i="14" a="1"/>
  <c r="BA31" i="14" s="1"/>
  <c r="AW31" i="14" a="1"/>
  <c r="AW31" i="14" s="1"/>
  <c r="AS31" i="14" a="1"/>
  <c r="AS31" i="14" s="1"/>
  <c r="AO31" i="14" a="1"/>
  <c r="AO31" i="14" s="1"/>
  <c r="AK31" i="14" a="1"/>
  <c r="AK31" i="14" s="1"/>
  <c r="AG31" i="14" a="1"/>
  <c r="AG31" i="14" s="1"/>
  <c r="AC31" i="14" a="1"/>
  <c r="AC31" i="14" s="1"/>
  <c r="Y31" i="14" a="1"/>
  <c r="Y31" i="14" s="1"/>
  <c r="U31" i="14" a="1"/>
  <c r="U31" i="14" s="1"/>
  <c r="Q31" i="14" a="1"/>
  <c r="Q31" i="14" s="1"/>
  <c r="M31" i="14" a="1"/>
  <c r="M31" i="14" s="1"/>
  <c r="I31" i="14" a="1"/>
  <c r="I31" i="14" s="1"/>
  <c r="BL27" i="14" a="1"/>
  <c r="BL27" i="14" s="1"/>
  <c r="BH27" i="14" a="1"/>
  <c r="BH27" i="14" s="1"/>
  <c r="BD27" i="14" a="1"/>
  <c r="BD27" i="14" s="1"/>
  <c r="AZ27" i="14" a="1"/>
  <c r="AZ27" i="14" s="1"/>
  <c r="AV27" i="14" a="1"/>
  <c r="AV27" i="14" s="1"/>
  <c r="AR27" i="14" a="1"/>
  <c r="AR27" i="14" s="1"/>
  <c r="AN27" i="14" a="1"/>
  <c r="AN27" i="14" s="1"/>
  <c r="AJ27" i="14" a="1"/>
  <c r="AJ27" i="14" s="1"/>
  <c r="AF27" i="14" a="1"/>
  <c r="AF27" i="14" s="1"/>
  <c r="AB27" i="14" a="1"/>
  <c r="AB27" i="14" s="1"/>
  <c r="X27" i="14" a="1"/>
  <c r="X27" i="14" s="1"/>
  <c r="T27" i="14" a="1"/>
  <c r="T27" i="14" s="1"/>
  <c r="P27" i="14" a="1"/>
  <c r="P27" i="14" s="1"/>
  <c r="L27" i="14" a="1"/>
  <c r="L27" i="14" s="1"/>
  <c r="H27" i="14" a="1"/>
  <c r="H27" i="14" s="1"/>
  <c r="BK26" i="14" a="1"/>
  <c r="BK26" i="14" s="1"/>
  <c r="BG26" i="14" a="1"/>
  <c r="BG26" i="14" s="1"/>
  <c r="BC26" i="14" a="1"/>
  <c r="BC26" i="14" s="1"/>
  <c r="AY26" i="14" a="1"/>
  <c r="AY26" i="14" s="1"/>
  <c r="AU26" i="14" a="1"/>
  <c r="AU26" i="14" s="1"/>
  <c r="AQ26" i="14" a="1"/>
  <c r="AQ26" i="14" s="1"/>
  <c r="AM26" i="14" a="1"/>
  <c r="AM26" i="14" s="1"/>
  <c r="AI26" i="14" a="1"/>
  <c r="AI26" i="14" s="1"/>
  <c r="AE26" i="14" a="1"/>
  <c r="AE26" i="14" s="1"/>
  <c r="AA26" i="14" a="1"/>
  <c r="AA26" i="14" s="1"/>
  <c r="W26" i="14" a="1"/>
  <c r="W26" i="14" s="1"/>
  <c r="S26" i="14" a="1"/>
  <c r="S26" i="14" s="1"/>
  <c r="O26" i="14" a="1"/>
  <c r="O26" i="14" s="1"/>
  <c r="K26" i="14" a="1"/>
  <c r="K26" i="14" s="1"/>
  <c r="BK22" i="14" a="1"/>
  <c r="BK22" i="14" s="1"/>
  <c r="BG22" i="14" a="1"/>
  <c r="BG22" i="14" s="1"/>
  <c r="BC22" i="14" a="1"/>
  <c r="BC22" i="14" s="1"/>
  <c r="AY22" i="14" a="1"/>
  <c r="AY22" i="14" s="1"/>
  <c r="AU22" i="14" a="1"/>
  <c r="AU22" i="14" s="1"/>
  <c r="AQ22" i="14" a="1"/>
  <c r="AQ22" i="14" s="1"/>
  <c r="AM22" i="14" a="1"/>
  <c r="AM22" i="14" s="1"/>
  <c r="AI22" i="14" a="1"/>
  <c r="AI22" i="14" s="1"/>
  <c r="AE22" i="14" a="1"/>
  <c r="AE22" i="14" s="1"/>
  <c r="AA22" i="14" a="1"/>
  <c r="AA22" i="14" s="1"/>
  <c r="W22" i="14" a="1"/>
  <c r="W22" i="14" s="1"/>
  <c r="S22" i="14" a="1"/>
  <c r="S22" i="14" s="1"/>
  <c r="O22" i="14" a="1"/>
  <c r="O22" i="14" s="1"/>
  <c r="K22" i="14" a="1"/>
  <c r="K22" i="14" s="1"/>
  <c r="G22" i="14" a="1"/>
  <c r="G22" i="14" s="1"/>
  <c r="H21" i="14" a="1"/>
  <c r="H21" i="14" s="1"/>
  <c r="L21" i="14" a="1"/>
  <c r="L21" i="14" s="1"/>
  <c r="P21" i="14" a="1"/>
  <c r="P21" i="14" s="1"/>
  <c r="T21" i="14" a="1"/>
  <c r="T21" i="14" s="1"/>
  <c r="W21" i="14" a="1"/>
  <c r="W21" i="14" s="1"/>
  <c r="AA21" i="14" a="1"/>
  <c r="AA21" i="14" s="1"/>
  <c r="AE21" i="14" a="1"/>
  <c r="AE21" i="14" s="1"/>
  <c r="AI21" i="14" a="1"/>
  <c r="AI21" i="14" s="1"/>
  <c r="AM21" i="14" a="1"/>
  <c r="AM21" i="14" s="1"/>
  <c r="AQ21" i="14" a="1"/>
  <c r="AQ21" i="14" s="1"/>
  <c r="AU21" i="14" a="1"/>
  <c r="AU21" i="14" s="1"/>
  <c r="AY21" i="14" a="1"/>
  <c r="AY21" i="14" s="1"/>
  <c r="BC21" i="14" a="1"/>
  <c r="BC21" i="14" s="1"/>
  <c r="BG21" i="14" a="1"/>
  <c r="BG21" i="14" s="1"/>
  <c r="BK21" i="14" a="1"/>
  <c r="BK21" i="14" s="1"/>
  <c r="J16" i="14" a="1"/>
  <c r="J16" i="14" s="1"/>
  <c r="N16" i="14" a="1"/>
  <c r="N16" i="14" s="1"/>
  <c r="R16" i="14" a="1"/>
  <c r="R16" i="14" s="1"/>
  <c r="U16" i="14" a="1"/>
  <c r="U16" i="14" s="1"/>
  <c r="Y16" i="14" a="1"/>
  <c r="Y16" i="14" s="1"/>
  <c r="AC16" i="14" a="1"/>
  <c r="AC16" i="14" s="1"/>
  <c r="AG16" i="14" a="1"/>
  <c r="AG16" i="14" s="1"/>
  <c r="AK16" i="14" a="1"/>
  <c r="AK16" i="14" s="1"/>
  <c r="AO16" i="14" a="1"/>
  <c r="AO16" i="14" s="1"/>
  <c r="AS16" i="14" a="1"/>
  <c r="AS16" i="14" s="1"/>
  <c r="AW16" i="14" a="1"/>
  <c r="AW16" i="14" s="1"/>
  <c r="AZ16" i="14" a="1"/>
  <c r="AZ16" i="14" s="1"/>
  <c r="BD16" i="14" a="1"/>
  <c r="BD16" i="14" s="1"/>
  <c r="BH16" i="14" a="1"/>
  <c r="BH16" i="14" s="1"/>
  <c r="BL16" i="14" a="1"/>
  <c r="BL16" i="14" s="1"/>
  <c r="J17" i="14" a="1"/>
  <c r="J17" i="14" s="1"/>
  <c r="N17" i="14" a="1"/>
  <c r="N17" i="14" s="1"/>
  <c r="R17" i="14" a="1"/>
  <c r="R17" i="14" s="1"/>
  <c r="V17" i="14" a="1"/>
  <c r="V17" i="14" s="1"/>
  <c r="U42" i="14" a="1"/>
  <c r="U42" i="14" s="1"/>
  <c r="Q42" i="14" a="1"/>
  <c r="Q42" i="14" s="1"/>
  <c r="M42" i="14" a="1"/>
  <c r="M42" i="14" s="1"/>
  <c r="I42" i="14" a="1"/>
  <c r="I42" i="14" s="1"/>
  <c r="BL41" i="14" a="1"/>
  <c r="BL41" i="14" s="1"/>
  <c r="BH41" i="14" a="1"/>
  <c r="BH41" i="14" s="1"/>
  <c r="BD41" i="14" a="1"/>
  <c r="BD41" i="14" s="1"/>
  <c r="AZ41" i="14" a="1"/>
  <c r="AZ41" i="14" s="1"/>
  <c r="AV41" i="14" a="1"/>
  <c r="AV41" i="14" s="1"/>
  <c r="AR41" i="14" a="1"/>
  <c r="AR41" i="14" s="1"/>
  <c r="AN41" i="14" a="1"/>
  <c r="AN41" i="14" s="1"/>
  <c r="AJ41" i="14" a="1"/>
  <c r="AJ41" i="14" s="1"/>
  <c r="AF41" i="14" a="1"/>
  <c r="AF41" i="14" s="1"/>
  <c r="AB41" i="14" a="1"/>
  <c r="AB41" i="14" s="1"/>
  <c r="X41" i="14" a="1"/>
  <c r="X41" i="14" s="1"/>
  <c r="T41" i="14" a="1"/>
  <c r="T41" i="14" s="1"/>
  <c r="P41" i="14" a="1"/>
  <c r="P41" i="14" s="1"/>
  <c r="L41" i="14" a="1"/>
  <c r="L41" i="14" s="1"/>
  <c r="H41" i="14" a="1"/>
  <c r="H41" i="14" s="1"/>
  <c r="BK37" i="14" a="1"/>
  <c r="BK37" i="14" s="1"/>
  <c r="BG37" i="14" a="1"/>
  <c r="BG37" i="14" s="1"/>
  <c r="BC37" i="14" a="1"/>
  <c r="BC37" i="14" s="1"/>
  <c r="AY37" i="14" a="1"/>
  <c r="AY37" i="14" s="1"/>
  <c r="AU37" i="14" a="1"/>
  <c r="AU37" i="14" s="1"/>
  <c r="AQ37" i="14" a="1"/>
  <c r="AQ37" i="14" s="1"/>
  <c r="AM37" i="14" a="1"/>
  <c r="AM37" i="14" s="1"/>
  <c r="AI37" i="14" a="1"/>
  <c r="AI37" i="14" s="1"/>
  <c r="AE37" i="14" a="1"/>
  <c r="AE37" i="14" s="1"/>
  <c r="AA37" i="14" a="1"/>
  <c r="AA37" i="14" s="1"/>
  <c r="W37" i="14" a="1"/>
  <c r="W37" i="14" s="1"/>
  <c r="S37" i="14" a="1"/>
  <c r="S37" i="14" s="1"/>
  <c r="O37" i="14" a="1"/>
  <c r="O37" i="14" s="1"/>
  <c r="K37" i="14" a="1"/>
  <c r="K37" i="14" s="1"/>
  <c r="G37" i="14" a="1"/>
  <c r="G37" i="14" s="1"/>
  <c r="BJ36" i="14" a="1"/>
  <c r="BJ36" i="14" s="1"/>
  <c r="BF36" i="14" a="1"/>
  <c r="BF36" i="14" s="1"/>
  <c r="BB36" i="14" a="1"/>
  <c r="BB36" i="14" s="1"/>
  <c r="AX36" i="14" a="1"/>
  <c r="AX36" i="14" s="1"/>
  <c r="AT36" i="14" a="1"/>
  <c r="AT36" i="14" s="1"/>
  <c r="AP36" i="14" a="1"/>
  <c r="AP36" i="14" s="1"/>
  <c r="AL36" i="14" a="1"/>
  <c r="AL36" i="14" s="1"/>
  <c r="AH36" i="14" a="1"/>
  <c r="AH36" i="14" s="1"/>
  <c r="AD36" i="14" a="1"/>
  <c r="AD36" i="14" s="1"/>
  <c r="Z36" i="14" a="1"/>
  <c r="Z36" i="14" s="1"/>
  <c r="V36" i="14" a="1"/>
  <c r="V36" i="14" s="1"/>
  <c r="R36" i="14" a="1"/>
  <c r="R36" i="14" s="1"/>
  <c r="N36" i="14" a="1"/>
  <c r="N36" i="14" s="1"/>
  <c r="J36" i="14" a="1"/>
  <c r="J36" i="14" s="1"/>
  <c r="BI32" i="14" a="1"/>
  <c r="BI32" i="14" s="1"/>
  <c r="BE32" i="14" a="1"/>
  <c r="BE32" i="14" s="1"/>
  <c r="BA32" i="14" a="1"/>
  <c r="BA32" i="14" s="1"/>
  <c r="AW32" i="14" a="1"/>
  <c r="AW32" i="14" s="1"/>
  <c r="AS32" i="14" a="1"/>
  <c r="AS32" i="14" s="1"/>
  <c r="AO32" i="14" a="1"/>
  <c r="AO32" i="14" s="1"/>
  <c r="AK32" i="14" a="1"/>
  <c r="AK32" i="14" s="1"/>
  <c r="AG32" i="14" a="1"/>
  <c r="AG32" i="14" s="1"/>
  <c r="AC32" i="14" a="1"/>
  <c r="AC32" i="14" s="1"/>
  <c r="Y32" i="14" a="1"/>
  <c r="Y32" i="14" s="1"/>
  <c r="U32" i="14" a="1"/>
  <c r="U32" i="14" s="1"/>
  <c r="Q32" i="14" a="1"/>
  <c r="Q32" i="14" s="1"/>
  <c r="M32" i="14" a="1"/>
  <c r="M32" i="14" s="1"/>
  <c r="I32" i="14" a="1"/>
  <c r="I32" i="14" s="1"/>
  <c r="BL31" i="14" a="1"/>
  <c r="BL31" i="14" s="1"/>
  <c r="BH31" i="14" a="1"/>
  <c r="BH31" i="14" s="1"/>
  <c r="BD31" i="14" a="1"/>
  <c r="BD31" i="14" s="1"/>
  <c r="AZ31" i="14" a="1"/>
  <c r="AZ31" i="14" s="1"/>
  <c r="AV31" i="14" a="1"/>
  <c r="AV31" i="14" s="1"/>
  <c r="AR31" i="14" a="1"/>
  <c r="AR31" i="14" s="1"/>
  <c r="AN31" i="14" a="1"/>
  <c r="AN31" i="14" s="1"/>
  <c r="AJ31" i="14" a="1"/>
  <c r="AJ31" i="14" s="1"/>
  <c r="AF31" i="14" a="1"/>
  <c r="AF31" i="14" s="1"/>
  <c r="AB31" i="14" a="1"/>
  <c r="AB31" i="14" s="1"/>
  <c r="X31" i="14" a="1"/>
  <c r="X31" i="14" s="1"/>
  <c r="T31" i="14" a="1"/>
  <c r="T31" i="14" s="1"/>
  <c r="P31" i="14" a="1"/>
  <c r="P31" i="14" s="1"/>
  <c r="L31" i="14" a="1"/>
  <c r="L31" i="14" s="1"/>
  <c r="H31" i="14" a="1"/>
  <c r="H31" i="14" s="1"/>
  <c r="BK27" i="14" a="1"/>
  <c r="BK27" i="14" s="1"/>
  <c r="BG27" i="14" a="1"/>
  <c r="BG27" i="14" s="1"/>
  <c r="BC27" i="14" a="1"/>
  <c r="BC27" i="14" s="1"/>
  <c r="AY27" i="14" a="1"/>
  <c r="AY27" i="14" s="1"/>
  <c r="AU27" i="14" a="1"/>
  <c r="AU27" i="14" s="1"/>
  <c r="AQ27" i="14" a="1"/>
  <c r="AQ27" i="14" s="1"/>
  <c r="AM27" i="14" a="1"/>
  <c r="AM27" i="14" s="1"/>
  <c r="AI27" i="14" a="1"/>
  <c r="AI27" i="14" s="1"/>
  <c r="AE27" i="14" a="1"/>
  <c r="AE27" i="14" s="1"/>
  <c r="AA27" i="14" a="1"/>
  <c r="AA27" i="14" s="1"/>
  <c r="W27" i="14" a="1"/>
  <c r="W27" i="14" s="1"/>
  <c r="S27" i="14" a="1"/>
  <c r="S27" i="14" s="1"/>
  <c r="O27" i="14" a="1"/>
  <c r="O27" i="14" s="1"/>
  <c r="K27" i="14" a="1"/>
  <c r="K27" i="14" s="1"/>
  <c r="G27" i="14" a="1"/>
  <c r="G27" i="14" s="1"/>
  <c r="BJ26" i="14" a="1"/>
  <c r="BJ26" i="14" s="1"/>
  <c r="BF26" i="14" a="1"/>
  <c r="BF26" i="14" s="1"/>
  <c r="BB26" i="14" a="1"/>
  <c r="BB26" i="14" s="1"/>
  <c r="AX26" i="14" a="1"/>
  <c r="AX26" i="14" s="1"/>
  <c r="AT26" i="14" a="1"/>
  <c r="AT26" i="14" s="1"/>
  <c r="AP26" i="14" a="1"/>
  <c r="AP26" i="14" s="1"/>
  <c r="AL26" i="14" a="1"/>
  <c r="AL26" i="14" s="1"/>
  <c r="AH26" i="14" a="1"/>
  <c r="AH26" i="14" s="1"/>
  <c r="AD26" i="14" a="1"/>
  <c r="AD26" i="14" s="1"/>
  <c r="Z26" i="14" a="1"/>
  <c r="Z26" i="14" s="1"/>
  <c r="V26" i="14" a="1"/>
  <c r="V26" i="14" s="1"/>
  <c r="R26" i="14" a="1"/>
  <c r="R26" i="14" s="1"/>
  <c r="N26" i="14" a="1"/>
  <c r="N26" i="14" s="1"/>
  <c r="J26" i="14" a="1"/>
  <c r="J26" i="14" s="1"/>
  <c r="E117" i="14" a="1"/>
  <c r="E117" i="14" s="1"/>
  <c r="E107" i="14" a="1"/>
  <c r="E107" i="14" s="1"/>
  <c r="E97" i="14" a="1"/>
  <c r="E97" i="14" s="1"/>
  <c r="E87" i="14" a="1"/>
  <c r="E87" i="14" s="1"/>
  <c r="E77" i="14" a="1"/>
  <c r="E77" i="14" s="1"/>
  <c r="E67" i="14" a="1"/>
  <c r="E67" i="14" s="1"/>
  <c r="E57" i="14" a="1"/>
  <c r="E57" i="14" s="1"/>
  <c r="E47" i="14" a="1"/>
  <c r="E47" i="14" s="1"/>
  <c r="E37" i="14" a="1"/>
  <c r="E37" i="14" s="1"/>
  <c r="E27" i="14" a="1"/>
  <c r="E27" i="14" s="1"/>
  <c r="BJ22" i="14" a="1"/>
  <c r="BJ22" i="14" s="1"/>
  <c r="BF22" i="14" a="1"/>
  <c r="BF22" i="14" s="1"/>
  <c r="BB22" i="14" a="1"/>
  <c r="BB22" i="14" s="1"/>
  <c r="AX22" i="14" a="1"/>
  <c r="AX22" i="14" s="1"/>
  <c r="AT22" i="14" a="1"/>
  <c r="AT22" i="14" s="1"/>
  <c r="AP22" i="14" a="1"/>
  <c r="AP22" i="14" s="1"/>
  <c r="AL22" i="14" a="1"/>
  <c r="AL22" i="14" s="1"/>
  <c r="AH22" i="14" a="1"/>
  <c r="AH22" i="14" s="1"/>
  <c r="AD22" i="14" a="1"/>
  <c r="AD22" i="14" s="1"/>
  <c r="Z22" i="14" a="1"/>
  <c r="Z22" i="14" s="1"/>
  <c r="V22" i="14" a="1"/>
  <c r="V22" i="14" s="1"/>
  <c r="R22" i="14" a="1"/>
  <c r="R22" i="14" s="1"/>
  <c r="N22" i="14" a="1"/>
  <c r="N22" i="14" s="1"/>
  <c r="J22" i="14" a="1"/>
  <c r="J22" i="14" s="1"/>
  <c r="F22" i="14" a="1"/>
  <c r="F22" i="14" s="1"/>
  <c r="I21" i="14" a="1"/>
  <c r="I21" i="14" s="1"/>
  <c r="M21" i="14" a="1"/>
  <c r="M21" i="14" s="1"/>
  <c r="Q21" i="14" a="1"/>
  <c r="Q21" i="14" s="1"/>
  <c r="U21" i="14" a="1"/>
  <c r="U21" i="14" s="1"/>
  <c r="X21" i="14" a="1"/>
  <c r="X21" i="14" s="1"/>
  <c r="AB21" i="14" a="1"/>
  <c r="AB21" i="14" s="1"/>
  <c r="AF21" i="14" a="1"/>
  <c r="AF21" i="14" s="1"/>
  <c r="AJ21" i="14" a="1"/>
  <c r="AJ21" i="14" s="1"/>
  <c r="AN21" i="14" a="1"/>
  <c r="AN21" i="14" s="1"/>
  <c r="AR21" i="14" a="1"/>
  <c r="AR21" i="14" s="1"/>
  <c r="AV21" i="14" a="1"/>
  <c r="AV21" i="14" s="1"/>
  <c r="AZ21" i="14" a="1"/>
  <c r="AZ21" i="14" s="1"/>
  <c r="BD21" i="14" a="1"/>
  <c r="BD21" i="14" s="1"/>
  <c r="BH21" i="14" a="1"/>
  <c r="BH21" i="14" s="1"/>
  <c r="BL21" i="14" a="1"/>
  <c r="BL21" i="14" s="1"/>
  <c r="K16" i="14" a="1"/>
  <c r="K16" i="14" s="1"/>
  <c r="O16" i="14" a="1"/>
  <c r="O16" i="14" s="1"/>
  <c r="S16" i="14" a="1"/>
  <c r="S16" i="14" s="1"/>
  <c r="V16" i="14" a="1"/>
  <c r="V16" i="14" s="1"/>
  <c r="Z16" i="14" a="1"/>
  <c r="Z16" i="14" s="1"/>
  <c r="AD16" i="14" a="1"/>
  <c r="AD16" i="14" s="1"/>
  <c r="AH16" i="14" a="1"/>
  <c r="AH16" i="14" s="1"/>
  <c r="AL16" i="14" a="1"/>
  <c r="AL16" i="14" s="1"/>
  <c r="AP16" i="14" a="1"/>
  <c r="AP16" i="14" s="1"/>
  <c r="AT16" i="14" a="1"/>
  <c r="AT16" i="14" s="1"/>
  <c r="BA16" i="14" a="1"/>
  <c r="BA16" i="14" s="1"/>
  <c r="BE16" i="14" a="1"/>
  <c r="BE16" i="14" s="1"/>
  <c r="BI16" i="14" a="1"/>
  <c r="BI16" i="14" s="1"/>
  <c r="G17" i="14" a="1"/>
  <c r="G17" i="14" s="1"/>
  <c r="K17" i="14" a="1"/>
  <c r="K17" i="14" s="1"/>
  <c r="O17" i="14" a="1"/>
  <c r="O17" i="14" s="1"/>
  <c r="S17" i="14" a="1"/>
  <c r="S17" i="14" s="1"/>
  <c r="W17" i="14" a="1"/>
  <c r="W17" i="14" s="1"/>
  <c r="T42" i="14" a="1"/>
  <c r="T42" i="14" s="1"/>
  <c r="P42" i="14" a="1"/>
  <c r="P42" i="14" s="1"/>
  <c r="L42" i="14" a="1"/>
  <c r="L42" i="14" s="1"/>
  <c r="H42" i="14" a="1"/>
  <c r="H42" i="14" s="1"/>
  <c r="BK41" i="14" a="1"/>
  <c r="BK41" i="14" s="1"/>
  <c r="BG41" i="14" a="1"/>
  <c r="BG41" i="14" s="1"/>
  <c r="BC41" i="14" a="1"/>
  <c r="BC41" i="14" s="1"/>
  <c r="AY41" i="14" a="1"/>
  <c r="AY41" i="14" s="1"/>
  <c r="AU41" i="14" a="1"/>
  <c r="AU41" i="14" s="1"/>
  <c r="AQ41" i="14" a="1"/>
  <c r="AQ41" i="14" s="1"/>
  <c r="AM41" i="14" a="1"/>
  <c r="AM41" i="14" s="1"/>
  <c r="AI41" i="14" a="1"/>
  <c r="AI41" i="14" s="1"/>
  <c r="AE41" i="14" a="1"/>
  <c r="AE41" i="14" s="1"/>
  <c r="AA41" i="14" a="1"/>
  <c r="AA41" i="14" s="1"/>
  <c r="W41" i="14" a="1"/>
  <c r="W41" i="14" s="1"/>
  <c r="S41" i="14" a="1"/>
  <c r="S41" i="14" s="1"/>
  <c r="O41" i="14" a="1"/>
  <c r="O41" i="14" s="1"/>
  <c r="K41" i="14" a="1"/>
  <c r="K41" i="14" s="1"/>
  <c r="BJ37" i="14" a="1"/>
  <c r="BJ37" i="14" s="1"/>
  <c r="BF37" i="14" a="1"/>
  <c r="BF37" i="14" s="1"/>
  <c r="BB37" i="14" a="1"/>
  <c r="BB37" i="14" s="1"/>
  <c r="AX37" i="14" a="1"/>
  <c r="AX37" i="14" s="1"/>
  <c r="AT37" i="14" a="1"/>
  <c r="AT37" i="14" s="1"/>
  <c r="AP37" i="14" a="1"/>
  <c r="AP37" i="14" s="1"/>
  <c r="AL37" i="14" a="1"/>
  <c r="AL37" i="14" s="1"/>
  <c r="AH37" i="14" a="1"/>
  <c r="AH37" i="14" s="1"/>
  <c r="AD37" i="14" a="1"/>
  <c r="AD37" i="14" s="1"/>
  <c r="Z37" i="14" a="1"/>
  <c r="Z37" i="14" s="1"/>
  <c r="V37" i="14" a="1"/>
  <c r="V37" i="14" s="1"/>
  <c r="R37" i="14" a="1"/>
  <c r="R37" i="14" s="1"/>
  <c r="N37" i="14" a="1"/>
  <c r="N37" i="14" s="1"/>
  <c r="J37" i="14" a="1"/>
  <c r="J37" i="14" s="1"/>
  <c r="F37" i="14" a="1"/>
  <c r="F37" i="14" s="1"/>
  <c r="BI36" i="14" a="1"/>
  <c r="BI36" i="14" s="1"/>
  <c r="BE36" i="14" a="1"/>
  <c r="BE36" i="14" s="1"/>
  <c r="BA36" i="14" a="1"/>
  <c r="BA36" i="14" s="1"/>
  <c r="AW36" i="14" a="1"/>
  <c r="AW36" i="14" s="1"/>
  <c r="AS36" i="14" a="1"/>
  <c r="AS36" i="14" s="1"/>
  <c r="AO36" i="14" a="1"/>
  <c r="AO36" i="14" s="1"/>
  <c r="AK36" i="14" a="1"/>
  <c r="AK36" i="14" s="1"/>
  <c r="AG36" i="14" a="1"/>
  <c r="AG36" i="14" s="1"/>
  <c r="AC36" i="14" a="1"/>
  <c r="AC36" i="14" s="1"/>
  <c r="Y36" i="14" a="1"/>
  <c r="Y36" i="14" s="1"/>
  <c r="U36" i="14" a="1"/>
  <c r="U36" i="14" s="1"/>
  <c r="Q36" i="14" a="1"/>
  <c r="Q36" i="14" s="1"/>
  <c r="M36" i="14" a="1"/>
  <c r="M36" i="14" s="1"/>
  <c r="I36" i="14" a="1"/>
  <c r="I36" i="14" s="1"/>
  <c r="BL32" i="14" a="1"/>
  <c r="BL32" i="14" s="1"/>
  <c r="BH32" i="14" a="1"/>
  <c r="BH32" i="14" s="1"/>
  <c r="BD32" i="14" a="1"/>
  <c r="BD32" i="14" s="1"/>
  <c r="AZ32" i="14" a="1"/>
  <c r="AZ32" i="14" s="1"/>
  <c r="AV32" i="14" a="1"/>
  <c r="AV32" i="14" s="1"/>
  <c r="AR32" i="14" a="1"/>
  <c r="AR32" i="14" s="1"/>
  <c r="AN32" i="14" a="1"/>
  <c r="AN32" i="14" s="1"/>
  <c r="AJ32" i="14" a="1"/>
  <c r="AJ32" i="14" s="1"/>
  <c r="AF32" i="14" a="1"/>
  <c r="AF32" i="14" s="1"/>
  <c r="AB32" i="14" a="1"/>
  <c r="AB32" i="14" s="1"/>
  <c r="X32" i="14" a="1"/>
  <c r="X32" i="14" s="1"/>
  <c r="T32" i="14" a="1"/>
  <c r="T32" i="14" s="1"/>
  <c r="P32" i="14" a="1"/>
  <c r="P32" i="14" s="1"/>
  <c r="L32" i="14" a="1"/>
  <c r="L32" i="14" s="1"/>
  <c r="H32" i="14" a="1"/>
  <c r="H32" i="14" s="1"/>
  <c r="BK31" i="14" a="1"/>
  <c r="BK31" i="14" s="1"/>
  <c r="BG31" i="14" a="1"/>
  <c r="BG31" i="14" s="1"/>
  <c r="BC31" i="14" a="1"/>
  <c r="BC31" i="14" s="1"/>
  <c r="AY31" i="14" a="1"/>
  <c r="AY31" i="14" s="1"/>
  <c r="AU31" i="14" a="1"/>
  <c r="AU31" i="14" s="1"/>
  <c r="AQ31" i="14" a="1"/>
  <c r="AQ31" i="14" s="1"/>
  <c r="AM31" i="14" a="1"/>
  <c r="AM31" i="14" s="1"/>
  <c r="AI31" i="14" a="1"/>
  <c r="AI31" i="14" s="1"/>
  <c r="AE31" i="14" a="1"/>
  <c r="AE31" i="14" s="1"/>
  <c r="AA31" i="14" a="1"/>
  <c r="AA31" i="14" s="1"/>
  <c r="W31" i="14" a="1"/>
  <c r="W31" i="14" s="1"/>
  <c r="S31" i="14" a="1"/>
  <c r="S31" i="14" s="1"/>
  <c r="O31" i="14" a="1"/>
  <c r="O31" i="14" s="1"/>
  <c r="K31" i="14" a="1"/>
  <c r="K31" i="14" s="1"/>
  <c r="BJ27" i="14" a="1"/>
  <c r="BJ27" i="14" s="1"/>
  <c r="BF27" i="14" a="1"/>
  <c r="BF27" i="14" s="1"/>
  <c r="BB27" i="14" a="1"/>
  <c r="BB27" i="14" s="1"/>
  <c r="AX27" i="14" a="1"/>
  <c r="AX27" i="14" s="1"/>
  <c r="AT27" i="14" a="1"/>
  <c r="AT27" i="14" s="1"/>
  <c r="AP27" i="14" a="1"/>
  <c r="AP27" i="14" s="1"/>
  <c r="AL27" i="14" a="1"/>
  <c r="AL27" i="14" s="1"/>
  <c r="AH27" i="14" a="1"/>
  <c r="AH27" i="14" s="1"/>
  <c r="AD27" i="14" a="1"/>
  <c r="AD27" i="14" s="1"/>
  <c r="Z27" i="14" a="1"/>
  <c r="Z27" i="14" s="1"/>
  <c r="V27" i="14" a="1"/>
  <c r="V27" i="14" s="1"/>
  <c r="R27" i="14" a="1"/>
  <c r="R27" i="14" s="1"/>
  <c r="N27" i="14" a="1"/>
  <c r="N27" i="14" s="1"/>
  <c r="J27" i="14" a="1"/>
  <c r="J27" i="14" s="1"/>
  <c r="F27" i="14" a="1"/>
  <c r="F27" i="14" s="1"/>
  <c r="BI26" i="14" a="1"/>
  <c r="BI26" i="14" s="1"/>
  <c r="BE26" i="14" a="1"/>
  <c r="BE26" i="14" s="1"/>
  <c r="BA26" i="14" a="1"/>
  <c r="BA26" i="14" s="1"/>
  <c r="AW26" i="14" a="1"/>
  <c r="AW26" i="14" s="1"/>
  <c r="AS26" i="14" a="1"/>
  <c r="AS26" i="14" s="1"/>
  <c r="AO26" i="14" a="1"/>
  <c r="AO26" i="14" s="1"/>
  <c r="AK26" i="14" a="1"/>
  <c r="AK26" i="14" s="1"/>
  <c r="AG26" i="14" a="1"/>
  <c r="AG26" i="14" s="1"/>
  <c r="AC26" i="14" a="1"/>
  <c r="AC26" i="14" s="1"/>
  <c r="Y26" i="14" a="1"/>
  <c r="Y26" i="14" s="1"/>
  <c r="U26" i="14" a="1"/>
  <c r="U26" i="14" s="1"/>
  <c r="Q26" i="14" a="1"/>
  <c r="Q26" i="14" s="1"/>
  <c r="M26" i="14" a="1"/>
  <c r="M26" i="14" s="1"/>
  <c r="I26" i="14" a="1"/>
  <c r="I26" i="14" s="1"/>
  <c r="BI22" i="14" a="1"/>
  <c r="BI22" i="14" s="1"/>
  <c r="BE22" i="14" a="1"/>
  <c r="BE22" i="14" s="1"/>
  <c r="BA22" i="14" a="1"/>
  <c r="BA22" i="14" s="1"/>
  <c r="AW22" i="14" a="1"/>
  <c r="AW22" i="14" s="1"/>
  <c r="AS22" i="14" a="1"/>
  <c r="AS22" i="14" s="1"/>
  <c r="AO22" i="14" a="1"/>
  <c r="AO22" i="14" s="1"/>
  <c r="AK22" i="14" a="1"/>
  <c r="AK22" i="14" s="1"/>
  <c r="AG22" i="14" a="1"/>
  <c r="AG22" i="14" s="1"/>
  <c r="AC22" i="14" a="1"/>
  <c r="AC22" i="14" s="1"/>
  <c r="Y22" i="14" a="1"/>
  <c r="Y22" i="14" s="1"/>
  <c r="U22" i="14" a="1"/>
  <c r="U22" i="14" s="1"/>
  <c r="Q22" i="14" a="1"/>
  <c r="Q22" i="14" s="1"/>
  <c r="M22" i="14" a="1"/>
  <c r="M22" i="14" s="1"/>
  <c r="I22" i="14" a="1"/>
  <c r="I22" i="14" s="1"/>
  <c r="J21" i="14" a="1"/>
  <c r="J21" i="14" s="1"/>
  <c r="N21" i="14" a="1"/>
  <c r="N21" i="14" s="1"/>
  <c r="R21" i="14" a="1"/>
  <c r="R21" i="14" s="1"/>
  <c r="Y21" i="14" a="1"/>
  <c r="Y21" i="14" s="1"/>
  <c r="AC21" i="14" a="1"/>
  <c r="AC21" i="14" s="1"/>
  <c r="AG21" i="14" a="1"/>
  <c r="AG21" i="14" s="1"/>
  <c r="AK21" i="14" a="1"/>
  <c r="AK21" i="14" s="1"/>
  <c r="AO21" i="14" a="1"/>
  <c r="AO21" i="14" s="1"/>
  <c r="AS21" i="14" a="1"/>
  <c r="AS21" i="14" s="1"/>
  <c r="AW21" i="14" a="1"/>
  <c r="AW21" i="14" s="1"/>
  <c r="BA21" i="14" a="1"/>
  <c r="BA21" i="14" s="1"/>
  <c r="BE21" i="14" a="1"/>
  <c r="BE21" i="14" s="1"/>
  <c r="BI21" i="14" a="1"/>
  <c r="BI21" i="14" s="1"/>
  <c r="E22" i="14" a="1"/>
  <c r="E22" i="14" s="1"/>
  <c r="H16" i="14" a="1"/>
  <c r="H16" i="14" s="1"/>
  <c r="L16" i="14" a="1"/>
  <c r="L16" i="14" s="1"/>
  <c r="P16" i="14" a="1"/>
  <c r="P16" i="14" s="1"/>
  <c r="W16" i="14" a="1"/>
  <c r="W16" i="14" s="1"/>
  <c r="AA16" i="14" a="1"/>
  <c r="AA16" i="14" s="1"/>
  <c r="AE16" i="14" a="1"/>
  <c r="AE16" i="14" s="1"/>
  <c r="AI16" i="14" a="1"/>
  <c r="AI16" i="14" s="1"/>
  <c r="AM16" i="14" a="1"/>
  <c r="AM16" i="14" s="1"/>
  <c r="AQ16" i="14" a="1"/>
  <c r="AQ16" i="14" s="1"/>
  <c r="AU16" i="14" a="1"/>
  <c r="AU16" i="14" s="1"/>
  <c r="AX16" i="14" a="1"/>
  <c r="AX16" i="14" s="1"/>
  <c r="BB16" i="14" a="1"/>
  <c r="BB16" i="14" s="1"/>
  <c r="BF16" i="14" a="1"/>
  <c r="BF16" i="14" s="1"/>
  <c r="BJ16" i="14" a="1"/>
  <c r="BJ16" i="14" s="1"/>
  <c r="H17" i="14" a="1"/>
  <c r="H17" i="14" s="1"/>
  <c r="L17" i="14" a="1"/>
  <c r="L17" i="14" s="1"/>
  <c r="P17" i="14" a="1"/>
  <c r="P17" i="14" s="1"/>
  <c r="T17" i="14" a="1"/>
  <c r="T17" i="14" s="1"/>
  <c r="X17" i="14" a="1"/>
  <c r="X17" i="14" s="1"/>
  <c r="AB17" i="14" a="1"/>
  <c r="AB17" i="14" s="1"/>
  <c r="AF17" i="14" a="1"/>
  <c r="AF17" i="14" s="1"/>
  <c r="S6" i="14" a="1"/>
  <c r="S6" i="14" s="1"/>
  <c r="F17" i="14" a="1"/>
  <c r="F17" i="14" s="1"/>
  <c r="BI17" i="14" a="1"/>
  <c r="BI17" i="14" s="1"/>
  <c r="BE17" i="14" a="1"/>
  <c r="BE17" i="14" s="1"/>
  <c r="BA17" i="14" a="1"/>
  <c r="BA17" i="14" s="1"/>
  <c r="AW17" i="14" a="1"/>
  <c r="AW17" i="14" s="1"/>
  <c r="AS17" i="14" a="1"/>
  <c r="AS17" i="14" s="1"/>
  <c r="AO17" i="14" a="1"/>
  <c r="AO17" i="14" s="1"/>
  <c r="AK17" i="14" a="1"/>
  <c r="AK17" i="14" s="1"/>
  <c r="AG17" i="14" a="1"/>
  <c r="AG17" i="14" s="1"/>
  <c r="AC17" i="14" a="1"/>
  <c r="AC17" i="14" s="1"/>
  <c r="U17" i="14" a="1"/>
  <c r="U17" i="14" s="1"/>
  <c r="BC11" i="14" a="1"/>
  <c r="BC11" i="14" s="1"/>
  <c r="BL17" i="14" a="1"/>
  <c r="BL17" i="14" s="1"/>
  <c r="BH17" i="14" a="1"/>
  <c r="BH17" i="14" s="1"/>
  <c r="BD17" i="14" a="1"/>
  <c r="BD17" i="14" s="1"/>
  <c r="AZ17" i="14" a="1"/>
  <c r="AZ17" i="14" s="1"/>
  <c r="AV17" i="14" a="1"/>
  <c r="AV17" i="14" s="1"/>
  <c r="AR17" i="14" a="1"/>
  <c r="AR17" i="14" s="1"/>
  <c r="AN17" i="14" a="1"/>
  <c r="AN17" i="14" s="1"/>
  <c r="AJ17" i="14" a="1"/>
  <c r="AJ17" i="14" s="1"/>
  <c r="AA17" i="14" a="1"/>
  <c r="AA17" i="14" s="1"/>
  <c r="Q17" i="14" a="1"/>
  <c r="Q17" i="14" s="1"/>
  <c r="E17" i="14" a="1"/>
  <c r="E17" i="14" s="1"/>
  <c r="BK17" i="14" a="1"/>
  <c r="BK17" i="14" s="1"/>
  <c r="BG17" i="14" a="1"/>
  <c r="BG17" i="14" s="1"/>
  <c r="BC17" i="14" a="1"/>
  <c r="BC17" i="14" s="1"/>
  <c r="AY17" i="14" a="1"/>
  <c r="AY17" i="14" s="1"/>
  <c r="AU17" i="14" a="1"/>
  <c r="AU17" i="14" s="1"/>
  <c r="AQ17" i="14" a="1"/>
  <c r="AQ17" i="14" s="1"/>
  <c r="AM17" i="14" a="1"/>
  <c r="AM17" i="14" s="1"/>
  <c r="AI17" i="14" a="1"/>
  <c r="AI17" i="14" s="1"/>
  <c r="AE17" i="14" a="1"/>
  <c r="AE17" i="14" s="1"/>
  <c r="Z17" i="14" a="1"/>
  <c r="Z17" i="14" s="1"/>
  <c r="BJ17" i="14" a="1"/>
  <c r="BJ17" i="14" s="1"/>
  <c r="BF17" i="14" a="1"/>
  <c r="BF17" i="14" s="1"/>
  <c r="BB17" i="14" a="1"/>
  <c r="BB17" i="14" s="1"/>
  <c r="AX17" i="14" a="1"/>
  <c r="AX17" i="14" s="1"/>
  <c r="AT17" i="14" a="1"/>
  <c r="AT17" i="14" s="1"/>
  <c r="AP17" i="14" a="1"/>
  <c r="AP17" i="14" s="1"/>
  <c r="AL17" i="14" a="1"/>
  <c r="AL17" i="14" s="1"/>
  <c r="AH17" i="14" a="1"/>
  <c r="AH17" i="14" s="1"/>
  <c r="AD17" i="14" a="1"/>
  <c r="AD17" i="14" s="1"/>
  <c r="Y17" i="14" a="1"/>
  <c r="Y17" i="14" s="1"/>
  <c r="D7" i="14"/>
  <c r="I11" i="14" a="1"/>
  <c r="I11" i="14" s="1"/>
  <c r="BE6" i="14" a="1"/>
  <c r="BE6" i="14" s="1"/>
  <c r="AM11" i="14" a="1"/>
  <c r="AM11" i="14" s="1"/>
  <c r="AW6" i="14" a="1"/>
  <c r="AW6" i="14" s="1"/>
  <c r="Z11" i="14" a="1"/>
  <c r="Z11" i="14" s="1"/>
  <c r="AG6" i="14" a="1"/>
  <c r="AG6" i="14" s="1"/>
  <c r="BH6" i="14" a="1"/>
  <c r="BH6" i="14" s="1"/>
  <c r="AR6" i="14" a="1"/>
  <c r="AR6" i="14" s="1"/>
  <c r="AD6" i="14" a="1"/>
  <c r="AD6" i="14" s="1"/>
  <c r="N6" i="14" a="1"/>
  <c r="N6" i="14" s="1"/>
  <c r="AY11" i="14" a="1"/>
  <c r="AY11" i="14" s="1"/>
  <c r="AI11" i="14" a="1"/>
  <c r="AI11" i="14" s="1"/>
  <c r="T11" i="14" a="1"/>
  <c r="T11" i="14" s="1"/>
  <c r="AO6" i="14" a="1"/>
  <c r="AO6" i="14" s="1"/>
  <c r="AA6" i="14" a="1"/>
  <c r="AA6" i="14" s="1"/>
  <c r="K6" i="14" a="1"/>
  <c r="K6" i="14" s="1"/>
  <c r="BL11" i="14" a="1"/>
  <c r="BL11" i="14" s="1"/>
  <c r="AV11" i="14" a="1"/>
  <c r="AV11" i="14" s="1"/>
  <c r="AF11" i="14" a="1"/>
  <c r="AF11" i="14" s="1"/>
  <c r="O11" i="14" a="1"/>
  <c r="O11" i="14" s="1"/>
  <c r="AZ6" i="14" a="1"/>
  <c r="AZ6" i="14" s="1"/>
  <c r="AJ6" i="14" a="1"/>
  <c r="AJ6" i="14" s="1"/>
  <c r="V6" i="14" a="1"/>
  <c r="V6" i="14" s="1"/>
  <c r="BI11" i="14" a="1"/>
  <c r="BI11" i="14" s="1"/>
  <c r="AS11" i="14" a="1"/>
  <c r="AS11" i="14" s="1"/>
  <c r="AC11" i="14" a="1"/>
  <c r="AC11" i="14" s="1"/>
  <c r="BJ6" i="14" a="1"/>
  <c r="BJ6" i="14" s="1"/>
  <c r="BG6" i="14" a="1"/>
  <c r="BG6" i="14" s="1"/>
  <c r="BB6" i="14" a="1"/>
  <c r="BB6" i="14" s="1"/>
  <c r="AY6" i="14" a="1"/>
  <c r="AY6" i="14" s="1"/>
  <c r="AT6" i="14" a="1"/>
  <c r="AT6" i="14" s="1"/>
  <c r="AQ6" i="14" a="1"/>
  <c r="AQ6" i="14" s="1"/>
  <c r="AL6" i="14" a="1"/>
  <c r="AL6" i="14" s="1"/>
  <c r="AI6" i="14" a="1"/>
  <c r="AI6" i="14" s="1"/>
  <c r="AC6" i="14" a="1"/>
  <c r="AC6" i="14" s="1"/>
  <c r="X6" i="14" a="1"/>
  <c r="X6" i="14" s="1"/>
  <c r="U6" i="14" a="1"/>
  <c r="U6" i="14" s="1"/>
  <c r="P6" i="14" a="1"/>
  <c r="P6" i="14" s="1"/>
  <c r="M6" i="14" a="1"/>
  <c r="M6" i="14" s="1"/>
  <c r="H6" i="14" a="1"/>
  <c r="H6" i="14" s="1"/>
  <c r="BH11" i="14" a="1"/>
  <c r="BH11" i="14" s="1"/>
  <c r="BE11" i="14" a="1"/>
  <c r="BE11" i="14" s="1"/>
  <c r="BB11" i="14" a="1"/>
  <c r="BB11" i="14" s="1"/>
  <c r="AX11" i="14" a="1"/>
  <c r="AX11" i="14" s="1"/>
  <c r="AR11" i="14" a="1"/>
  <c r="AR11" i="14" s="1"/>
  <c r="AO11" i="14" a="1"/>
  <c r="AO11" i="14" s="1"/>
  <c r="AL11" i="14" a="1"/>
  <c r="AL11" i="14" s="1"/>
  <c r="AH11" i="14" a="1"/>
  <c r="AH11" i="14" s="1"/>
  <c r="AB11" i="14" a="1"/>
  <c r="AB11" i="14" s="1"/>
  <c r="W11" i="14" a="1"/>
  <c r="W11" i="14" s="1"/>
  <c r="Q11" i="14" a="1"/>
  <c r="Q11" i="14" s="1"/>
  <c r="N11" i="14" a="1"/>
  <c r="N11" i="14" s="1"/>
  <c r="K11" i="14" a="1"/>
  <c r="K11" i="14" s="1"/>
  <c r="H11" i="14" a="1"/>
  <c r="H11" i="14" s="1"/>
  <c r="BL6" i="14" a="1"/>
  <c r="BL6" i="14" s="1"/>
  <c r="BI6" i="14" a="1"/>
  <c r="BI6" i="14" s="1"/>
  <c r="BD6" i="14" a="1"/>
  <c r="BD6" i="14" s="1"/>
  <c r="BA6" i="14" a="1"/>
  <c r="BA6" i="14" s="1"/>
  <c r="AV6" i="14" a="1"/>
  <c r="AV6" i="14" s="1"/>
  <c r="AS6" i="14" a="1"/>
  <c r="AS6" i="14" s="1"/>
  <c r="AN6" i="14" a="1"/>
  <c r="AN6" i="14" s="1"/>
  <c r="AK6" i="14" a="1"/>
  <c r="AK6" i="14" s="1"/>
  <c r="AF6" i="14" a="1"/>
  <c r="AF6" i="14" s="1"/>
  <c r="Z6" i="14" a="1"/>
  <c r="Z6" i="14" s="1"/>
  <c r="W6" i="14" a="1"/>
  <c r="W6" i="14" s="1"/>
  <c r="R6" i="14" a="1"/>
  <c r="R6" i="14" s="1"/>
  <c r="O6" i="14" a="1"/>
  <c r="O6" i="14" s="1"/>
  <c r="J6" i="14" a="1"/>
  <c r="J6" i="14" s="1"/>
  <c r="G6" i="14" a="1"/>
  <c r="G6" i="14" s="1"/>
  <c r="BK11" i="14" a="1"/>
  <c r="BK11" i="14" s="1"/>
  <c r="BG11" i="14" a="1"/>
  <c r="BG11" i="14" s="1"/>
  <c r="BD11" i="14" a="1"/>
  <c r="BD11" i="14" s="1"/>
  <c r="BA11" i="14" a="1"/>
  <c r="BA11" i="14" s="1"/>
  <c r="AU11" i="14" a="1"/>
  <c r="AU11" i="14" s="1"/>
  <c r="AQ11" i="14" a="1"/>
  <c r="AQ11" i="14" s="1"/>
  <c r="AN11" i="14" a="1"/>
  <c r="AN11" i="14" s="1"/>
  <c r="AK11" i="14" a="1"/>
  <c r="AK11" i="14" s="1"/>
  <c r="AE11" i="14" a="1"/>
  <c r="AE11" i="14" s="1"/>
  <c r="Y11" i="14" a="1"/>
  <c r="Y11" i="14" s="1"/>
  <c r="V11" i="14" a="1"/>
  <c r="V11" i="14" s="1"/>
  <c r="S11" i="14" a="1"/>
  <c r="S11" i="14" s="1"/>
  <c r="P11" i="14" a="1"/>
  <c r="P11" i="14" s="1"/>
  <c r="M11" i="14" a="1"/>
  <c r="M11" i="14" s="1"/>
  <c r="J11" i="14" a="1"/>
  <c r="J11" i="14" s="1"/>
  <c r="BK6" i="14" a="1"/>
  <c r="BK6" i="14" s="1"/>
  <c r="BF6" i="14" a="1"/>
  <c r="BF6" i="14" s="1"/>
  <c r="BC6" i="14" a="1"/>
  <c r="BC6" i="14" s="1"/>
  <c r="AX6" i="14" a="1"/>
  <c r="AX6" i="14" s="1"/>
  <c r="AU6" i="14" a="1"/>
  <c r="AU6" i="14" s="1"/>
  <c r="AP6" i="14" a="1"/>
  <c r="AP6" i="14" s="1"/>
  <c r="AM6" i="14" a="1"/>
  <c r="AM6" i="14" s="1"/>
  <c r="AH6" i="14" a="1"/>
  <c r="AH6" i="14" s="1"/>
  <c r="AE6" i="14" a="1"/>
  <c r="AE6" i="14" s="1"/>
  <c r="AB6" i="14" a="1"/>
  <c r="AB6" i="14" s="1"/>
  <c r="Y6" i="14" a="1"/>
  <c r="Y6" i="14" s="1"/>
  <c r="T6" i="14" a="1"/>
  <c r="T6" i="14" s="1"/>
  <c r="Q6" i="14" a="1"/>
  <c r="Q6" i="14" s="1"/>
  <c r="L6" i="14" a="1"/>
  <c r="L6" i="14" s="1"/>
  <c r="I6" i="14" a="1"/>
  <c r="I6" i="14" s="1"/>
  <c r="BJ11" i="14" a="1"/>
  <c r="BJ11" i="14" s="1"/>
  <c r="BF11" i="14" a="1"/>
  <c r="BF11" i="14" s="1"/>
  <c r="AZ11" i="14" a="1"/>
  <c r="AZ11" i="14" s="1"/>
  <c r="AW11" i="14" a="1"/>
  <c r="AW11" i="14" s="1"/>
  <c r="AT11" i="14" a="1"/>
  <c r="AT11" i="14" s="1"/>
  <c r="AP11" i="14" a="1"/>
  <c r="AP11" i="14" s="1"/>
  <c r="AJ11" i="14" a="1"/>
  <c r="AJ11" i="14" s="1"/>
  <c r="AG11" i="14" a="1"/>
  <c r="AG11" i="14" s="1"/>
  <c r="AD11" i="14" a="1"/>
  <c r="AD11" i="14" s="1"/>
  <c r="AA11" i="14" a="1"/>
  <c r="AA11" i="14" s="1"/>
  <c r="X11" i="14" a="1"/>
  <c r="X11" i="14" s="1"/>
  <c r="U11" i="14" a="1"/>
  <c r="U11" i="14" s="1"/>
  <c r="R11" i="14" a="1"/>
  <c r="R11" i="14" s="1"/>
  <c r="L11" i="14" a="1"/>
  <c r="L11" i="14" s="1"/>
  <c r="F12" i="8"/>
  <c r="BN227" i="8"/>
  <c r="BM227" i="8"/>
  <c r="BL227" i="8"/>
  <c r="BK227" i="8"/>
  <c r="BJ227" i="8"/>
  <c r="BI227" i="8"/>
  <c r="BH227" i="8"/>
  <c r="BG227" i="8"/>
  <c r="BF227" i="8"/>
  <c r="BE227" i="8"/>
  <c r="BD227" i="8"/>
  <c r="BC227" i="8"/>
  <c r="BB227" i="8"/>
  <c r="BA227" i="8"/>
  <c r="AZ227" i="8"/>
  <c r="AY227" i="8"/>
  <c r="AX227" i="8"/>
  <c r="AW227" i="8"/>
  <c r="AV227" i="8"/>
  <c r="AU227" i="8"/>
  <c r="AT227" i="8"/>
  <c r="AS227" i="8"/>
  <c r="AR227" i="8"/>
  <c r="AQ227" i="8"/>
  <c r="AP227" i="8"/>
  <c r="AO227" i="8"/>
  <c r="AN227" i="8"/>
  <c r="AM227" i="8"/>
  <c r="AL227" i="8"/>
  <c r="AK227" i="8"/>
  <c r="AJ227" i="8"/>
  <c r="AI227" i="8"/>
  <c r="AH227" i="8"/>
  <c r="AG227" i="8"/>
  <c r="AF227" i="8"/>
  <c r="AE227" i="8"/>
  <c r="AD227" i="8"/>
  <c r="AC227" i="8"/>
  <c r="AB227" i="8"/>
  <c r="AA227" i="8"/>
  <c r="Z227" i="8"/>
  <c r="Y227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J227" i="8"/>
  <c r="I227" i="8"/>
  <c r="H227" i="8"/>
  <c r="E14" i="8"/>
  <c r="G11" i="21" l="1" a="1"/>
  <c r="G11" i="21" s="1"/>
  <c r="G5" i="21" a="1"/>
  <c r="G5" i="21" s="1"/>
  <c r="C7" i="21" a="1"/>
  <c r="C7" i="21" s="1"/>
  <c r="C2" i="21" a="1"/>
  <c r="C2" i="21" s="1"/>
  <c r="C5" i="21" a="1"/>
  <c r="C5" i="21" s="1"/>
  <c r="G7" i="21" a="1"/>
  <c r="G7" i="21" s="1"/>
  <c r="G2" i="21" a="1"/>
  <c r="G2" i="21" s="1"/>
  <c r="G17" i="8"/>
  <c r="K227" i="8"/>
  <c r="E22" i="8"/>
  <c r="G18" i="8" l="1"/>
  <c r="G23" i="8" s="1"/>
  <c r="B6" i="5"/>
  <c r="H49" i="6"/>
  <c r="H48" i="6"/>
  <c r="H47" i="6"/>
  <c r="H46" i="6"/>
  <c r="H45" i="6"/>
  <c r="H44" i="6"/>
  <c r="H40" i="6"/>
  <c r="H39" i="6"/>
  <c r="H38" i="6"/>
  <c r="H37" i="6"/>
  <c r="H36" i="6"/>
  <c r="H35" i="6"/>
  <c r="H33" i="6"/>
  <c r="H21" i="6"/>
  <c r="E80" i="6"/>
  <c r="H32" i="6" s="1"/>
  <c r="E79" i="6"/>
  <c r="H31" i="6" s="1"/>
  <c r="E78" i="6"/>
  <c r="E77" i="6"/>
  <c r="E76" i="6"/>
  <c r="E75" i="6"/>
  <c r="L67" i="6" s="1"/>
  <c r="E74" i="6"/>
  <c r="L66" i="6" s="1"/>
  <c r="E73" i="6"/>
  <c r="L65" i="6" s="1"/>
  <c r="E72" i="6"/>
  <c r="L64" i="6" s="1"/>
  <c r="E71" i="6"/>
  <c r="L63" i="6" s="1"/>
  <c r="E70" i="6"/>
  <c r="L62" i="6" s="1"/>
  <c r="E69" i="6"/>
  <c r="L61" i="6" s="1"/>
  <c r="E68" i="6"/>
  <c r="L60" i="6" s="1"/>
  <c r="E67" i="6"/>
  <c r="L59" i="6" s="1"/>
  <c r="E66" i="6"/>
  <c r="E65" i="6"/>
  <c r="E64" i="6"/>
  <c r="E63" i="6"/>
  <c r="L57" i="6" s="1"/>
  <c r="E62" i="6"/>
  <c r="L56" i="6" s="1"/>
  <c r="E61" i="6"/>
  <c r="E60" i="6"/>
  <c r="L54" i="6" s="1"/>
  <c r="E59" i="6"/>
  <c r="L53" i="6" s="1"/>
  <c r="E58" i="6"/>
  <c r="L52" i="6" s="1"/>
  <c r="E57" i="6"/>
  <c r="L51" i="6" s="1"/>
  <c r="E56" i="6"/>
  <c r="L50" i="6" s="1"/>
  <c r="E55" i="6"/>
  <c r="L49" i="6" s="1"/>
  <c r="E54" i="6"/>
  <c r="L48" i="6" s="1"/>
  <c r="E53" i="6"/>
  <c r="L47" i="6" s="1"/>
  <c r="E52" i="6"/>
  <c r="H14" i="6" s="1"/>
  <c r="E51" i="6"/>
  <c r="L45" i="6" s="1"/>
  <c r="E50" i="6"/>
  <c r="L44" i="6" s="1"/>
  <c r="E49" i="6"/>
  <c r="L43" i="6" s="1"/>
  <c r="E48" i="6"/>
  <c r="L42" i="6" s="1"/>
  <c r="E47" i="6"/>
  <c r="L41" i="6" s="1"/>
  <c r="E46" i="6"/>
  <c r="L40" i="6" s="1"/>
  <c r="E45" i="6"/>
  <c r="L39" i="6" s="1"/>
  <c r="E44" i="6"/>
  <c r="L38" i="6" s="1"/>
  <c r="E43" i="6"/>
  <c r="L37" i="6" s="1"/>
  <c r="E42" i="6"/>
  <c r="L36" i="6" s="1"/>
  <c r="E41" i="6"/>
  <c r="L35" i="6" s="1"/>
  <c r="E40" i="6"/>
  <c r="L34" i="6" s="1"/>
  <c r="E39" i="6"/>
  <c r="E38" i="6"/>
  <c r="E37" i="6"/>
  <c r="E36" i="6"/>
  <c r="L32" i="6" s="1"/>
  <c r="E35" i="6"/>
  <c r="L31" i="6" s="1"/>
  <c r="E34" i="6"/>
  <c r="L30" i="6" s="1"/>
  <c r="E33" i="6"/>
  <c r="E32" i="6"/>
  <c r="E31" i="6"/>
  <c r="E30" i="6"/>
  <c r="L28" i="6" s="1"/>
  <c r="E29" i="6"/>
  <c r="L27" i="6" s="1"/>
  <c r="E28" i="6"/>
  <c r="L26" i="6" s="1"/>
  <c r="E27" i="6"/>
  <c r="L25" i="6" s="1"/>
  <c r="E26" i="6"/>
  <c r="L24" i="6" s="1"/>
  <c r="E25" i="6"/>
  <c r="L23" i="6" s="1"/>
  <c r="E24" i="6"/>
  <c r="L22" i="6" s="1"/>
  <c r="E23" i="6"/>
  <c r="L21" i="6" s="1"/>
  <c r="E22" i="6"/>
  <c r="L20" i="6" s="1"/>
  <c r="E21" i="6"/>
  <c r="E20" i="6"/>
  <c r="E19" i="6"/>
  <c r="E18" i="6"/>
  <c r="L18" i="6" s="1"/>
  <c r="E17" i="6"/>
  <c r="L17" i="6" s="1"/>
  <c r="E16" i="6"/>
  <c r="L16" i="6" s="1"/>
  <c r="E15" i="6"/>
  <c r="H34" i="6" s="1"/>
  <c r="E14" i="6"/>
  <c r="H25" i="6" s="1"/>
  <c r="E13" i="6"/>
  <c r="L13" i="6" s="1"/>
  <c r="E12" i="6"/>
  <c r="H30" i="6" s="1"/>
  <c r="E11" i="6"/>
  <c r="E10" i="6"/>
  <c r="L10" i="6" s="1"/>
  <c r="E9" i="6"/>
  <c r="L9" i="6" s="1"/>
  <c r="N8" i="6"/>
  <c r="G25" i="8" l="1"/>
  <c r="H10" i="6"/>
  <c r="H41" i="6"/>
  <c r="H42" i="6"/>
  <c r="H43" i="6"/>
  <c r="L58" i="6"/>
  <c r="L68" i="6"/>
  <c r="L33" i="6"/>
  <c r="H28" i="6"/>
  <c r="L29" i="6"/>
  <c r="L19" i="6"/>
  <c r="H15" i="6"/>
  <c r="L14" i="6"/>
  <c r="L46" i="6"/>
  <c r="L11" i="6"/>
  <c r="L15" i="6"/>
  <c r="L55" i="6"/>
  <c r="L12" i="6"/>
  <c r="H24" i="6"/>
  <c r="H22" i="6"/>
  <c r="H26" i="6"/>
  <c r="H19" i="6"/>
  <c r="H17" i="6"/>
  <c r="H11" i="6"/>
  <c r="H27" i="6"/>
  <c r="H12" i="6"/>
  <c r="H13" i="6"/>
  <c r="H29" i="6"/>
  <c r="H16" i="6"/>
  <c r="H23" i="6"/>
  <c r="H18" i="6"/>
  <c r="H20" i="6"/>
  <c r="E7" i="6"/>
  <c r="G26" i="8" l="1"/>
  <c r="G31" i="8" s="1"/>
  <c r="H50" i="6"/>
  <c r="H51" i="6" s="1"/>
  <c r="BL167" i="14" l="1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Y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G167" i="14"/>
  <c r="AF167" i="14"/>
  <c r="AE167" i="14"/>
  <c r="AD167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G33" i="8" l="1"/>
  <c r="E168" i="14"/>
  <c r="F168" i="14" s="1"/>
  <c r="G168" i="14" s="1"/>
  <c r="H168" i="14" s="1"/>
  <c r="I168" i="14" s="1"/>
  <c r="J168" i="14" s="1"/>
  <c r="K168" i="14" s="1"/>
  <c r="L168" i="14" s="1"/>
  <c r="M168" i="14" s="1"/>
  <c r="N168" i="14" s="1"/>
  <c r="O168" i="14" s="1"/>
  <c r="P168" i="14" s="1"/>
  <c r="Q168" i="14" s="1"/>
  <c r="R168" i="14" s="1"/>
  <c r="S168" i="14" s="1"/>
  <c r="T168" i="14" s="1"/>
  <c r="U168" i="14" s="1"/>
  <c r="V168" i="14" s="1"/>
  <c r="W168" i="14" s="1"/>
  <c r="X168" i="14" s="1"/>
  <c r="Y168" i="14" s="1"/>
  <c r="Z168" i="14" s="1"/>
  <c r="AA168" i="14" s="1"/>
  <c r="AB168" i="14" s="1"/>
  <c r="AC168" i="14" s="1"/>
  <c r="AD168" i="14" s="1"/>
  <c r="AE168" i="14" s="1"/>
  <c r="AF168" i="14" s="1"/>
  <c r="AG168" i="14" s="1"/>
  <c r="AH168" i="14" s="1"/>
  <c r="AI168" i="14" s="1"/>
  <c r="AJ168" i="14" s="1"/>
  <c r="AK168" i="14" s="1"/>
  <c r="AL168" i="14" s="1"/>
  <c r="AM168" i="14" s="1"/>
  <c r="AN168" i="14" s="1"/>
  <c r="AO168" i="14" s="1"/>
  <c r="AP168" i="14" s="1"/>
  <c r="AQ168" i="14" s="1"/>
  <c r="AR168" i="14" s="1"/>
  <c r="AS168" i="14" s="1"/>
  <c r="AT168" i="14" s="1"/>
  <c r="AU168" i="14" s="1"/>
  <c r="AV168" i="14" s="1"/>
  <c r="AW168" i="14" s="1"/>
  <c r="AX168" i="14" s="1"/>
  <c r="AY168" i="14" s="1"/>
  <c r="AZ168" i="14" s="1"/>
  <c r="BA168" i="14" s="1"/>
  <c r="BB168" i="14" s="1"/>
  <c r="BC168" i="14" s="1"/>
  <c r="BD168" i="14" s="1"/>
  <c r="BE168" i="14" s="1"/>
  <c r="BF168" i="14" s="1"/>
  <c r="BG168" i="14" s="1"/>
  <c r="BH168" i="14" s="1"/>
  <c r="BI168" i="14" s="1"/>
  <c r="BJ168" i="14" s="1"/>
  <c r="BK168" i="14" s="1"/>
  <c r="BL168" i="14" s="1"/>
  <c r="G272" i="8"/>
  <c r="E270" i="8"/>
  <c r="C271" i="21" l="1" a="1"/>
  <c r="C271" i="21" s="1"/>
  <c r="G34" i="8"/>
  <c r="H272" i="8"/>
  <c r="I272" i="8" s="1"/>
  <c r="J272" i="8" s="1"/>
  <c r="K272" i="8" s="1"/>
  <c r="L272" i="8" s="1"/>
  <c r="M272" i="8" s="1"/>
  <c r="N272" i="8" s="1"/>
  <c r="O272" i="8" s="1"/>
  <c r="P272" i="8" s="1"/>
  <c r="D167" i="14"/>
  <c r="X162" i="14"/>
  <c r="G39" i="8" l="1"/>
  <c r="Q272" i="8"/>
  <c r="E162" i="14"/>
  <c r="G41" i="8" l="1"/>
  <c r="R272" i="8"/>
  <c r="Q273" i="8"/>
  <c r="Q274" i="8" s="1"/>
  <c r="E157" i="14"/>
  <c r="G42" i="8" l="1"/>
  <c r="S272" i="8"/>
  <c r="G47" i="8" l="1"/>
  <c r="T272" i="8"/>
  <c r="BL162" i="14"/>
  <c r="BK162" i="14"/>
  <c r="BJ162" i="14"/>
  <c r="BH162" i="14"/>
  <c r="BG162" i="14"/>
  <c r="BF162" i="14"/>
  <c r="BE162" i="14"/>
  <c r="BD162" i="14"/>
  <c r="BB162" i="14"/>
  <c r="BA162" i="14"/>
  <c r="AZ162" i="14"/>
  <c r="AW162" i="14"/>
  <c r="AV162" i="14"/>
  <c r="AT162" i="14"/>
  <c r="AS162" i="14"/>
  <c r="AR162" i="14"/>
  <c r="AQ162" i="14"/>
  <c r="AP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AC162" i="14"/>
  <c r="AB162" i="14"/>
  <c r="AA162" i="14"/>
  <c r="Z162" i="14"/>
  <c r="Y162" i="14"/>
  <c r="W162" i="14"/>
  <c r="V162" i="14"/>
  <c r="U162" i="14"/>
  <c r="T162" i="14"/>
  <c r="S162" i="14"/>
  <c r="R162" i="14"/>
  <c r="Q162" i="14"/>
  <c r="P162" i="14"/>
  <c r="N162" i="14"/>
  <c r="M162" i="14"/>
  <c r="L162" i="14"/>
  <c r="K162" i="14"/>
  <c r="J162" i="14"/>
  <c r="I162" i="14"/>
  <c r="H162" i="14"/>
  <c r="F162" i="14"/>
  <c r="E163" i="14"/>
  <c r="F163" i="14" s="1"/>
  <c r="G163" i="14" s="1"/>
  <c r="H163" i="14" s="1"/>
  <c r="I163" i="14" s="1"/>
  <c r="J163" i="14" s="1"/>
  <c r="K163" i="14" s="1"/>
  <c r="L163" i="14" s="1"/>
  <c r="M163" i="14" s="1"/>
  <c r="N163" i="14" s="1"/>
  <c r="O163" i="14" s="1"/>
  <c r="P163" i="14" s="1"/>
  <c r="Q163" i="14" s="1"/>
  <c r="R163" i="14" s="1"/>
  <c r="S163" i="14" s="1"/>
  <c r="T163" i="14" s="1"/>
  <c r="U163" i="14" s="1"/>
  <c r="V163" i="14" s="1"/>
  <c r="W163" i="14" s="1"/>
  <c r="X163" i="14" s="1"/>
  <c r="Y163" i="14" s="1"/>
  <c r="Z163" i="14" s="1"/>
  <c r="AA163" i="14" s="1"/>
  <c r="AB163" i="14" s="1"/>
  <c r="AC163" i="14" s="1"/>
  <c r="AD163" i="14" s="1"/>
  <c r="AE163" i="14" s="1"/>
  <c r="AF163" i="14" s="1"/>
  <c r="AG163" i="14" s="1"/>
  <c r="AH163" i="14" s="1"/>
  <c r="AI163" i="14" s="1"/>
  <c r="AJ163" i="14" s="1"/>
  <c r="AK163" i="14" s="1"/>
  <c r="AL163" i="14" s="1"/>
  <c r="AM163" i="14" s="1"/>
  <c r="AN163" i="14" s="1"/>
  <c r="AO163" i="14" s="1"/>
  <c r="AP163" i="14" s="1"/>
  <c r="AQ163" i="14" s="1"/>
  <c r="AR163" i="14" s="1"/>
  <c r="AS163" i="14" s="1"/>
  <c r="AT163" i="14" s="1"/>
  <c r="AU163" i="14" s="1"/>
  <c r="AV163" i="14" s="1"/>
  <c r="AW163" i="14" s="1"/>
  <c r="AX163" i="14" s="1"/>
  <c r="AY163" i="14" s="1"/>
  <c r="AZ163" i="14" s="1"/>
  <c r="BA163" i="14" s="1"/>
  <c r="BB163" i="14" s="1"/>
  <c r="BC163" i="14" s="1"/>
  <c r="BD163" i="14" s="1"/>
  <c r="BE163" i="14" s="1"/>
  <c r="BF163" i="14" s="1"/>
  <c r="BG163" i="14" s="1"/>
  <c r="BH163" i="14" s="1"/>
  <c r="BI163" i="14" s="1"/>
  <c r="BJ163" i="14" s="1"/>
  <c r="BK163" i="14" s="1"/>
  <c r="BL163" i="14" s="1"/>
  <c r="G49" i="8" l="1"/>
  <c r="H264" i="8"/>
  <c r="I264" i="8" s="1"/>
  <c r="J264" i="8" s="1"/>
  <c r="K264" i="8" s="1"/>
  <c r="L264" i="8" s="1"/>
  <c r="M264" i="8" s="1"/>
  <c r="N264" i="8" s="1"/>
  <c r="O264" i="8" s="1"/>
  <c r="P264" i="8" s="1"/>
  <c r="G264" i="8"/>
  <c r="C263" i="21" s="1" a="1"/>
  <c r="C263" i="21" s="1"/>
  <c r="E262" i="8"/>
  <c r="O162" i="14"/>
  <c r="AU162" i="14"/>
  <c r="AY162" i="14"/>
  <c r="G162" i="14"/>
  <c r="BI162" i="14"/>
  <c r="BC162" i="14"/>
  <c r="AX162" i="14"/>
  <c r="AO162" i="14"/>
  <c r="U272" i="8"/>
  <c r="G50" i="8" l="1"/>
  <c r="D162" i="14"/>
  <c r="V272" i="8"/>
  <c r="E158" i="14"/>
  <c r="Q264" i="8"/>
  <c r="G55" i="8" l="1"/>
  <c r="W272" i="8"/>
  <c r="F158" i="14"/>
  <c r="R264" i="8"/>
  <c r="G57" i="8" l="1"/>
  <c r="X272" i="8"/>
  <c r="G158" i="14"/>
  <c r="S264" i="8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V157" i="14"/>
  <c r="W157" i="14"/>
  <c r="X157" i="14"/>
  <c r="Y157" i="14"/>
  <c r="Z157" i="14"/>
  <c r="AA157" i="14"/>
  <c r="AB157" i="14"/>
  <c r="AC157" i="14"/>
  <c r="AD157" i="14"/>
  <c r="AE157" i="14"/>
  <c r="AF157" i="14"/>
  <c r="AG157" i="14"/>
  <c r="AH157" i="14"/>
  <c r="AI157" i="14"/>
  <c r="AJ157" i="14"/>
  <c r="AK157" i="14"/>
  <c r="AL157" i="14"/>
  <c r="AM157" i="14"/>
  <c r="AN157" i="14"/>
  <c r="AO157" i="14"/>
  <c r="AP157" i="14"/>
  <c r="AQ157" i="14"/>
  <c r="AR157" i="14"/>
  <c r="AS157" i="14"/>
  <c r="AT157" i="14"/>
  <c r="AU157" i="14"/>
  <c r="AV157" i="14"/>
  <c r="AW157" i="14"/>
  <c r="AX157" i="14"/>
  <c r="AY157" i="14"/>
  <c r="AZ157" i="14"/>
  <c r="BA157" i="14"/>
  <c r="BB157" i="14"/>
  <c r="BC157" i="14"/>
  <c r="BD157" i="14"/>
  <c r="BE157" i="14"/>
  <c r="BF157" i="14"/>
  <c r="BG157" i="14"/>
  <c r="BH157" i="14"/>
  <c r="BI157" i="14"/>
  <c r="BJ157" i="14"/>
  <c r="BK157" i="14"/>
  <c r="BL157" i="14"/>
  <c r="D153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V152" i="14"/>
  <c r="W152" i="14"/>
  <c r="X152" i="14"/>
  <c r="Y152" i="14"/>
  <c r="Z152" i="14"/>
  <c r="AA152" i="14"/>
  <c r="AB152" i="14"/>
  <c r="AC152" i="14"/>
  <c r="AD152" i="14"/>
  <c r="AE152" i="14"/>
  <c r="AF152" i="14"/>
  <c r="AG152" i="14"/>
  <c r="AH152" i="14"/>
  <c r="AI152" i="14"/>
  <c r="AJ152" i="14"/>
  <c r="AK152" i="14"/>
  <c r="AL152" i="14"/>
  <c r="AM152" i="14"/>
  <c r="AN152" i="14"/>
  <c r="AO152" i="14"/>
  <c r="AP152" i="14"/>
  <c r="AR152" i="14"/>
  <c r="AS152" i="14"/>
  <c r="AT152" i="14"/>
  <c r="AU152" i="14"/>
  <c r="AV152" i="14"/>
  <c r="AW152" i="14"/>
  <c r="AX152" i="14"/>
  <c r="AY152" i="14"/>
  <c r="AZ152" i="14"/>
  <c r="BA152" i="14"/>
  <c r="BB152" i="14"/>
  <c r="BC152" i="14"/>
  <c r="BD152" i="14"/>
  <c r="BE152" i="14"/>
  <c r="BF152" i="14"/>
  <c r="BG152" i="14"/>
  <c r="BH152" i="14"/>
  <c r="BJ152" i="14"/>
  <c r="BK152" i="14"/>
  <c r="BL152" i="14"/>
  <c r="E152" i="14"/>
  <c r="G58" i="8" l="1"/>
  <c r="AQ152" i="14"/>
  <c r="BI152" i="14"/>
  <c r="Y272" i="8"/>
  <c r="H158" i="14"/>
  <c r="T264" i="8"/>
  <c r="D157" i="14"/>
  <c r="G63" i="8" l="1"/>
  <c r="E122" i="14" a="1"/>
  <c r="E122" i="14" s="1"/>
  <c r="E195" i="8"/>
  <c r="D152" i="14"/>
  <c r="Z272" i="8"/>
  <c r="I158" i="14"/>
  <c r="U264" i="8"/>
  <c r="G248" i="8"/>
  <c r="C247" i="21" l="1" a="1"/>
  <c r="C247" i="21" s="1"/>
  <c r="G65" i="8"/>
  <c r="G227" i="8"/>
  <c r="C226" i="21" s="1" a="1"/>
  <c r="C226" i="21" s="1"/>
  <c r="H256" i="8"/>
  <c r="I256" i="8" s="1"/>
  <c r="J256" i="8" s="1"/>
  <c r="K256" i="8" s="1"/>
  <c r="L256" i="8" s="1"/>
  <c r="M256" i="8" s="1"/>
  <c r="N256" i="8" s="1"/>
  <c r="O256" i="8" s="1"/>
  <c r="P256" i="8" s="1"/>
  <c r="Q256" i="8" s="1"/>
  <c r="R256" i="8" s="1"/>
  <c r="S256" i="8" s="1"/>
  <c r="T256" i="8" s="1"/>
  <c r="U256" i="8" s="1"/>
  <c r="V256" i="8" s="1"/>
  <c r="W256" i="8" s="1"/>
  <c r="X256" i="8" s="1"/>
  <c r="Y256" i="8" s="1"/>
  <c r="Z256" i="8" s="1"/>
  <c r="AA256" i="8" s="1"/>
  <c r="AB256" i="8" s="1"/>
  <c r="AC256" i="8" s="1"/>
  <c r="AD256" i="8" s="1"/>
  <c r="AE256" i="8" s="1"/>
  <c r="AF256" i="8" s="1"/>
  <c r="AG256" i="8" s="1"/>
  <c r="AH256" i="8" s="1"/>
  <c r="AI256" i="8" s="1"/>
  <c r="AJ256" i="8" s="1"/>
  <c r="AK256" i="8" s="1"/>
  <c r="AL256" i="8" s="1"/>
  <c r="AM256" i="8" s="1"/>
  <c r="AN256" i="8" s="1"/>
  <c r="AO256" i="8" s="1"/>
  <c r="AP256" i="8" s="1"/>
  <c r="AQ256" i="8" s="1"/>
  <c r="AR256" i="8" s="1"/>
  <c r="AS256" i="8" s="1"/>
  <c r="AT256" i="8" s="1"/>
  <c r="AU256" i="8" s="1"/>
  <c r="AV256" i="8" s="1"/>
  <c r="AW256" i="8" s="1"/>
  <c r="AX256" i="8" s="1"/>
  <c r="AY256" i="8" s="1"/>
  <c r="AZ256" i="8" s="1"/>
  <c r="BA256" i="8" s="1"/>
  <c r="BB256" i="8" s="1"/>
  <c r="BC256" i="8" s="1"/>
  <c r="BD256" i="8" s="1"/>
  <c r="BE256" i="8" s="1"/>
  <c r="BF256" i="8" s="1"/>
  <c r="BG256" i="8" s="1"/>
  <c r="BH256" i="8" s="1"/>
  <c r="BI256" i="8" s="1"/>
  <c r="BJ256" i="8" s="1"/>
  <c r="BK256" i="8" s="1"/>
  <c r="BL256" i="8" s="1"/>
  <c r="BM256" i="8" s="1"/>
  <c r="BN256" i="8" s="1"/>
  <c r="G256" i="8"/>
  <c r="C255" i="21" s="1" a="1"/>
  <c r="C255" i="21" s="1"/>
  <c r="E153" i="14"/>
  <c r="AA272" i="8"/>
  <c r="J158" i="14"/>
  <c r="V264" i="8"/>
  <c r="H248" i="8"/>
  <c r="G66" i="8" l="1"/>
  <c r="AB272" i="8"/>
  <c r="K158" i="14"/>
  <c r="W264" i="8"/>
  <c r="I248" i="8"/>
  <c r="F153" i="14"/>
  <c r="G71" i="8" l="1"/>
  <c r="F227" i="8"/>
  <c r="G226" i="21" s="1" a="1"/>
  <c r="G226" i="21" s="1"/>
  <c r="AC272" i="8"/>
  <c r="L158" i="14"/>
  <c r="X264" i="8"/>
  <c r="J248" i="8"/>
  <c r="G153" i="14"/>
  <c r="G73" i="8" l="1"/>
  <c r="AD272" i="8"/>
  <c r="M158" i="14"/>
  <c r="Y264" i="8"/>
  <c r="Z264" i="8" s="1"/>
  <c r="K248" i="8"/>
  <c r="H153" i="14"/>
  <c r="G74" i="8" l="1"/>
  <c r="AE272" i="8"/>
  <c r="N158" i="14"/>
  <c r="AA264" i="8"/>
  <c r="L248" i="8"/>
  <c r="I153" i="14"/>
  <c r="G79" i="8" l="1"/>
  <c r="AF272" i="8"/>
  <c r="O158" i="14"/>
  <c r="AB264" i="8"/>
  <c r="M248" i="8"/>
  <c r="J153" i="14"/>
  <c r="G81" i="8" l="1"/>
  <c r="AG272" i="8"/>
  <c r="P158" i="14"/>
  <c r="AC264" i="8"/>
  <c r="N248" i="8"/>
  <c r="K153" i="14"/>
  <c r="G82" i="8" l="1"/>
  <c r="E259" i="8"/>
  <c r="AH272" i="8"/>
  <c r="Q158" i="14"/>
  <c r="AD264" i="8"/>
  <c r="O248" i="8"/>
  <c r="L153" i="14"/>
  <c r="G87" i="8" l="1"/>
  <c r="E267" i="8"/>
  <c r="AI272" i="8"/>
  <c r="R158" i="14"/>
  <c r="AE264" i="8"/>
  <c r="AF264" i="8" s="1"/>
  <c r="P248" i="8"/>
  <c r="M153" i="14"/>
  <c r="G89" i="8" l="1"/>
  <c r="AJ272" i="8"/>
  <c r="S158" i="14"/>
  <c r="AG264" i="8"/>
  <c r="Q248" i="8"/>
  <c r="N153" i="14"/>
  <c r="G90" i="8" l="1"/>
  <c r="AK272" i="8"/>
  <c r="T158" i="14"/>
  <c r="AH264" i="8"/>
  <c r="R248" i="8"/>
  <c r="O153" i="14"/>
  <c r="G95" i="8" l="1"/>
  <c r="AL272" i="8"/>
  <c r="U158" i="14"/>
  <c r="AI264" i="8"/>
  <c r="S248" i="8"/>
  <c r="P153" i="14"/>
  <c r="G97" i="8" l="1"/>
  <c r="AM272" i="8"/>
  <c r="V158" i="14"/>
  <c r="AJ264" i="8"/>
  <c r="T248" i="8"/>
  <c r="Q153" i="14"/>
  <c r="G98" i="8" l="1"/>
  <c r="AN272" i="8"/>
  <c r="W158" i="14"/>
  <c r="AK264" i="8"/>
  <c r="U248" i="8"/>
  <c r="R153" i="14"/>
  <c r="G103" i="8" l="1"/>
  <c r="AO272" i="8"/>
  <c r="X158" i="14"/>
  <c r="AL264" i="8"/>
  <c r="V248" i="8"/>
  <c r="S153" i="14"/>
  <c r="G105" i="8" l="1"/>
  <c r="AP272" i="8"/>
  <c r="Y158" i="14"/>
  <c r="AM264" i="8"/>
  <c r="W248" i="8"/>
  <c r="T153" i="14"/>
  <c r="G106" i="8" l="1"/>
  <c r="AQ272" i="8"/>
  <c r="Z158" i="14"/>
  <c r="AN264" i="8"/>
  <c r="X248" i="8"/>
  <c r="U153" i="14"/>
  <c r="G111" i="8" l="1"/>
  <c r="AR272" i="8"/>
  <c r="AA158" i="14"/>
  <c r="AO264" i="8"/>
  <c r="Y248" i="8"/>
  <c r="V153" i="14"/>
  <c r="G113" i="8" l="1"/>
  <c r="AS272" i="8"/>
  <c r="AB158" i="14"/>
  <c r="AP264" i="8"/>
  <c r="Z248" i="8"/>
  <c r="W153" i="14"/>
  <c r="G114" i="8" l="1"/>
  <c r="AT272" i="8"/>
  <c r="AC158" i="14"/>
  <c r="AQ264" i="8"/>
  <c r="AA248" i="8"/>
  <c r="X153" i="14"/>
  <c r="G119" i="8" l="1"/>
  <c r="AU272" i="8"/>
  <c r="AD158" i="14"/>
  <c r="AR264" i="8"/>
  <c r="AS264" i="8" s="1"/>
  <c r="AB248" i="8"/>
  <c r="Y153" i="14"/>
  <c r="G121" i="8" l="1"/>
  <c r="AV272" i="8"/>
  <c r="AE158" i="14"/>
  <c r="AT264" i="8"/>
  <c r="AC248" i="8"/>
  <c r="Z153" i="14"/>
  <c r="G122" i="8" l="1"/>
  <c r="AW272" i="8"/>
  <c r="AF158" i="14"/>
  <c r="AU264" i="8"/>
  <c r="AD248" i="8"/>
  <c r="AA153" i="14"/>
  <c r="G127" i="8" l="1"/>
  <c r="AX272" i="8"/>
  <c r="AG158" i="14"/>
  <c r="AV264" i="8"/>
  <c r="AW264" i="8" s="1"/>
  <c r="AE248" i="8"/>
  <c r="AB153" i="14"/>
  <c r="G129" i="8" l="1"/>
  <c r="AY272" i="8"/>
  <c r="AH158" i="14"/>
  <c r="AX264" i="8"/>
  <c r="AF248" i="8"/>
  <c r="AC153" i="14"/>
  <c r="G130" i="8" l="1"/>
  <c r="AZ272" i="8"/>
  <c r="AI158" i="14"/>
  <c r="AY264" i="8"/>
  <c r="AG248" i="8"/>
  <c r="AD153" i="14"/>
  <c r="G135" i="8" l="1"/>
  <c r="BA272" i="8"/>
  <c r="AJ158" i="14"/>
  <c r="AZ264" i="8"/>
  <c r="AH248" i="8"/>
  <c r="AE153" i="14"/>
  <c r="G137" i="8" l="1"/>
  <c r="BB272" i="8"/>
  <c r="AK158" i="14"/>
  <c r="BA264" i="8"/>
  <c r="AI248" i="8"/>
  <c r="AF153" i="14"/>
  <c r="G138" i="8" l="1"/>
  <c r="BC272" i="8"/>
  <c r="AL158" i="14"/>
  <c r="BB264" i="8"/>
  <c r="AJ248" i="8"/>
  <c r="AG153" i="14"/>
  <c r="G143" i="8" l="1"/>
  <c r="BD272" i="8"/>
  <c r="AM158" i="14"/>
  <c r="BC264" i="8"/>
  <c r="AK248" i="8"/>
  <c r="AH153" i="14"/>
  <c r="G145" i="8" l="1"/>
  <c r="BE272" i="8"/>
  <c r="AN158" i="14"/>
  <c r="BD264" i="8"/>
  <c r="AL248" i="8"/>
  <c r="AI153" i="14"/>
  <c r="G146" i="8" l="1"/>
  <c r="BF272" i="8"/>
  <c r="AO158" i="14"/>
  <c r="BE264" i="8"/>
  <c r="AM248" i="8"/>
  <c r="AJ153" i="14"/>
  <c r="G151" i="8" l="1"/>
  <c r="BG272" i="8"/>
  <c r="AP158" i="14"/>
  <c r="BF264" i="8"/>
  <c r="AN248" i="8"/>
  <c r="AK153" i="14"/>
  <c r="G153" i="8" l="1"/>
  <c r="BH272" i="8"/>
  <c r="AQ158" i="14"/>
  <c r="BG264" i="8"/>
  <c r="AO248" i="8"/>
  <c r="AL153" i="14"/>
  <c r="G154" i="8" l="1"/>
  <c r="BI272" i="8"/>
  <c r="AR158" i="14"/>
  <c r="BH264" i="8"/>
  <c r="AP248" i="8"/>
  <c r="AM153" i="14"/>
  <c r="G159" i="8" l="1"/>
  <c r="BJ272" i="8"/>
  <c r="AS158" i="14"/>
  <c r="BI264" i="8"/>
  <c r="AQ248" i="8"/>
  <c r="AN153" i="14"/>
  <c r="G161" i="8" l="1"/>
  <c r="BK272" i="8"/>
  <c r="AT158" i="14"/>
  <c r="BJ264" i="8"/>
  <c r="AR248" i="8"/>
  <c r="AO153" i="14"/>
  <c r="G162" i="8" l="1"/>
  <c r="BL272" i="8"/>
  <c r="AU158" i="14"/>
  <c r="BK264" i="8"/>
  <c r="AS248" i="8"/>
  <c r="AP153" i="14"/>
  <c r="G167" i="8" l="1"/>
  <c r="BM272" i="8"/>
  <c r="AV158" i="14"/>
  <c r="BL264" i="8"/>
  <c r="AT248" i="8"/>
  <c r="AQ153" i="14"/>
  <c r="G169" i="8" l="1"/>
  <c r="BN272" i="8"/>
  <c r="AW158" i="14"/>
  <c r="BM264" i="8"/>
  <c r="AU248" i="8"/>
  <c r="AR153" i="14"/>
  <c r="G170" i="8" l="1"/>
  <c r="AX158" i="14"/>
  <c r="BN264" i="8"/>
  <c r="AV248" i="8"/>
  <c r="AS153" i="14"/>
  <c r="G175" i="8" l="1"/>
  <c r="AY158" i="14"/>
  <c r="AW248" i="8"/>
  <c r="AT153" i="14"/>
  <c r="G177" i="8" l="1"/>
  <c r="AZ158" i="14"/>
  <c r="AX248" i="8"/>
  <c r="AU153" i="14"/>
  <c r="G178" i="8" l="1"/>
  <c r="BA158" i="14"/>
  <c r="AY248" i="8"/>
  <c r="AV153" i="14"/>
  <c r="G183" i="8" l="1"/>
  <c r="BB158" i="14"/>
  <c r="AZ248" i="8"/>
  <c r="AW153" i="14"/>
  <c r="G185" i="8" l="1"/>
  <c r="BC158" i="14"/>
  <c r="BA248" i="8"/>
  <c r="AX153" i="14"/>
  <c r="G186" i="8" l="1"/>
  <c r="BD158" i="14"/>
  <c r="BB248" i="8"/>
  <c r="AY153" i="14"/>
  <c r="G191" i="8" l="1"/>
  <c r="BE158" i="14"/>
  <c r="BC248" i="8"/>
  <c r="AZ153" i="14"/>
  <c r="G193" i="8" l="1"/>
  <c r="BF158" i="14"/>
  <c r="BD248" i="8"/>
  <c r="BA153" i="14"/>
  <c r="G194" i="8" l="1"/>
  <c r="BG158" i="14"/>
  <c r="BE248" i="8"/>
  <c r="BB153" i="14"/>
  <c r="G199" i="8" l="1"/>
  <c r="BH158" i="14"/>
  <c r="BF248" i="8"/>
  <c r="BC153" i="14"/>
  <c r="G201" i="8" l="1"/>
  <c r="BI158" i="14"/>
  <c r="BG248" i="8"/>
  <c r="BD153" i="14"/>
  <c r="G202" i="8" l="1"/>
  <c r="BJ158" i="14"/>
  <c r="BH248" i="8"/>
  <c r="BE153" i="14"/>
  <c r="G207" i="8" l="1"/>
  <c r="BK158" i="14"/>
  <c r="BI248" i="8"/>
  <c r="BF153" i="14"/>
  <c r="G209" i="8" l="1"/>
  <c r="BL158" i="14"/>
  <c r="BJ248" i="8"/>
  <c r="BG153" i="14"/>
  <c r="G210" i="8" l="1"/>
  <c r="BK248" i="8"/>
  <c r="BH153" i="14"/>
  <c r="G215" i="8" l="1"/>
  <c r="BL248" i="8"/>
  <c r="BI153" i="14"/>
  <c r="G217" i="8" l="1"/>
  <c r="BM248" i="8"/>
  <c r="BJ153" i="14"/>
  <c r="G218" i="8" l="1"/>
  <c r="BN248" i="8"/>
  <c r="BK153" i="14"/>
  <c r="G223" i="8" l="1"/>
  <c r="BL153" i="14"/>
  <c r="G225" i="8" l="1"/>
  <c r="I147" i="14"/>
  <c r="J147" i="14"/>
  <c r="K147" i="14"/>
  <c r="M147" i="14"/>
  <c r="N147" i="14"/>
  <c r="P147" i="14"/>
  <c r="Q147" i="14"/>
  <c r="R147" i="14"/>
  <c r="S147" i="14"/>
  <c r="T147" i="14"/>
  <c r="U147" i="14"/>
  <c r="V147" i="14"/>
  <c r="W147" i="14"/>
  <c r="X147" i="14"/>
  <c r="Y147" i="14"/>
  <c r="Z147" i="14"/>
  <c r="AA147" i="14"/>
  <c r="AB147" i="14"/>
  <c r="AC147" i="14"/>
  <c r="AD147" i="14"/>
  <c r="AE147" i="14"/>
  <c r="AF147" i="14"/>
  <c r="AH147" i="14"/>
  <c r="AJ147" i="14"/>
  <c r="AK147" i="14"/>
  <c r="AL147" i="14"/>
  <c r="AN147" i="14"/>
  <c r="AO147" i="14"/>
  <c r="AP147" i="14"/>
  <c r="AQ147" i="14"/>
  <c r="AR147" i="14"/>
  <c r="AS147" i="14"/>
  <c r="AT147" i="14"/>
  <c r="AU147" i="14"/>
  <c r="AW147" i="14"/>
  <c r="AX147" i="14"/>
  <c r="AY147" i="14"/>
  <c r="AZ147" i="14"/>
  <c r="BA147" i="14"/>
  <c r="BB147" i="14"/>
  <c r="BC147" i="14"/>
  <c r="BE147" i="14"/>
  <c r="BF147" i="14"/>
  <c r="BG147" i="14"/>
  <c r="BH147" i="14"/>
  <c r="BI147" i="14"/>
  <c r="BK147" i="14"/>
  <c r="BL147" i="14"/>
  <c r="E147" i="14"/>
  <c r="G226" i="8" l="1"/>
  <c r="F147" i="14"/>
  <c r="G147" i="14"/>
  <c r="E235" i="8"/>
  <c r="G231" i="8" l="1"/>
  <c r="L147" i="14"/>
  <c r="AM147" i="14"/>
  <c r="O147" i="14"/>
  <c r="AV147" i="14"/>
  <c r="AG147" i="14"/>
  <c r="BD147" i="14"/>
  <c r="H147" i="14"/>
  <c r="AI147" i="14"/>
  <c r="BJ147" i="14"/>
  <c r="E238" i="8"/>
  <c r="G233" i="8" l="1"/>
  <c r="D147" i="14"/>
  <c r="AD173" i="14"/>
  <c r="AC173" i="14"/>
  <c r="AB173" i="14"/>
  <c r="AA173" i="14"/>
  <c r="Z173" i="14"/>
  <c r="V173" i="14"/>
  <c r="E173" i="14"/>
  <c r="Q173" i="14"/>
  <c r="G234" i="8" l="1"/>
  <c r="BL173" i="14"/>
  <c r="G239" i="8" l="1"/>
  <c r="D173" i="14"/>
  <c r="G241" i="8" l="1"/>
  <c r="D193" i="14"/>
  <c r="D189" i="14"/>
  <c r="G242" i="8" l="1"/>
  <c r="E230" i="8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V142" i="14"/>
  <c r="W142" i="14"/>
  <c r="X142" i="14"/>
  <c r="Y142" i="14"/>
  <c r="Z142" i="14"/>
  <c r="AA142" i="14"/>
  <c r="AB142" i="14"/>
  <c r="AC142" i="14"/>
  <c r="AD142" i="14"/>
  <c r="AE142" i="14"/>
  <c r="AF142" i="14"/>
  <c r="AG142" i="14"/>
  <c r="AH142" i="14"/>
  <c r="AI142" i="14"/>
  <c r="AJ142" i="14"/>
  <c r="AK142" i="14"/>
  <c r="AL142" i="14"/>
  <c r="AM142" i="14"/>
  <c r="AN142" i="14"/>
  <c r="AO142" i="14"/>
  <c r="AP142" i="14"/>
  <c r="AQ142" i="14"/>
  <c r="AR142" i="14"/>
  <c r="AS142" i="14"/>
  <c r="AT142" i="14"/>
  <c r="AU142" i="14"/>
  <c r="AV142" i="14"/>
  <c r="AW142" i="14"/>
  <c r="AX142" i="14"/>
  <c r="AY142" i="14"/>
  <c r="AZ142" i="14"/>
  <c r="BA142" i="14"/>
  <c r="BB142" i="14"/>
  <c r="BC142" i="14"/>
  <c r="BD142" i="14"/>
  <c r="BE142" i="14"/>
  <c r="BF142" i="14"/>
  <c r="BG142" i="14"/>
  <c r="BH142" i="14"/>
  <c r="BI142" i="14"/>
  <c r="BJ142" i="14"/>
  <c r="BK142" i="14"/>
  <c r="BL142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V143" i="14"/>
  <c r="W143" i="14"/>
  <c r="X143" i="14"/>
  <c r="Y143" i="14"/>
  <c r="Z143" i="14"/>
  <c r="AA143" i="14"/>
  <c r="AB143" i="14"/>
  <c r="AC143" i="14"/>
  <c r="AD143" i="14"/>
  <c r="AE143" i="14"/>
  <c r="AF143" i="14"/>
  <c r="AG143" i="14"/>
  <c r="AH143" i="14"/>
  <c r="AI143" i="14"/>
  <c r="AJ143" i="14"/>
  <c r="AK143" i="14"/>
  <c r="AL143" i="14"/>
  <c r="AM143" i="14"/>
  <c r="AN143" i="14"/>
  <c r="AO143" i="14"/>
  <c r="AP143" i="14"/>
  <c r="AQ143" i="14"/>
  <c r="AR143" i="14"/>
  <c r="AS143" i="14"/>
  <c r="AT143" i="14"/>
  <c r="AU143" i="14"/>
  <c r="AV143" i="14"/>
  <c r="AW143" i="14"/>
  <c r="AX143" i="14"/>
  <c r="AY143" i="14"/>
  <c r="AZ143" i="14"/>
  <c r="BA143" i="14"/>
  <c r="BB143" i="14"/>
  <c r="BC143" i="14"/>
  <c r="BD143" i="14"/>
  <c r="BE143" i="14"/>
  <c r="BF143" i="14"/>
  <c r="BG143" i="14"/>
  <c r="BH143" i="14"/>
  <c r="BI143" i="14"/>
  <c r="BJ143" i="14"/>
  <c r="BK143" i="14"/>
  <c r="BL143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V137" i="14"/>
  <c r="W137" i="14"/>
  <c r="X137" i="14"/>
  <c r="Y137" i="14"/>
  <c r="Z137" i="14"/>
  <c r="AA137" i="14"/>
  <c r="AB137" i="14"/>
  <c r="AC137" i="14"/>
  <c r="AD137" i="14"/>
  <c r="AE137" i="14"/>
  <c r="AF137" i="14"/>
  <c r="AG137" i="14"/>
  <c r="AH137" i="14"/>
  <c r="AI137" i="14"/>
  <c r="AJ137" i="14"/>
  <c r="AK137" i="14"/>
  <c r="AL137" i="14"/>
  <c r="AM137" i="14"/>
  <c r="AN137" i="14"/>
  <c r="AO137" i="14"/>
  <c r="AP137" i="14"/>
  <c r="AQ137" i="14"/>
  <c r="AR137" i="14"/>
  <c r="AS137" i="14"/>
  <c r="AT137" i="14"/>
  <c r="AU137" i="14"/>
  <c r="AV137" i="14"/>
  <c r="AW137" i="14"/>
  <c r="AX137" i="14"/>
  <c r="AY137" i="14"/>
  <c r="AZ137" i="14"/>
  <c r="BA137" i="14"/>
  <c r="BB137" i="14"/>
  <c r="BC137" i="14"/>
  <c r="BD137" i="14"/>
  <c r="BE137" i="14"/>
  <c r="BF137" i="14"/>
  <c r="BG137" i="14"/>
  <c r="BH137" i="14"/>
  <c r="BI137" i="14"/>
  <c r="BJ137" i="14"/>
  <c r="BK137" i="14"/>
  <c r="BL137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V138" i="14"/>
  <c r="W138" i="14"/>
  <c r="X138" i="14"/>
  <c r="Y138" i="14"/>
  <c r="Z138" i="14"/>
  <c r="AA138" i="14"/>
  <c r="AB138" i="14"/>
  <c r="AC138" i="14"/>
  <c r="AD138" i="14"/>
  <c r="AE138" i="14"/>
  <c r="AF138" i="14"/>
  <c r="AG138" i="14"/>
  <c r="AH138" i="14"/>
  <c r="AI138" i="14"/>
  <c r="AJ138" i="14"/>
  <c r="AK138" i="14"/>
  <c r="AL138" i="14"/>
  <c r="AM138" i="14"/>
  <c r="AN138" i="14"/>
  <c r="AO138" i="14"/>
  <c r="AP138" i="14"/>
  <c r="AQ138" i="14"/>
  <c r="AR138" i="14"/>
  <c r="AS138" i="14"/>
  <c r="AT138" i="14"/>
  <c r="AU138" i="14"/>
  <c r="AV138" i="14"/>
  <c r="AW138" i="14"/>
  <c r="AX138" i="14"/>
  <c r="AY138" i="14"/>
  <c r="AZ138" i="14"/>
  <c r="BA138" i="14"/>
  <c r="BB138" i="14"/>
  <c r="BC138" i="14"/>
  <c r="BD138" i="14"/>
  <c r="BE138" i="14"/>
  <c r="BF138" i="14"/>
  <c r="BG138" i="14"/>
  <c r="BH138" i="14"/>
  <c r="BI138" i="14"/>
  <c r="BJ138" i="14"/>
  <c r="BK138" i="14"/>
  <c r="BL138" i="14"/>
  <c r="E143" i="14"/>
  <c r="E142" i="14"/>
  <c r="E138" i="14"/>
  <c r="E137" i="14"/>
  <c r="G247" i="8" l="1"/>
  <c r="D142" i="14"/>
  <c r="D137" i="14"/>
  <c r="E176" i="8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V132" i="14"/>
  <c r="W132" i="14"/>
  <c r="X132" i="14"/>
  <c r="Y132" i="14"/>
  <c r="Z132" i="14"/>
  <c r="AA132" i="14"/>
  <c r="AB132" i="14"/>
  <c r="AC132" i="14"/>
  <c r="AD132" i="14"/>
  <c r="AE132" i="14"/>
  <c r="AF132" i="14"/>
  <c r="AG132" i="14"/>
  <c r="AH132" i="14"/>
  <c r="AI132" i="14"/>
  <c r="AJ132" i="14"/>
  <c r="AK132" i="14"/>
  <c r="AL132" i="14"/>
  <c r="AM132" i="14"/>
  <c r="AN132" i="14"/>
  <c r="AO132" i="14"/>
  <c r="AP132" i="14"/>
  <c r="AQ132" i="14"/>
  <c r="AR132" i="14"/>
  <c r="AS132" i="14"/>
  <c r="AT132" i="14"/>
  <c r="AU132" i="14"/>
  <c r="AV132" i="14"/>
  <c r="AW132" i="14"/>
  <c r="AX132" i="14"/>
  <c r="AY132" i="14"/>
  <c r="AZ132" i="14"/>
  <c r="BA132" i="14"/>
  <c r="BB132" i="14"/>
  <c r="BC132" i="14"/>
  <c r="BD132" i="14"/>
  <c r="BE132" i="14"/>
  <c r="BF132" i="14"/>
  <c r="BG132" i="14"/>
  <c r="BH132" i="14"/>
  <c r="BI132" i="14"/>
  <c r="BJ132" i="14"/>
  <c r="BK132" i="14"/>
  <c r="BL132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V133" i="14"/>
  <c r="W133" i="14"/>
  <c r="X133" i="14"/>
  <c r="Y133" i="14"/>
  <c r="Z133" i="14"/>
  <c r="AA133" i="14"/>
  <c r="AB133" i="14"/>
  <c r="AC133" i="14"/>
  <c r="AD133" i="14"/>
  <c r="AE133" i="14"/>
  <c r="AF133" i="14"/>
  <c r="AG133" i="14"/>
  <c r="AH133" i="14"/>
  <c r="AI133" i="14"/>
  <c r="AJ133" i="14"/>
  <c r="AK133" i="14"/>
  <c r="AL133" i="14"/>
  <c r="AM133" i="14"/>
  <c r="AN133" i="14"/>
  <c r="AO133" i="14"/>
  <c r="AP133" i="14"/>
  <c r="AQ133" i="14"/>
  <c r="AR133" i="14"/>
  <c r="AS133" i="14"/>
  <c r="AT133" i="14"/>
  <c r="AU133" i="14"/>
  <c r="AV133" i="14"/>
  <c r="AW133" i="14"/>
  <c r="AX133" i="14"/>
  <c r="AY133" i="14"/>
  <c r="AZ133" i="14"/>
  <c r="BA133" i="14"/>
  <c r="BB133" i="14"/>
  <c r="BC133" i="14"/>
  <c r="BD133" i="14"/>
  <c r="BE133" i="14"/>
  <c r="BF133" i="14"/>
  <c r="BG133" i="14"/>
  <c r="BH133" i="14"/>
  <c r="BI133" i="14"/>
  <c r="BJ133" i="14"/>
  <c r="BK133" i="14"/>
  <c r="BL133" i="14"/>
  <c r="E133" i="14"/>
  <c r="E132" i="14"/>
  <c r="G249" i="8" l="1"/>
  <c r="D132" i="14"/>
  <c r="G250" i="8" l="1"/>
  <c r="G117" i="14"/>
  <c r="H117" i="14"/>
  <c r="I117" i="14"/>
  <c r="J117" i="14"/>
  <c r="K117" i="14"/>
  <c r="L117" i="14"/>
  <c r="M117" i="14"/>
  <c r="N117" i="14"/>
  <c r="O117" i="14"/>
  <c r="Q117" i="14"/>
  <c r="R117" i="14"/>
  <c r="S117" i="14"/>
  <c r="T117" i="14"/>
  <c r="V117" i="14"/>
  <c r="W117" i="14"/>
  <c r="X117" i="14"/>
  <c r="Y117" i="14"/>
  <c r="Z117" i="14"/>
  <c r="AB117" i="14"/>
  <c r="AC117" i="14"/>
  <c r="AD117" i="14"/>
  <c r="AF117" i="14"/>
  <c r="AG117" i="14"/>
  <c r="AH117" i="14"/>
  <c r="AI117" i="14"/>
  <c r="AJ117" i="14"/>
  <c r="AL117" i="14"/>
  <c r="AM117" i="14"/>
  <c r="AO117" i="14"/>
  <c r="AQ117" i="14"/>
  <c r="AR117" i="14"/>
  <c r="AS117" i="14"/>
  <c r="AT117" i="14"/>
  <c r="AV117" i="14"/>
  <c r="AX117" i="14"/>
  <c r="AZ117" i="14"/>
  <c r="BA117" i="14"/>
  <c r="BB117" i="14"/>
  <c r="BC117" i="14"/>
  <c r="BD117" i="14"/>
  <c r="BE117" i="14"/>
  <c r="BF117" i="14"/>
  <c r="BH117" i="14"/>
  <c r="BI117" i="14"/>
  <c r="BK117" i="14"/>
  <c r="G255" i="8" l="1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V127" i="14"/>
  <c r="W127" i="14"/>
  <c r="X127" i="14"/>
  <c r="Y127" i="14"/>
  <c r="Z127" i="14"/>
  <c r="AA127" i="14"/>
  <c r="AB127" i="14"/>
  <c r="AC127" i="14"/>
  <c r="AD127" i="14"/>
  <c r="AE127" i="14"/>
  <c r="AF127" i="14"/>
  <c r="AG127" i="14"/>
  <c r="AH127" i="14"/>
  <c r="AI127" i="14"/>
  <c r="AJ127" i="14"/>
  <c r="AK127" i="14"/>
  <c r="AL127" i="14"/>
  <c r="AM127" i="14"/>
  <c r="AN127" i="14"/>
  <c r="AO127" i="14"/>
  <c r="AP127" i="14"/>
  <c r="AQ127" i="14"/>
  <c r="AR127" i="14"/>
  <c r="AS127" i="14"/>
  <c r="AT127" i="14"/>
  <c r="AU127" i="14"/>
  <c r="AV127" i="14"/>
  <c r="AW127" i="14"/>
  <c r="AX127" i="14"/>
  <c r="AY127" i="14"/>
  <c r="AZ127" i="14"/>
  <c r="BA127" i="14"/>
  <c r="BB127" i="14"/>
  <c r="BC127" i="14"/>
  <c r="BD127" i="14"/>
  <c r="BE127" i="14"/>
  <c r="BF127" i="14"/>
  <c r="BG127" i="14"/>
  <c r="BH127" i="14"/>
  <c r="BI127" i="14"/>
  <c r="BJ127" i="14"/>
  <c r="BK127" i="14"/>
  <c r="BL127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V128" i="14"/>
  <c r="W128" i="14"/>
  <c r="X128" i="14"/>
  <c r="Y128" i="14"/>
  <c r="Z128" i="14"/>
  <c r="AA128" i="14"/>
  <c r="AB128" i="14"/>
  <c r="AC128" i="14"/>
  <c r="AD128" i="14"/>
  <c r="AE128" i="14"/>
  <c r="AF128" i="14"/>
  <c r="AG128" i="14"/>
  <c r="AH128" i="14"/>
  <c r="AI128" i="14"/>
  <c r="AJ128" i="14"/>
  <c r="AK128" i="14"/>
  <c r="AL128" i="14"/>
  <c r="AM128" i="14"/>
  <c r="AN128" i="14"/>
  <c r="AO128" i="14"/>
  <c r="AP128" i="14"/>
  <c r="AQ128" i="14"/>
  <c r="AR128" i="14"/>
  <c r="AS128" i="14"/>
  <c r="AT128" i="14"/>
  <c r="AU128" i="14"/>
  <c r="AV128" i="14"/>
  <c r="AW128" i="14"/>
  <c r="AX128" i="14"/>
  <c r="AY128" i="14"/>
  <c r="AZ128" i="14"/>
  <c r="BA128" i="14"/>
  <c r="BB128" i="14"/>
  <c r="BC128" i="14"/>
  <c r="BD128" i="14"/>
  <c r="BE128" i="14"/>
  <c r="BF128" i="14"/>
  <c r="BG128" i="14"/>
  <c r="BH128" i="14"/>
  <c r="BI128" i="14"/>
  <c r="BJ128" i="14"/>
  <c r="BK128" i="14"/>
  <c r="BL128" i="14"/>
  <c r="E128" i="14"/>
  <c r="D128" i="14" s="1"/>
  <c r="E123" i="14"/>
  <c r="G257" i="8" l="1"/>
  <c r="E206" i="8"/>
  <c r="E203" i="8"/>
  <c r="E198" i="8"/>
  <c r="G258" i="8" l="1"/>
  <c r="D127" i="14"/>
  <c r="G263" i="8" l="1"/>
  <c r="D122" i="14"/>
  <c r="G265" i="8" l="1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E113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E118" i="14"/>
  <c r="E187" i="8"/>
  <c r="H112" i="14"/>
  <c r="I112" i="14"/>
  <c r="J112" i="14"/>
  <c r="K112" i="14"/>
  <c r="L112" i="14"/>
  <c r="Q112" i="14"/>
  <c r="R112" i="14"/>
  <c r="S112" i="14"/>
  <c r="T112" i="14"/>
  <c r="V112" i="14"/>
  <c r="X112" i="14"/>
  <c r="Z112" i="14"/>
  <c r="AC112" i="14"/>
  <c r="AD112" i="14"/>
  <c r="AR112" i="14"/>
  <c r="AS112" i="14"/>
  <c r="AT112" i="14"/>
  <c r="AX112" i="14"/>
  <c r="AY112" i="14"/>
  <c r="AZ112" i="14"/>
  <c r="BE112" i="14"/>
  <c r="BF112" i="14"/>
  <c r="BI112" i="14"/>
  <c r="BK112" i="14"/>
  <c r="BL112" i="14"/>
  <c r="G266" i="8" l="1"/>
  <c r="AK117" i="14"/>
  <c r="G271" i="8" l="1"/>
  <c r="P117" i="14"/>
  <c r="U117" i="14"/>
  <c r="AU117" i="14"/>
  <c r="BG117" i="14"/>
  <c r="F117" i="14"/>
  <c r="AP117" i="14"/>
  <c r="AW117" i="14"/>
  <c r="AY117" i="14"/>
  <c r="BL117" i="14"/>
  <c r="AN117" i="14"/>
  <c r="AA117" i="14"/>
  <c r="BJ117" i="14"/>
  <c r="AE117" i="14"/>
  <c r="AK112" i="14"/>
  <c r="G273" i="8" l="1"/>
  <c r="D117" i="14"/>
  <c r="AO112" i="14"/>
  <c r="AQ112" i="14"/>
  <c r="BH112" i="14"/>
  <c r="G112" i="14"/>
  <c r="AE112" i="14"/>
  <c r="W112" i="14"/>
  <c r="M112" i="14"/>
  <c r="AF112" i="14"/>
  <c r="AV112" i="14"/>
  <c r="AP112" i="14"/>
  <c r="BG112" i="14"/>
  <c r="BC112" i="14"/>
  <c r="AJ112" i="14"/>
  <c r="BB112" i="14"/>
  <c r="AL112" i="14"/>
  <c r="AG112" i="14"/>
  <c r="AM112" i="14"/>
  <c r="AW112" i="14"/>
  <c r="BD112" i="14"/>
  <c r="AB112" i="14"/>
  <c r="AU112" i="14"/>
  <c r="O112" i="14"/>
  <c r="P112" i="14"/>
  <c r="BJ112" i="14"/>
  <c r="AN112" i="14"/>
  <c r="N112" i="14"/>
  <c r="F112" i="14"/>
  <c r="AH112" i="14"/>
  <c r="AA112" i="14"/>
  <c r="Y112" i="14"/>
  <c r="BA112" i="14"/>
  <c r="AI112" i="14"/>
  <c r="U112" i="14"/>
  <c r="H107" i="14"/>
  <c r="I107" i="14"/>
  <c r="J107" i="14"/>
  <c r="K107" i="14"/>
  <c r="Q107" i="14"/>
  <c r="R107" i="14"/>
  <c r="S107" i="14"/>
  <c r="T107" i="14"/>
  <c r="V107" i="14"/>
  <c r="X107" i="14"/>
  <c r="Y107" i="14"/>
  <c r="Z107" i="14"/>
  <c r="AC107" i="14"/>
  <c r="AD107" i="14"/>
  <c r="AR107" i="14"/>
  <c r="AT107" i="14"/>
  <c r="BE107" i="14"/>
  <c r="BF107" i="14"/>
  <c r="BK107" i="14"/>
  <c r="H102" i="14"/>
  <c r="I102" i="14"/>
  <c r="J102" i="14"/>
  <c r="K102" i="14"/>
  <c r="L102" i="14"/>
  <c r="P102" i="14"/>
  <c r="Q102" i="14"/>
  <c r="R102" i="14"/>
  <c r="S102" i="14"/>
  <c r="T102" i="14"/>
  <c r="V102" i="14"/>
  <c r="X102" i="14"/>
  <c r="Z102" i="14"/>
  <c r="AC102" i="14"/>
  <c r="AD102" i="14"/>
  <c r="AR102" i="14"/>
  <c r="AT102" i="14"/>
  <c r="AZ102" i="14"/>
  <c r="BE102" i="14"/>
  <c r="BF102" i="14"/>
  <c r="BK102" i="14"/>
  <c r="BL102" i="14"/>
  <c r="G274" i="8" l="1"/>
  <c r="D112" i="14"/>
  <c r="AS107" i="14"/>
  <c r="AI107" i="14"/>
  <c r="L107" i="14"/>
  <c r="AP107" i="14"/>
  <c r="AG107" i="14"/>
  <c r="BC107" i="14"/>
  <c r="AN107" i="14"/>
  <c r="AE107" i="14"/>
  <c r="BD107" i="14"/>
  <c r="AW107" i="14"/>
  <c r="BG107" i="14"/>
  <c r="AZ107" i="14"/>
  <c r="BJ107" i="14"/>
  <c r="U107" i="14"/>
  <c r="BB107" i="14" l="1"/>
  <c r="AJ107" i="14"/>
  <c r="AF107" i="14"/>
  <c r="AM107" i="14"/>
  <c r="AU107" i="14"/>
  <c r="BA107" i="14"/>
  <c r="BI107" i="14"/>
  <c r="F107" i="14"/>
  <c r="P107" i="14"/>
  <c r="BH107" i="14"/>
  <c r="N107" i="14"/>
  <c r="G107" i="14"/>
  <c r="AX107" i="14"/>
  <c r="AO107" i="14"/>
  <c r="AK107" i="14"/>
  <c r="AY107" i="14"/>
  <c r="AL107" i="14"/>
  <c r="O107" i="14"/>
  <c r="W107" i="14"/>
  <c r="AQ107" i="14"/>
  <c r="BL107" i="14"/>
  <c r="M107" i="14"/>
  <c r="AB107" i="14"/>
  <c r="AH107" i="14"/>
  <c r="AA107" i="14"/>
  <c r="AV107" i="14"/>
  <c r="D107" i="14" l="1"/>
  <c r="AY102" i="14"/>
  <c r="F102" i="14"/>
  <c r="AA102" i="14"/>
  <c r="AV102" i="14"/>
  <c r="AE102" i="14"/>
  <c r="AM102" i="14"/>
  <c r="N102" i="14"/>
  <c r="AB102" i="14"/>
  <c r="AH102" i="14"/>
  <c r="G102" i="14"/>
  <c r="AL102" i="14"/>
  <c r="AI102" i="14"/>
  <c r="AN102" i="14"/>
  <c r="AP102" i="14"/>
  <c r="AX102" i="14"/>
  <c r="AO102" i="14"/>
  <c r="AJ102" i="14"/>
  <c r="BB102" i="14"/>
  <c r="AK102" i="14"/>
  <c r="BA102" i="14"/>
  <c r="AG102" i="14"/>
  <c r="AS102" i="14"/>
  <c r="U102" i="14"/>
  <c r="AF102" i="14"/>
  <c r="BH102" i="14"/>
  <c r="BD102" i="14"/>
  <c r="AW102" i="14"/>
  <c r="AQ102" i="14"/>
  <c r="BI102" i="14"/>
  <c r="M102" i="14"/>
  <c r="W102" i="14"/>
  <c r="AU102" i="14"/>
  <c r="O102" i="14"/>
  <c r="BG102" i="14"/>
  <c r="BJ102" i="14"/>
  <c r="BC102" i="14"/>
  <c r="Y102" i="14"/>
  <c r="G97" i="14"/>
  <c r="H97" i="14"/>
  <c r="I97" i="14"/>
  <c r="J97" i="14"/>
  <c r="K97" i="14"/>
  <c r="L97" i="14"/>
  <c r="O97" i="14"/>
  <c r="P97" i="14"/>
  <c r="Q97" i="14"/>
  <c r="R97" i="14"/>
  <c r="S97" i="14"/>
  <c r="T97" i="14"/>
  <c r="V97" i="14"/>
  <c r="X97" i="14"/>
  <c r="Y97" i="14"/>
  <c r="Z97" i="14"/>
  <c r="AA97" i="14"/>
  <c r="AC97" i="14"/>
  <c r="AD97" i="14"/>
  <c r="AF97" i="14"/>
  <c r="AH97" i="14"/>
  <c r="AR97" i="14"/>
  <c r="AT97" i="14"/>
  <c r="BA97" i="14"/>
  <c r="BE97" i="14"/>
  <c r="BF97" i="14"/>
  <c r="BG97" i="14"/>
  <c r="BH97" i="14"/>
  <c r="BK97" i="14"/>
  <c r="D102" i="14" l="1"/>
  <c r="BC97" i="14"/>
  <c r="AL97" i="14" l="1"/>
  <c r="AI97" i="14"/>
  <c r="AG97" i="14"/>
  <c r="BJ97" i="14"/>
  <c r="AS97" i="14"/>
  <c r="BB97" i="14"/>
  <c r="BL97" i="14"/>
  <c r="AW97" i="14"/>
  <c r="AK97" i="14"/>
  <c r="AV97" i="14"/>
  <c r="AQ97" i="14"/>
  <c r="AP97" i="14"/>
  <c r="U97" i="14"/>
  <c r="AZ97" i="14"/>
  <c r="AE97" i="14"/>
  <c r="AN97" i="14"/>
  <c r="M97" i="14"/>
  <c r="N97" i="14"/>
  <c r="AX97" i="14" l="1"/>
  <c r="AB97" i="14"/>
  <c r="BD97" i="14"/>
  <c r="AJ97" i="14"/>
  <c r="AM97" i="14"/>
  <c r="BI97" i="14"/>
  <c r="W97" i="14"/>
  <c r="AU97" i="14"/>
  <c r="AY97" i="14"/>
  <c r="AO97" i="14"/>
  <c r="F97" i="14"/>
  <c r="D97" i="14" l="1"/>
  <c r="F92" i="14" l="1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E93" i="14"/>
  <c r="W92" i="14" l="1"/>
  <c r="D92" i="14" s="1"/>
  <c r="E142" i="8" l="1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E83" i="14"/>
  <c r="D87" i="14" l="1"/>
  <c r="D82" i="14" l="1"/>
  <c r="E123" i="8"/>
  <c r="D77" i="14" l="1"/>
  <c r="D72" i="14" l="1"/>
  <c r="F68" i="14" l="1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E68" i="14"/>
  <c r="D67" i="14" l="1"/>
  <c r="F63" i="14" l="1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E63" i="14"/>
  <c r="D62" i="14" l="1"/>
  <c r="F58" i="14" l="1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E58" i="14"/>
  <c r="D57" i="14" l="1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E53" i="14"/>
  <c r="D52" i="14" l="1"/>
  <c r="F48" i="14" l="1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E48" i="14"/>
  <c r="F43" i="14" l="1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E43" i="14"/>
  <c r="D47" i="14" l="1"/>
  <c r="D42" i="14" l="1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E38" i="14"/>
  <c r="D37" i="14" l="1"/>
  <c r="E254" i="8"/>
  <c r="E251" i="8"/>
  <c r="E246" i="8"/>
  <c r="E243" i="8"/>
  <c r="E227" i="8" l="1"/>
  <c r="E222" i="8"/>
  <c r="E219" i="8"/>
  <c r="E214" i="8"/>
  <c r="E211" i="8"/>
  <c r="E190" i="8"/>
  <c r="E182" i="8"/>
  <c r="E179" i="8"/>
  <c r="E174" i="8"/>
  <c r="E171" i="8"/>
  <c r="E166" i="8"/>
  <c r="E163" i="8"/>
  <c r="E158" i="8"/>
  <c r="E155" i="8"/>
  <c r="E150" i="8"/>
  <c r="E147" i="8"/>
  <c r="E139" i="8"/>
  <c r="E134" i="8"/>
  <c r="E131" i="8"/>
  <c r="E126" i="8"/>
  <c r="E118" i="8"/>
  <c r="E115" i="8"/>
  <c r="E110" i="8"/>
  <c r="E107" i="8"/>
  <c r="E102" i="8"/>
  <c r="E99" i="8"/>
  <c r="E94" i="8"/>
  <c r="E91" i="8"/>
  <c r="E86" i="8"/>
  <c r="E83" i="8"/>
  <c r="E78" i="8"/>
  <c r="E75" i="8"/>
  <c r="E70" i="8"/>
  <c r="E67" i="8"/>
  <c r="E62" i="8"/>
  <c r="E59" i="8"/>
  <c r="F33" i="14" l="1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E33" i="14"/>
  <c r="E54" i="8" l="1"/>
  <c r="D32" i="14" l="1"/>
  <c r="E46" i="8" l="1"/>
  <c r="D27" i="14" l="1"/>
  <c r="D22" i="14" l="1"/>
  <c r="E38" i="8" l="1"/>
  <c r="F8" i="14" l="1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H17" i="8" l="1"/>
  <c r="BH18" i="8" s="1"/>
  <c r="BH23" i="8" s="1"/>
  <c r="BI17" i="8"/>
  <c r="BI18" i="8" s="1"/>
  <c r="BI23" i="8" s="1"/>
  <c r="BJ17" i="8"/>
  <c r="BJ18" i="8" s="1"/>
  <c r="BJ23" i="8" s="1"/>
  <c r="BK17" i="8"/>
  <c r="BK18" i="8" s="1"/>
  <c r="BK23" i="8" s="1"/>
  <c r="BL17" i="8"/>
  <c r="BL18" i="8" s="1"/>
  <c r="BL23" i="8" s="1"/>
  <c r="BM17" i="8"/>
  <c r="BM18" i="8" s="1"/>
  <c r="BM23" i="8" s="1"/>
  <c r="BN17" i="8"/>
  <c r="BN18" i="8" s="1"/>
  <c r="BN23" i="8" s="1"/>
  <c r="AZ17" i="8"/>
  <c r="AZ18" i="8" s="1"/>
  <c r="AZ23" i="8" s="1"/>
  <c r="BA17" i="8"/>
  <c r="BA18" i="8" s="1"/>
  <c r="BA23" i="8" s="1"/>
  <c r="BB17" i="8"/>
  <c r="BB18" i="8" s="1"/>
  <c r="BB23" i="8" s="1"/>
  <c r="BC17" i="8"/>
  <c r="BC18" i="8" s="1"/>
  <c r="BC23" i="8" s="1"/>
  <c r="BD17" i="8"/>
  <c r="BD18" i="8" s="1"/>
  <c r="BD23" i="8" s="1"/>
  <c r="BE17" i="8"/>
  <c r="BE18" i="8" s="1"/>
  <c r="BE23" i="8" s="1"/>
  <c r="BF17" i="8"/>
  <c r="BF18" i="8" s="1"/>
  <c r="BF23" i="8" s="1"/>
  <c r="BG17" i="8"/>
  <c r="BG18" i="8" s="1"/>
  <c r="BG23" i="8" s="1"/>
  <c r="D17" i="14"/>
  <c r="E13" i="14"/>
  <c r="D12" i="14"/>
  <c r="E8" i="14"/>
  <c r="E30" i="8"/>
  <c r="B4" i="5"/>
  <c r="B2" i="5"/>
  <c r="BG25" i="8" l="1"/>
  <c r="BG26" i="8" s="1"/>
  <c r="BG31" i="8" s="1"/>
  <c r="BC25" i="8"/>
  <c r="BC26" i="8" s="1"/>
  <c r="BC31" i="8" s="1"/>
  <c r="BK25" i="8"/>
  <c r="BK26" i="8" s="1"/>
  <c r="BK31" i="8" s="1"/>
  <c r="BF25" i="8"/>
  <c r="BF26" i="8" s="1"/>
  <c r="BF31" i="8" s="1"/>
  <c r="BB25" i="8"/>
  <c r="BB26" i="8" s="1"/>
  <c r="BB31" i="8" s="1"/>
  <c r="BN25" i="8"/>
  <c r="BN26" i="8" s="1"/>
  <c r="BN31" i="8" s="1"/>
  <c r="BJ25" i="8"/>
  <c r="BJ26" i="8" s="1"/>
  <c r="BJ31" i="8" s="1"/>
  <c r="BE25" i="8"/>
  <c r="BE26" i="8" s="1"/>
  <c r="BE31" i="8" s="1"/>
  <c r="BA25" i="8"/>
  <c r="BA26" i="8" s="1"/>
  <c r="BA31" i="8" s="1"/>
  <c r="BM25" i="8"/>
  <c r="BM26" i="8" s="1"/>
  <c r="BM31" i="8" s="1"/>
  <c r="BI25" i="8"/>
  <c r="BI26" i="8" s="1"/>
  <c r="BI31" i="8" s="1"/>
  <c r="BD25" i="8"/>
  <c r="BD26" i="8" s="1"/>
  <c r="BD31" i="8" s="1"/>
  <c r="AZ25" i="8"/>
  <c r="AZ26" i="8" s="1"/>
  <c r="AZ31" i="8" s="1"/>
  <c r="BL25" i="8"/>
  <c r="BL26" i="8" s="1"/>
  <c r="BL31" i="8" s="1"/>
  <c r="BH25" i="8"/>
  <c r="BH26" i="8" s="1"/>
  <c r="BH31" i="8" s="1"/>
  <c r="E35" i="8"/>
  <c r="I17" i="8"/>
  <c r="I18" i="8" s="1"/>
  <c r="I23" i="8" s="1"/>
  <c r="J17" i="8"/>
  <c r="J18" i="8" s="1"/>
  <c r="J23" i="8" s="1"/>
  <c r="K17" i="8"/>
  <c r="K18" i="8" s="1"/>
  <c r="K23" i="8" s="1"/>
  <c r="L17" i="8"/>
  <c r="L18" i="8" s="1"/>
  <c r="L23" i="8" s="1"/>
  <c r="M17" i="8"/>
  <c r="M18" i="8" s="1"/>
  <c r="M23" i="8" s="1"/>
  <c r="N17" i="8"/>
  <c r="N18" i="8" s="1"/>
  <c r="N23" i="8" s="1"/>
  <c r="O17" i="8"/>
  <c r="O18" i="8" s="1"/>
  <c r="O23" i="8" s="1"/>
  <c r="Q17" i="8"/>
  <c r="Q18" i="8" s="1"/>
  <c r="Q23" i="8" s="1"/>
  <c r="R17" i="8"/>
  <c r="R18" i="8" s="1"/>
  <c r="R23" i="8" s="1"/>
  <c r="S17" i="8"/>
  <c r="S18" i="8" s="1"/>
  <c r="S23" i="8" s="1"/>
  <c r="T17" i="8"/>
  <c r="T18" i="8" s="1"/>
  <c r="T23" i="8" s="1"/>
  <c r="U17" i="8"/>
  <c r="U18" i="8" s="1"/>
  <c r="U23" i="8" s="1"/>
  <c r="V17" i="8"/>
  <c r="V18" i="8" s="1"/>
  <c r="V23" i="8" s="1"/>
  <c r="W17" i="8"/>
  <c r="W18" i="8" s="1"/>
  <c r="W23" i="8" s="1"/>
  <c r="X17" i="8"/>
  <c r="X18" i="8" s="1"/>
  <c r="X23" i="8" s="1"/>
  <c r="Y18" i="8"/>
  <c r="Y23" i="8" s="1"/>
  <c r="Z17" i="8"/>
  <c r="Z18" i="8" s="1"/>
  <c r="Z23" i="8" s="1"/>
  <c r="AA17" i="8"/>
  <c r="AA18" i="8" s="1"/>
  <c r="AA23" i="8" s="1"/>
  <c r="AB17" i="8"/>
  <c r="AB18" i="8" s="1"/>
  <c r="AB23" i="8" s="1"/>
  <c r="AC17" i="8"/>
  <c r="AD17" i="8"/>
  <c r="AD18" i="8" s="1"/>
  <c r="AD23" i="8" s="1"/>
  <c r="AE18" i="8"/>
  <c r="AE23" i="8" s="1"/>
  <c r="AF17" i="8"/>
  <c r="AF18" i="8" s="1"/>
  <c r="AF23" i="8" s="1"/>
  <c r="AG17" i="8"/>
  <c r="AG18" i="8" s="1"/>
  <c r="AG23" i="8" s="1"/>
  <c r="AH17" i="8"/>
  <c r="AH18" i="8" s="1"/>
  <c r="AH23" i="8" s="1"/>
  <c r="AI17" i="8"/>
  <c r="AI18" i="8" s="1"/>
  <c r="AI23" i="8" s="1"/>
  <c r="AJ17" i="8"/>
  <c r="AJ18" i="8" s="1"/>
  <c r="AJ23" i="8" s="1"/>
  <c r="AK17" i="8"/>
  <c r="AK18" i="8" s="1"/>
  <c r="AK23" i="8" s="1"/>
  <c r="AL17" i="8"/>
  <c r="AL18" i="8" s="1"/>
  <c r="AL23" i="8" s="1"/>
  <c r="AM17" i="8"/>
  <c r="AM18" i="8" s="1"/>
  <c r="AM23" i="8" s="1"/>
  <c r="AN17" i="8"/>
  <c r="AN18" i="8" s="1"/>
  <c r="AN23" i="8" s="1"/>
  <c r="AO17" i="8"/>
  <c r="AO18" i="8" s="1"/>
  <c r="AO23" i="8" s="1"/>
  <c r="AP17" i="8"/>
  <c r="AP18" i="8" s="1"/>
  <c r="AP23" i="8" s="1"/>
  <c r="AQ17" i="8"/>
  <c r="AQ18" i="8" s="1"/>
  <c r="AQ23" i="8" s="1"/>
  <c r="AR17" i="8"/>
  <c r="AR18" i="8" s="1"/>
  <c r="AR23" i="8" s="1"/>
  <c r="AS17" i="8"/>
  <c r="AS18" i="8" s="1"/>
  <c r="AS23" i="8" s="1"/>
  <c r="AT17" i="8"/>
  <c r="AT18" i="8" s="1"/>
  <c r="AT23" i="8" s="1"/>
  <c r="AU17" i="8"/>
  <c r="AU18" i="8" s="1"/>
  <c r="AU23" i="8" s="1"/>
  <c r="AV17" i="8"/>
  <c r="AV18" i="8" s="1"/>
  <c r="AV23" i="8" s="1"/>
  <c r="AW17" i="8"/>
  <c r="AW18" i="8" s="1"/>
  <c r="AW23" i="8" s="1"/>
  <c r="AX17" i="8"/>
  <c r="AX18" i="8" s="1"/>
  <c r="AX23" i="8" s="1"/>
  <c r="AY17" i="8"/>
  <c r="AY18" i="8" s="1"/>
  <c r="AY23" i="8" s="1"/>
  <c r="AW25" i="8" l="1"/>
  <c r="AW26" i="8" s="1"/>
  <c r="AW31" i="8" s="1"/>
  <c r="AG25" i="8"/>
  <c r="AG26" i="8" s="1"/>
  <c r="AG31" i="8" s="1"/>
  <c r="AY25" i="8"/>
  <c r="AY26" i="8" s="1"/>
  <c r="AY31" i="8" s="1"/>
  <c r="AQ25" i="8"/>
  <c r="AQ26" i="8" s="1"/>
  <c r="AQ31" i="8" s="1"/>
  <c r="AI25" i="8"/>
  <c r="AI26" i="8" s="1"/>
  <c r="AI31" i="8" s="1"/>
  <c r="AE26" i="8"/>
  <c r="AE31" i="8" s="1"/>
  <c r="AX25" i="8"/>
  <c r="AX26" i="8" s="1"/>
  <c r="AX31" i="8" s="1"/>
  <c r="AT25" i="8"/>
  <c r="AT26" i="8" s="1"/>
  <c r="AT31" i="8" s="1"/>
  <c r="AP25" i="8"/>
  <c r="AP26" i="8" s="1"/>
  <c r="AP31" i="8" s="1"/>
  <c r="AL25" i="8"/>
  <c r="AL26" i="8" s="1"/>
  <c r="AL31" i="8" s="1"/>
  <c r="AH25" i="8"/>
  <c r="AH26" i="8" s="1"/>
  <c r="AH31" i="8" s="1"/>
  <c r="AD25" i="8"/>
  <c r="AD26" i="8" s="1"/>
  <c r="AD31" i="8" s="1"/>
  <c r="Z25" i="8"/>
  <c r="Z26" i="8" s="1"/>
  <c r="Z31" i="8" s="1"/>
  <c r="V25" i="8"/>
  <c r="V26" i="8" s="1"/>
  <c r="V31" i="8" s="1"/>
  <c r="R25" i="8"/>
  <c r="R26" i="8" s="1"/>
  <c r="R31" i="8" s="1"/>
  <c r="M25" i="8"/>
  <c r="M26" i="8" s="1"/>
  <c r="M31" i="8" s="1"/>
  <c r="I25" i="8"/>
  <c r="I26" i="8" s="1"/>
  <c r="I31" i="8" s="1"/>
  <c r="BL33" i="8"/>
  <c r="BL34" i="8" s="1"/>
  <c r="BL39" i="8" s="1"/>
  <c r="BD33" i="8"/>
  <c r="BD34" i="8" s="1"/>
  <c r="BD39" i="8" s="1"/>
  <c r="BM33" i="8"/>
  <c r="BM34" i="8" s="1"/>
  <c r="BM39" i="8" s="1"/>
  <c r="BE33" i="8"/>
  <c r="BE34" i="8" s="1"/>
  <c r="BE39" i="8" s="1"/>
  <c r="BN33" i="8"/>
  <c r="BN34" i="8" s="1"/>
  <c r="BN39" i="8" s="1"/>
  <c r="BF33" i="8"/>
  <c r="BF34" i="8" s="1"/>
  <c r="BF39" i="8" s="1"/>
  <c r="BC33" i="8"/>
  <c r="BC34" i="8" s="1"/>
  <c r="BC39" i="8" s="1"/>
  <c r="AS25" i="8"/>
  <c r="AS26" i="8" s="1"/>
  <c r="AS31" i="8" s="1"/>
  <c r="AK25" i="8"/>
  <c r="AK26" i="8" s="1"/>
  <c r="AK31" i="8" s="1"/>
  <c r="U25" i="8"/>
  <c r="U26" i="8" s="1"/>
  <c r="U31" i="8" s="1"/>
  <c r="Q25" i="8"/>
  <c r="Q26" i="8" s="1"/>
  <c r="Q31" i="8" s="1"/>
  <c r="L25" i="8"/>
  <c r="L26" i="8" s="1"/>
  <c r="L31" i="8" s="1"/>
  <c r="AV25" i="8"/>
  <c r="AV26" i="8" s="1"/>
  <c r="AV31" i="8" s="1"/>
  <c r="AR25" i="8"/>
  <c r="AR26" i="8" s="1"/>
  <c r="AR31" i="8" s="1"/>
  <c r="AN25" i="8"/>
  <c r="AN26" i="8" s="1"/>
  <c r="AN31" i="8" s="1"/>
  <c r="AJ25" i="8"/>
  <c r="AJ26" i="8" s="1"/>
  <c r="AJ31" i="8" s="1"/>
  <c r="AF25" i="8"/>
  <c r="AF26" i="8" s="1"/>
  <c r="AF31" i="8" s="1"/>
  <c r="AB25" i="8"/>
  <c r="AB26" i="8" s="1"/>
  <c r="AB31" i="8" s="1"/>
  <c r="X25" i="8"/>
  <c r="X26" i="8" s="1"/>
  <c r="X31" i="8" s="1"/>
  <c r="T25" i="8"/>
  <c r="T26" i="8" s="1"/>
  <c r="T31" i="8" s="1"/>
  <c r="O25" i="8"/>
  <c r="O26" i="8" s="1"/>
  <c r="O31" i="8" s="1"/>
  <c r="K25" i="8"/>
  <c r="K26" i="8" s="1"/>
  <c r="K31" i="8" s="1"/>
  <c r="AO25" i="8"/>
  <c r="AO26" i="8" s="1"/>
  <c r="AO31" i="8" s="1"/>
  <c r="Y26" i="8"/>
  <c r="Y31" i="8" s="1"/>
  <c r="AU25" i="8"/>
  <c r="AU26" i="8" s="1"/>
  <c r="AU31" i="8" s="1"/>
  <c r="AM25" i="8"/>
  <c r="AM26" i="8" s="1"/>
  <c r="AM31" i="8" s="1"/>
  <c r="AA25" i="8"/>
  <c r="AA26" i="8" s="1"/>
  <c r="AA31" i="8" s="1"/>
  <c r="W25" i="8"/>
  <c r="W26" i="8" s="1"/>
  <c r="W31" i="8" s="1"/>
  <c r="S25" i="8"/>
  <c r="S26" i="8" s="1"/>
  <c r="S31" i="8" s="1"/>
  <c r="N25" i="8"/>
  <c r="N26" i="8" s="1"/>
  <c r="N31" i="8" s="1"/>
  <c r="J25" i="8"/>
  <c r="J26" i="8" s="1"/>
  <c r="J31" i="8" s="1"/>
  <c r="BH33" i="8"/>
  <c r="BH34" i="8" s="1"/>
  <c r="BH39" i="8" s="1"/>
  <c r="AZ33" i="8"/>
  <c r="AZ34" i="8" s="1"/>
  <c r="AZ39" i="8" s="1"/>
  <c r="BI33" i="8"/>
  <c r="BI34" i="8" s="1"/>
  <c r="BI39" i="8" s="1"/>
  <c r="BA33" i="8"/>
  <c r="BA34" i="8" s="1"/>
  <c r="BA39" i="8" s="1"/>
  <c r="BJ33" i="8"/>
  <c r="BJ34" i="8" s="1"/>
  <c r="BJ39" i="8" s="1"/>
  <c r="BB33" i="8"/>
  <c r="BB34" i="8" s="1"/>
  <c r="BB39" i="8" s="1"/>
  <c r="BK33" i="8"/>
  <c r="BK34" i="8" s="1"/>
  <c r="BK39" i="8" s="1"/>
  <c r="BG33" i="8"/>
  <c r="BG34" i="8" s="1"/>
  <c r="BG39" i="8" s="1"/>
  <c r="E27" i="8"/>
  <c r="P17" i="8"/>
  <c r="AC18" i="8"/>
  <c r="AC23" i="8" s="1"/>
  <c r="BK41" i="8" l="1"/>
  <c r="BK42" i="8" s="1"/>
  <c r="BK47" i="8" s="1"/>
  <c r="BI41" i="8"/>
  <c r="BI42" i="8" s="1"/>
  <c r="BI47" i="8" s="1"/>
  <c r="W33" i="8"/>
  <c r="W34" i="8" s="1"/>
  <c r="W39" i="8" s="1"/>
  <c r="BG41" i="8"/>
  <c r="BG42" i="8" s="1"/>
  <c r="BG47" i="8" s="1"/>
  <c r="BA41" i="8"/>
  <c r="BA42" i="8" s="1"/>
  <c r="BA47" i="8" s="1"/>
  <c r="S33" i="8"/>
  <c r="S34" i="8" s="1"/>
  <c r="S39" i="8" s="1"/>
  <c r="AU33" i="8"/>
  <c r="AU34" i="8" s="1"/>
  <c r="AU39" i="8" s="1"/>
  <c r="O33" i="8"/>
  <c r="O34" i="8" s="1"/>
  <c r="O39" i="8" s="1"/>
  <c r="AF33" i="8"/>
  <c r="AF34" i="8" s="1"/>
  <c r="AF39" i="8" s="1"/>
  <c r="AN33" i="8"/>
  <c r="AN34" i="8" s="1"/>
  <c r="AN39" i="8" s="1"/>
  <c r="Q33" i="8"/>
  <c r="Q34" i="8" s="1"/>
  <c r="Q39" i="8" s="1"/>
  <c r="AK33" i="8"/>
  <c r="AK34" i="8" s="1"/>
  <c r="AK39" i="8" s="1"/>
  <c r="BC41" i="8"/>
  <c r="BC42" i="8" s="1"/>
  <c r="BC47" i="8" s="1"/>
  <c r="BN41" i="8"/>
  <c r="BN42" i="8" s="1"/>
  <c r="BN47" i="8" s="1"/>
  <c r="BM41" i="8"/>
  <c r="BM42" i="8" s="1"/>
  <c r="BM47" i="8" s="1"/>
  <c r="BL41" i="8"/>
  <c r="BL42" i="8" s="1"/>
  <c r="BL47" i="8" s="1"/>
  <c r="M33" i="8"/>
  <c r="M34" i="8" s="1"/>
  <c r="M39" i="8" s="1"/>
  <c r="V33" i="8"/>
  <c r="V34" i="8" s="1"/>
  <c r="V39" i="8" s="1"/>
  <c r="AD33" i="8"/>
  <c r="AD34" i="8" s="1"/>
  <c r="AD39" i="8" s="1"/>
  <c r="AL33" i="8"/>
  <c r="AL34" i="8" s="1"/>
  <c r="AL39" i="8" s="1"/>
  <c r="AT33" i="8"/>
  <c r="AT34" i="8" s="1"/>
  <c r="AT39" i="8" s="1"/>
  <c r="AE34" i="8"/>
  <c r="AE39" i="8" s="1"/>
  <c r="AQ33" i="8"/>
  <c r="AQ34" i="8" s="1"/>
  <c r="AQ39" i="8" s="1"/>
  <c r="AG33" i="8"/>
  <c r="AG34" i="8" s="1"/>
  <c r="AG39" i="8" s="1"/>
  <c r="BJ41" i="8"/>
  <c r="BJ42" i="8" s="1"/>
  <c r="BJ47" i="8" s="1"/>
  <c r="N33" i="8"/>
  <c r="N34" i="8" s="1"/>
  <c r="N39" i="8" s="1"/>
  <c r="AC25" i="8"/>
  <c r="AC26" i="8" s="1"/>
  <c r="AC31" i="8" s="1"/>
  <c r="BB41" i="8"/>
  <c r="BB42" i="8" s="1"/>
  <c r="BB47" i="8" s="1"/>
  <c r="AZ41" i="8"/>
  <c r="AZ42" i="8" s="1"/>
  <c r="AZ47" i="8" s="1"/>
  <c r="J33" i="8"/>
  <c r="J34" i="8" s="1"/>
  <c r="J39" i="8" s="1"/>
  <c r="AA33" i="8"/>
  <c r="AA34" i="8" s="1"/>
  <c r="AA39" i="8" s="1"/>
  <c r="AO33" i="8"/>
  <c r="AO34" i="8" s="1"/>
  <c r="AO39" i="8" s="1"/>
  <c r="X33" i="8"/>
  <c r="X34" i="8" s="1"/>
  <c r="X39" i="8" s="1"/>
  <c r="AV33" i="8"/>
  <c r="AV34" i="8" s="1"/>
  <c r="AV39" i="8" s="1"/>
  <c r="BH41" i="8"/>
  <c r="BH42" i="8" s="1"/>
  <c r="BH47" i="8" s="1"/>
  <c r="AM33" i="8"/>
  <c r="AM34" i="8" s="1"/>
  <c r="AM39" i="8" s="1"/>
  <c r="Y34" i="8"/>
  <c r="Y39" i="8" s="1"/>
  <c r="K33" i="8"/>
  <c r="K34" i="8" s="1"/>
  <c r="K39" i="8" s="1"/>
  <c r="T33" i="8"/>
  <c r="T34" i="8" s="1"/>
  <c r="T39" i="8" s="1"/>
  <c r="AB33" i="8"/>
  <c r="AB34" i="8" s="1"/>
  <c r="AB39" i="8" s="1"/>
  <c r="AJ33" i="8"/>
  <c r="AJ34" i="8" s="1"/>
  <c r="AJ39" i="8" s="1"/>
  <c r="AR33" i="8"/>
  <c r="AR34" i="8" s="1"/>
  <c r="AR39" i="8" s="1"/>
  <c r="L33" i="8"/>
  <c r="L34" i="8" s="1"/>
  <c r="L39" i="8" s="1"/>
  <c r="U33" i="8"/>
  <c r="U34" i="8" s="1"/>
  <c r="U39" i="8" s="1"/>
  <c r="AS33" i="8"/>
  <c r="AS34" i="8" s="1"/>
  <c r="AS39" i="8" s="1"/>
  <c r="BF41" i="8"/>
  <c r="BF42" i="8" s="1"/>
  <c r="BF47" i="8" s="1"/>
  <c r="BE41" i="8"/>
  <c r="BE42" i="8" s="1"/>
  <c r="BE47" i="8" s="1"/>
  <c r="BD41" i="8"/>
  <c r="BD42" i="8" s="1"/>
  <c r="BD47" i="8" s="1"/>
  <c r="I33" i="8"/>
  <c r="I34" i="8" s="1"/>
  <c r="I39" i="8" s="1"/>
  <c r="R33" i="8"/>
  <c r="R34" i="8" s="1"/>
  <c r="R39" i="8" s="1"/>
  <c r="Z33" i="8"/>
  <c r="Z34" i="8" s="1"/>
  <c r="Z39" i="8" s="1"/>
  <c r="AH33" i="8"/>
  <c r="AH34" i="8" s="1"/>
  <c r="AH39" i="8" s="1"/>
  <c r="AP33" i="8"/>
  <c r="AP34" i="8" s="1"/>
  <c r="AP39" i="8" s="1"/>
  <c r="AX33" i="8"/>
  <c r="AX34" i="8" s="1"/>
  <c r="AX39" i="8" s="1"/>
  <c r="AI33" i="8"/>
  <c r="AI34" i="8" s="1"/>
  <c r="AI39" i="8" s="1"/>
  <c r="AY33" i="8"/>
  <c r="AY34" i="8" s="1"/>
  <c r="AY39" i="8" s="1"/>
  <c r="AW33" i="8"/>
  <c r="AW34" i="8" s="1"/>
  <c r="AW39" i="8" s="1"/>
  <c r="P18" i="8"/>
  <c r="P23" i="8" s="1"/>
  <c r="AX41" i="8" l="1"/>
  <c r="AX42" i="8" s="1"/>
  <c r="AX47" i="8" s="1"/>
  <c r="AR41" i="8"/>
  <c r="AR42" i="8" s="1"/>
  <c r="AR47" i="8" s="1"/>
  <c r="AM41" i="8"/>
  <c r="AM42" i="8" s="1"/>
  <c r="AM47" i="8" s="1"/>
  <c r="BB49" i="8"/>
  <c r="BB50" i="8" s="1"/>
  <c r="BB55" i="8" s="1"/>
  <c r="BL49" i="8"/>
  <c r="BL50" i="8" s="1"/>
  <c r="BL55" i="8" s="1"/>
  <c r="BN49" i="8"/>
  <c r="BN50" i="8" s="1"/>
  <c r="BN55" i="8" s="1"/>
  <c r="BG49" i="8"/>
  <c r="BG50" i="8" s="1"/>
  <c r="BG55" i="8" s="1"/>
  <c r="BI49" i="8"/>
  <c r="BI50" i="8" s="1"/>
  <c r="BI55" i="8" s="1"/>
  <c r="BE49" i="8"/>
  <c r="BE50" i="8" s="1"/>
  <c r="BE55" i="8" s="1"/>
  <c r="BH49" i="8"/>
  <c r="BH50" i="8" s="1"/>
  <c r="BH55" i="8" s="1"/>
  <c r="AV42" i="8"/>
  <c r="AV47" i="8" s="1"/>
  <c r="AO41" i="8"/>
  <c r="AO42" i="8" s="1"/>
  <c r="AO47" i="8" s="1"/>
  <c r="J41" i="8"/>
  <c r="J42" i="8" s="1"/>
  <c r="J47" i="8" s="1"/>
  <c r="N41" i="8"/>
  <c r="N42" i="8" s="1"/>
  <c r="N47" i="8" s="1"/>
  <c r="AG41" i="8"/>
  <c r="AG42" i="8" s="1"/>
  <c r="AG47" i="8" s="1"/>
  <c r="AE42" i="8"/>
  <c r="AE47" i="8" s="1"/>
  <c r="AL41" i="8"/>
  <c r="AL42" i="8" s="1"/>
  <c r="AL47" i="8" s="1"/>
  <c r="V41" i="8"/>
  <c r="V42" i="8" s="1"/>
  <c r="V47" i="8" s="1"/>
  <c r="AK41" i="8"/>
  <c r="AK42" i="8" s="1"/>
  <c r="AK47" i="8" s="1"/>
  <c r="AN42" i="8"/>
  <c r="AN47" i="8" s="1"/>
  <c r="O41" i="8"/>
  <c r="O42" i="8" s="1"/>
  <c r="O47" i="8" s="1"/>
  <c r="S41" i="8"/>
  <c r="S42" i="8" s="1"/>
  <c r="S47" i="8" s="1"/>
  <c r="AH41" i="8"/>
  <c r="AH42" i="8" s="1"/>
  <c r="AH47" i="8" s="1"/>
  <c r="K41" i="8"/>
  <c r="K42" i="8" s="1"/>
  <c r="K47" i="8" s="1"/>
  <c r="AW41" i="8"/>
  <c r="AW42" i="8" s="1"/>
  <c r="AW47" i="8" s="1"/>
  <c r="AP41" i="8"/>
  <c r="AP42" i="8" s="1"/>
  <c r="AP47" i="8" s="1"/>
  <c r="AS41" i="8"/>
  <c r="AS42" i="8" s="1"/>
  <c r="AS47" i="8" s="1"/>
  <c r="AJ41" i="8"/>
  <c r="AJ42" i="8" s="1"/>
  <c r="AJ47" i="8" s="1"/>
  <c r="Y42" i="8"/>
  <c r="Y47" i="8" s="1"/>
  <c r="AZ50" i="8"/>
  <c r="AZ55" i="8" s="1"/>
  <c r="BJ49" i="8"/>
  <c r="BJ50" i="8" s="1"/>
  <c r="BJ55" i="8" s="1"/>
  <c r="BM49" i="8"/>
  <c r="BM50" i="8" s="1"/>
  <c r="BM55" i="8" s="1"/>
  <c r="BC50" i="8"/>
  <c r="BC55" i="8" s="1"/>
  <c r="BA49" i="8"/>
  <c r="BA50" i="8" s="1"/>
  <c r="BA55" i="8" s="1"/>
  <c r="BK49" i="8"/>
  <c r="BK50" i="8" s="1"/>
  <c r="BK55" i="8" s="1"/>
  <c r="AY41" i="8"/>
  <c r="AY42" i="8" s="1"/>
  <c r="AY47" i="8" s="1"/>
  <c r="R41" i="8"/>
  <c r="R42" i="8" s="1"/>
  <c r="R47" i="8" s="1"/>
  <c r="U41" i="8"/>
  <c r="U42" i="8" s="1"/>
  <c r="U47" i="8" s="1"/>
  <c r="AB41" i="8"/>
  <c r="AB42" i="8" s="1"/>
  <c r="AB47" i="8" s="1"/>
  <c r="AI42" i="8"/>
  <c r="AI47" i="8" s="1"/>
  <c r="Z41" i="8"/>
  <c r="Z42" i="8" s="1"/>
  <c r="Z47" i="8" s="1"/>
  <c r="I41" i="8"/>
  <c r="I42" i="8" s="1"/>
  <c r="I47" i="8" s="1"/>
  <c r="L41" i="8"/>
  <c r="L42" i="8" s="1"/>
  <c r="L47" i="8" s="1"/>
  <c r="T41" i="8"/>
  <c r="T42" i="8" s="1"/>
  <c r="T47" i="8" s="1"/>
  <c r="BD49" i="8"/>
  <c r="BD50" i="8" s="1"/>
  <c r="BD55" i="8" s="1"/>
  <c r="BF49" i="8"/>
  <c r="BF50" i="8" s="1"/>
  <c r="BF55" i="8" s="1"/>
  <c r="X41" i="8"/>
  <c r="X42" i="8" s="1"/>
  <c r="X47" i="8" s="1"/>
  <c r="AA41" i="8"/>
  <c r="AA42" i="8" s="1"/>
  <c r="AA47" i="8" s="1"/>
  <c r="AC33" i="8"/>
  <c r="AC34" i="8" s="1"/>
  <c r="AC39" i="8" s="1"/>
  <c r="AQ41" i="8"/>
  <c r="AQ42" i="8" s="1"/>
  <c r="AQ47" i="8" s="1"/>
  <c r="AT41" i="8"/>
  <c r="AT42" i="8" s="1"/>
  <c r="AT47" i="8" s="1"/>
  <c r="AD41" i="8"/>
  <c r="AD42" i="8" s="1"/>
  <c r="AD47" i="8" s="1"/>
  <c r="M41" i="8"/>
  <c r="M42" i="8" s="1"/>
  <c r="M47" i="8" s="1"/>
  <c r="Q41" i="8"/>
  <c r="Q42" i="8" s="1"/>
  <c r="Q47" i="8" s="1"/>
  <c r="AF41" i="8"/>
  <c r="AF42" i="8" s="1"/>
  <c r="AF47" i="8" s="1"/>
  <c r="AU41" i="8"/>
  <c r="AU42" i="8" s="1"/>
  <c r="AU47" i="8" s="1"/>
  <c r="W41" i="8"/>
  <c r="W42" i="8" s="1"/>
  <c r="W47" i="8" s="1"/>
  <c r="W49" i="8" l="1"/>
  <c r="W50" i="8" s="1"/>
  <c r="W55" i="8" s="1"/>
  <c r="AF49" i="8"/>
  <c r="AF50" i="8" s="1"/>
  <c r="AF55" i="8" s="1"/>
  <c r="M49" i="8"/>
  <c r="M50" i="8" s="1"/>
  <c r="M55" i="8" s="1"/>
  <c r="AT49" i="8"/>
  <c r="AT50" i="8" s="1"/>
  <c r="AT55" i="8" s="1"/>
  <c r="X49" i="8"/>
  <c r="X50" i="8" s="1"/>
  <c r="X55" i="8" s="1"/>
  <c r="T49" i="8"/>
  <c r="T50" i="8" s="1"/>
  <c r="T55" i="8" s="1"/>
  <c r="I49" i="8"/>
  <c r="I50" i="8" s="1"/>
  <c r="I55" i="8" s="1"/>
  <c r="AI49" i="8"/>
  <c r="AI50" i="8" s="1"/>
  <c r="AI55" i="8" s="1"/>
  <c r="U49" i="8"/>
  <c r="U50" i="8" s="1"/>
  <c r="U55" i="8" s="1"/>
  <c r="AY50" i="8"/>
  <c r="AY55" i="8" s="1"/>
  <c r="AJ49" i="8"/>
  <c r="AJ50" i="8" s="1"/>
  <c r="AJ55" i="8" s="1"/>
  <c r="AP49" i="8"/>
  <c r="AP50" i="8" s="1"/>
  <c r="AP55" i="8" s="1"/>
  <c r="K49" i="8"/>
  <c r="K50" i="8" s="1"/>
  <c r="K55" i="8" s="1"/>
  <c r="S49" i="8"/>
  <c r="S50" i="8" s="1"/>
  <c r="S55" i="8" s="1"/>
  <c r="AN49" i="8"/>
  <c r="AN50" i="8" s="1"/>
  <c r="AN55" i="8" s="1"/>
  <c r="V49" i="8"/>
  <c r="V50" i="8" s="1"/>
  <c r="V55" i="8" s="1"/>
  <c r="AE50" i="8"/>
  <c r="AE55" i="8" s="1"/>
  <c r="N49" i="8"/>
  <c r="N50" i="8" s="1"/>
  <c r="N55" i="8" s="1"/>
  <c r="AO49" i="8"/>
  <c r="AO50" i="8" s="1"/>
  <c r="AO55" i="8" s="1"/>
  <c r="AR49" i="8"/>
  <c r="AR50" i="8" s="1"/>
  <c r="AR55" i="8" s="1"/>
  <c r="AC41" i="8"/>
  <c r="AC42" i="8" s="1"/>
  <c r="AC47" i="8" s="1"/>
  <c r="BF57" i="8"/>
  <c r="BF58" i="8" s="1"/>
  <c r="BA57" i="8"/>
  <c r="BA58" i="8" s="1"/>
  <c r="BM57" i="8"/>
  <c r="BM58" i="8" s="1"/>
  <c r="AZ58" i="8"/>
  <c r="AZ63" i="8" s="1"/>
  <c r="AZ66" i="8" s="1"/>
  <c r="AZ71" i="8" s="1"/>
  <c r="BH57" i="8"/>
  <c r="BH58" i="8" s="1"/>
  <c r="BI57" i="8"/>
  <c r="BI58" i="8" s="1"/>
  <c r="BN57" i="8"/>
  <c r="BN58" i="8" s="1"/>
  <c r="BB57" i="8"/>
  <c r="BB58" i="8" s="1"/>
  <c r="L49" i="8"/>
  <c r="L50" i="8" s="1"/>
  <c r="L55" i="8" s="1"/>
  <c r="Z49" i="8"/>
  <c r="Z50" i="8" s="1"/>
  <c r="Z55" i="8" s="1"/>
  <c r="AB49" i="8"/>
  <c r="AB50" i="8" s="1"/>
  <c r="AB55" i="8" s="1"/>
  <c r="R49" i="8"/>
  <c r="R50" i="8" s="1"/>
  <c r="R55" i="8" s="1"/>
  <c r="Y50" i="8"/>
  <c r="Y55" i="8" s="1"/>
  <c r="AS49" i="8"/>
  <c r="AS50" i="8" s="1"/>
  <c r="AS55" i="8" s="1"/>
  <c r="AW49" i="8"/>
  <c r="AW50" i="8" s="1"/>
  <c r="AW55" i="8" s="1"/>
  <c r="AH49" i="8"/>
  <c r="AH50" i="8" s="1"/>
  <c r="AH55" i="8" s="1"/>
  <c r="O49" i="8"/>
  <c r="O50" i="8" s="1"/>
  <c r="O55" i="8" s="1"/>
  <c r="AK49" i="8"/>
  <c r="AK50" i="8" s="1"/>
  <c r="AK55" i="8" s="1"/>
  <c r="AL49" i="8"/>
  <c r="AL50" i="8" s="1"/>
  <c r="AL55" i="8" s="1"/>
  <c r="AG49" i="8"/>
  <c r="AG50" i="8" s="1"/>
  <c r="AG55" i="8" s="1"/>
  <c r="J49" i="8"/>
  <c r="J50" i="8" s="1"/>
  <c r="J55" i="8" s="1"/>
  <c r="AV50" i="8"/>
  <c r="AV55" i="8" s="1"/>
  <c r="AM49" i="8"/>
  <c r="AM50" i="8" s="1"/>
  <c r="AM55" i="8" s="1"/>
  <c r="AX49" i="8"/>
  <c r="AX50" i="8" s="1"/>
  <c r="AX55" i="8" s="1"/>
  <c r="AU49" i="8"/>
  <c r="AU50" i="8" s="1"/>
  <c r="AU55" i="8" s="1"/>
  <c r="Q49" i="8"/>
  <c r="Q50" i="8" s="1"/>
  <c r="Q55" i="8" s="1"/>
  <c r="AD49" i="8"/>
  <c r="AD50" i="8" s="1"/>
  <c r="AD55" i="8" s="1"/>
  <c r="AA49" i="8"/>
  <c r="AA50" i="8" s="1"/>
  <c r="AA55" i="8" s="1"/>
  <c r="AQ49" i="8"/>
  <c r="AQ50" i="8" s="1"/>
  <c r="AQ55" i="8" s="1"/>
  <c r="BD57" i="8"/>
  <c r="BD58" i="8" s="1"/>
  <c r="BK57" i="8"/>
  <c r="BK58" i="8" s="1"/>
  <c r="BC57" i="8"/>
  <c r="BC58" i="8" s="1"/>
  <c r="BJ57" i="8"/>
  <c r="BJ58" i="8" s="1"/>
  <c r="BE57" i="8"/>
  <c r="BE58" i="8" s="1"/>
  <c r="BG57" i="8"/>
  <c r="BG58" i="8" s="1"/>
  <c r="BL57" i="8"/>
  <c r="BL58" i="8" s="1"/>
  <c r="P25" i="8"/>
  <c r="E51" i="8"/>
  <c r="E43" i="8"/>
  <c r="BL63" i="8" l="1"/>
  <c r="BL65" i="8" s="1"/>
  <c r="BL66" i="8" s="1"/>
  <c r="BC63" i="8"/>
  <c r="BC65" i="8" s="1"/>
  <c r="BC66" i="8" s="1"/>
  <c r="BG63" i="8"/>
  <c r="BG65" i="8" s="1"/>
  <c r="BG66" i="8" s="1"/>
  <c r="BH63" i="8"/>
  <c r="BH65" i="8" s="1"/>
  <c r="BH66" i="8" s="1"/>
  <c r="BF63" i="8"/>
  <c r="BF65" i="8" s="1"/>
  <c r="BF66" i="8" s="1"/>
  <c r="BI63" i="8"/>
  <c r="BI65" i="8" s="1"/>
  <c r="BI66" i="8" s="1"/>
  <c r="BA63" i="8"/>
  <c r="BA66" i="8" s="1"/>
  <c r="BK63" i="8"/>
  <c r="BK65" i="8" s="1"/>
  <c r="BK66" i="8" s="1"/>
  <c r="BE63" i="8"/>
  <c r="BE66" i="8" s="1"/>
  <c r="BE71" i="8" s="1"/>
  <c r="BE73" i="8" s="1"/>
  <c r="BE74" i="8" s="1"/>
  <c r="BE79" i="8" s="1"/>
  <c r="BD63" i="8"/>
  <c r="BD65" i="8" s="1"/>
  <c r="BD66" i="8" s="1"/>
  <c r="BB63" i="8"/>
  <c r="BB65" i="8" s="1"/>
  <c r="BB66" i="8" s="1"/>
  <c r="BJ63" i="8"/>
  <c r="BJ65" i="8" s="1"/>
  <c r="BJ66" i="8" s="1"/>
  <c r="BN63" i="8"/>
  <c r="BN65" i="8" s="1"/>
  <c r="BN66" i="8" s="1"/>
  <c r="BM63" i="8"/>
  <c r="BM66" i="8" s="1"/>
  <c r="BM71" i="8" s="1"/>
  <c r="BM74" i="8" s="1"/>
  <c r="BM79" i="8" s="1"/>
  <c r="Q57" i="8"/>
  <c r="Q58" i="8" s="1"/>
  <c r="AK57" i="8"/>
  <c r="AK58" i="8" s="1"/>
  <c r="AS57" i="8"/>
  <c r="AS58" i="8" s="1"/>
  <c r="Y58" i="8"/>
  <c r="AQ57" i="8"/>
  <c r="AQ58" i="8" s="1"/>
  <c r="AD57" i="8"/>
  <c r="AD58" i="8" s="1"/>
  <c r="AU57" i="8"/>
  <c r="AU58" i="8" s="1"/>
  <c r="AM57" i="8"/>
  <c r="AM58" i="8" s="1"/>
  <c r="J57" i="8"/>
  <c r="J58" i="8" s="1"/>
  <c r="AL57" i="8"/>
  <c r="AL58" i="8" s="1"/>
  <c r="O57" i="8"/>
  <c r="O58" i="8" s="1"/>
  <c r="AW57" i="8"/>
  <c r="AW58" i="8" s="1"/>
  <c r="AB57" i="8"/>
  <c r="AB58" i="8" s="1"/>
  <c r="L57" i="8"/>
  <c r="L58" i="8" s="1"/>
  <c r="AR58" i="8"/>
  <c r="N57" i="8"/>
  <c r="N58" i="8" s="1"/>
  <c r="V57" i="8"/>
  <c r="V58" i="8" s="1"/>
  <c r="S57" i="8"/>
  <c r="S58" i="8" s="1"/>
  <c r="AP57" i="8"/>
  <c r="AP58" i="8" s="1"/>
  <c r="AI57" i="8"/>
  <c r="AI58" i="8" s="1"/>
  <c r="T57" i="8"/>
  <c r="T58" i="8" s="1"/>
  <c r="AT57" i="8"/>
  <c r="AT58" i="8" s="1"/>
  <c r="AF57" i="8"/>
  <c r="AF58" i="8" s="1"/>
  <c r="AV58" i="8"/>
  <c r="AC49" i="8"/>
  <c r="AC50" i="8" s="1"/>
  <c r="AC55" i="8" s="1"/>
  <c r="AE58" i="8"/>
  <c r="AA57" i="8"/>
  <c r="AA58" i="8" s="1"/>
  <c r="AX57" i="8"/>
  <c r="AX58" i="8" s="1"/>
  <c r="AG57" i="8"/>
  <c r="AG58" i="8" s="1"/>
  <c r="AH57" i="8"/>
  <c r="AH58" i="8" s="1"/>
  <c r="R57" i="8"/>
  <c r="R58" i="8" s="1"/>
  <c r="Z57" i="8"/>
  <c r="Z58" i="8" s="1"/>
  <c r="AO57" i="8"/>
  <c r="AO58" i="8" s="1"/>
  <c r="AN57" i="8"/>
  <c r="AN58" i="8" s="1"/>
  <c r="K57" i="8"/>
  <c r="K58" i="8" s="1"/>
  <c r="AJ57" i="8"/>
  <c r="AJ58" i="8" s="1"/>
  <c r="U57" i="8"/>
  <c r="U58" i="8" s="1"/>
  <c r="I57" i="8"/>
  <c r="I58" i="8" s="1"/>
  <c r="X57" i="8"/>
  <c r="X58" i="8" s="1"/>
  <c r="M57" i="8"/>
  <c r="M58" i="8" s="1"/>
  <c r="W57" i="8"/>
  <c r="W58" i="8" s="1"/>
  <c r="P26" i="8"/>
  <c r="P31" i="8" s="1"/>
  <c r="AZ74" i="8"/>
  <c r="AZ79" i="8" s="1"/>
  <c r="D49" i="5"/>
  <c r="D50" i="5"/>
  <c r="D51" i="5"/>
  <c r="D12" i="5"/>
  <c r="D13" i="5"/>
  <c r="D14" i="5"/>
  <c r="D15" i="5"/>
  <c r="D16" i="5"/>
  <c r="D17" i="5"/>
  <c r="D18" i="5"/>
  <c r="D19" i="5"/>
  <c r="D20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E11" i="5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G11" i="5"/>
  <c r="H11" i="5" s="1"/>
  <c r="I9" i="6"/>
  <c r="K11" i="5" s="1"/>
  <c r="B8" i="5"/>
  <c r="BD71" i="8" l="1"/>
  <c r="BD74" i="8" s="1"/>
  <c r="BD79" i="8" s="1"/>
  <c r="BD81" i="8" s="1"/>
  <c r="BD82" i="8" s="1"/>
  <c r="BD87" i="8" s="1"/>
  <c r="BD89" i="8" s="1"/>
  <c r="BD90" i="8" s="1"/>
  <c r="BC71" i="8"/>
  <c r="BC73" i="8" s="1"/>
  <c r="BC74" i="8" s="1"/>
  <c r="BC79" i="8" s="1"/>
  <c r="BC81" i="8" s="1"/>
  <c r="BC82" i="8" s="1"/>
  <c r="BC87" i="8" s="1"/>
  <c r="BC89" i="8" s="1"/>
  <c r="BC90" i="8" s="1"/>
  <c r="BK71" i="8"/>
  <c r="BK73" i="8" s="1"/>
  <c r="BK74" i="8" s="1"/>
  <c r="BK79" i="8" s="1"/>
  <c r="BK81" i="8" s="1"/>
  <c r="BK82" i="8" s="1"/>
  <c r="BK87" i="8" s="1"/>
  <c r="BK89" i="8" s="1"/>
  <c r="BK90" i="8" s="1"/>
  <c r="BJ71" i="8"/>
  <c r="BJ74" i="8" s="1"/>
  <c r="BJ79" i="8" s="1"/>
  <c r="BJ81" i="8" s="1"/>
  <c r="BJ82" i="8" s="1"/>
  <c r="BJ87" i="8" s="1"/>
  <c r="BJ89" i="8" s="1"/>
  <c r="BJ90" i="8" s="1"/>
  <c r="BH71" i="8"/>
  <c r="BH73" i="8" s="1"/>
  <c r="BH74" i="8" s="1"/>
  <c r="BH79" i="8" s="1"/>
  <c r="BH82" i="8" s="1"/>
  <c r="BH87" i="8" s="1"/>
  <c r="BH90" i="8" s="1"/>
  <c r="BI71" i="8"/>
  <c r="BI73" i="8" s="1"/>
  <c r="BI74" i="8" s="1"/>
  <c r="BI79" i="8" s="1"/>
  <c r="BI81" i="8" s="1"/>
  <c r="BI82" i="8" s="1"/>
  <c r="BI87" i="8" s="1"/>
  <c r="BI89" i="8" s="1"/>
  <c r="BI90" i="8" s="1"/>
  <c r="W63" i="8"/>
  <c r="W65" i="8" s="1"/>
  <c r="W66" i="8" s="1"/>
  <c r="AO63" i="8"/>
  <c r="AO65" i="8" s="1"/>
  <c r="AO66" i="8" s="1"/>
  <c r="AG63" i="8"/>
  <c r="AG65" i="8" s="1"/>
  <c r="AG66" i="8" s="1"/>
  <c r="T63" i="8"/>
  <c r="T65" i="8" s="1"/>
  <c r="T66" i="8" s="1"/>
  <c r="AB63" i="8"/>
  <c r="AB65" i="8" s="1"/>
  <c r="AB66" i="8" s="1"/>
  <c r="Q63" i="8"/>
  <c r="Q65" i="8" s="1"/>
  <c r="Q66" i="8" s="1"/>
  <c r="M63" i="8"/>
  <c r="M65" i="8" s="1"/>
  <c r="M66" i="8" s="1"/>
  <c r="AJ63" i="8"/>
  <c r="AJ65" i="8" s="1"/>
  <c r="AJ66" i="8" s="1"/>
  <c r="Z63" i="8"/>
  <c r="Z65" i="8" s="1"/>
  <c r="Z66" i="8" s="1"/>
  <c r="AX63" i="8"/>
  <c r="AX65" i="8" s="1"/>
  <c r="AX66" i="8" s="1"/>
  <c r="AV63" i="8"/>
  <c r="AV66" i="8" s="1"/>
  <c r="AI63" i="8"/>
  <c r="AI65" i="8" s="1"/>
  <c r="AI66" i="8" s="1"/>
  <c r="N63" i="8"/>
  <c r="N65" i="8" s="1"/>
  <c r="N66" i="8" s="1"/>
  <c r="AW63" i="8"/>
  <c r="AW65" i="8" s="1"/>
  <c r="AW66" i="8" s="1"/>
  <c r="AM63" i="8"/>
  <c r="AM65" i="8" s="1"/>
  <c r="AM66" i="8" s="1"/>
  <c r="Y63" i="8"/>
  <c r="Y66" i="8" s="1"/>
  <c r="U63" i="8"/>
  <c r="U65" i="8" s="1"/>
  <c r="U66" i="8" s="1"/>
  <c r="V63" i="8"/>
  <c r="V65" i="8" s="1"/>
  <c r="V66" i="8" s="1"/>
  <c r="AQ63" i="8"/>
  <c r="AQ65" i="8" s="1"/>
  <c r="AQ66" i="8" s="1"/>
  <c r="AQ71" i="8" s="1"/>
  <c r="AQ73" i="8" s="1"/>
  <c r="AQ74" i="8" s="1"/>
  <c r="AQ79" i="8" s="1"/>
  <c r="X63" i="8"/>
  <c r="X65" i="8" s="1"/>
  <c r="X66" i="8" s="1"/>
  <c r="R63" i="8"/>
  <c r="R65" i="8" s="1"/>
  <c r="R66" i="8" s="1"/>
  <c r="AA63" i="8"/>
  <c r="AA65" i="8" s="1"/>
  <c r="AA66" i="8" s="1"/>
  <c r="AF63" i="8"/>
  <c r="AF65" i="8" s="1"/>
  <c r="AF66" i="8" s="1"/>
  <c r="AP63" i="8"/>
  <c r="AP65" i="8" s="1"/>
  <c r="AP66" i="8" s="1"/>
  <c r="AR63" i="8"/>
  <c r="AR65" i="8" s="1"/>
  <c r="AR66" i="8" s="1"/>
  <c r="AR71" i="8" s="1"/>
  <c r="O63" i="8"/>
  <c r="O65" i="8" s="1"/>
  <c r="O66" i="8" s="1"/>
  <c r="AU63" i="8"/>
  <c r="AU65" i="8" s="1"/>
  <c r="AU66" i="8" s="1"/>
  <c r="AS63" i="8"/>
  <c r="AS65" i="8" s="1"/>
  <c r="AS66" i="8" s="1"/>
  <c r="AS71" i="8" s="1"/>
  <c r="AS73" i="8" s="1"/>
  <c r="AS74" i="8" s="1"/>
  <c r="AS79" i="8" s="1"/>
  <c r="AS81" i="8" s="1"/>
  <c r="AS82" i="8" s="1"/>
  <c r="AS87" i="8" s="1"/>
  <c r="AN63" i="8"/>
  <c r="AN65" i="8" s="1"/>
  <c r="AN66" i="8" s="1"/>
  <c r="AH63" i="8"/>
  <c r="AH65" i="8" s="1"/>
  <c r="AH66" i="8" s="1"/>
  <c r="AE63" i="8"/>
  <c r="AE66" i="8" s="1"/>
  <c r="AT63" i="8"/>
  <c r="AT65" i="8" s="1"/>
  <c r="AT66" i="8" s="1"/>
  <c r="S63" i="8"/>
  <c r="S65" i="8" s="1"/>
  <c r="S66" i="8" s="1"/>
  <c r="L63" i="8"/>
  <c r="L65" i="8" s="1"/>
  <c r="L66" i="8" s="1"/>
  <c r="AL63" i="8"/>
  <c r="AL65" i="8" s="1"/>
  <c r="AL66" i="8" s="1"/>
  <c r="AD63" i="8"/>
  <c r="AD65" i="8" s="1"/>
  <c r="AD66" i="8" s="1"/>
  <c r="AK63" i="8"/>
  <c r="AK65" i="8" s="1"/>
  <c r="AK66" i="8" s="1"/>
  <c r="BN71" i="8"/>
  <c r="BN73" i="8" s="1"/>
  <c r="BN74" i="8" s="1"/>
  <c r="BN79" i="8" s="1"/>
  <c r="BN81" i="8" s="1"/>
  <c r="BN82" i="8" s="1"/>
  <c r="BN87" i="8" s="1"/>
  <c r="BN89" i="8" s="1"/>
  <c r="BN90" i="8" s="1"/>
  <c r="BB71" i="8"/>
  <c r="BB73" i="8" s="1"/>
  <c r="BB74" i="8" s="1"/>
  <c r="BB79" i="8" s="1"/>
  <c r="BB81" i="8" s="1"/>
  <c r="BB82" i="8" s="1"/>
  <c r="BB87" i="8" s="1"/>
  <c r="BB89" i="8" s="1"/>
  <c r="BB90" i="8" s="1"/>
  <c r="BA71" i="8"/>
  <c r="BF71" i="8"/>
  <c r="BF73" i="8" s="1"/>
  <c r="BF74" i="8" s="1"/>
  <c r="BF79" i="8" s="1"/>
  <c r="BF82" i="8" s="1"/>
  <c r="BF87" i="8" s="1"/>
  <c r="BF89" i="8" s="1"/>
  <c r="BF90" i="8" s="1"/>
  <c r="BF95" i="8" s="1"/>
  <c r="BG71" i="8"/>
  <c r="BG73" i="8" s="1"/>
  <c r="BG74" i="8" s="1"/>
  <c r="BG79" i="8" s="1"/>
  <c r="BG82" i="8" s="1"/>
  <c r="BG87" i="8" s="1"/>
  <c r="BG90" i="8" s="1"/>
  <c r="BL71" i="8"/>
  <c r="BL73" i="8" s="1"/>
  <c r="BL74" i="8" s="1"/>
  <c r="BL79" i="8" s="1"/>
  <c r="BL81" i="8" s="1"/>
  <c r="BL82" i="8" s="1"/>
  <c r="BL87" i="8" s="1"/>
  <c r="BL89" i="8" s="1"/>
  <c r="BL90" i="8" s="1"/>
  <c r="K63" i="8"/>
  <c r="K65" i="8" s="1"/>
  <c r="K66" i="8" s="1"/>
  <c r="J63" i="8"/>
  <c r="J65" i="8" s="1"/>
  <c r="J66" i="8" s="1"/>
  <c r="I63" i="8"/>
  <c r="I65" i="8" s="1"/>
  <c r="I66" i="8" s="1"/>
  <c r="AC57" i="8"/>
  <c r="AC58" i="8" s="1"/>
  <c r="AY57" i="8"/>
  <c r="AY58" i="8" s="1"/>
  <c r="BM81" i="8"/>
  <c r="G12" i="8"/>
  <c r="C29" i="5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BE81" i="8"/>
  <c r="BE82" i="8" s="1"/>
  <c r="BE87" i="8" s="1"/>
  <c r="J11" i="5"/>
  <c r="AZ82" i="8"/>
  <c r="AZ87" i="8" s="1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H12" i="5"/>
  <c r="E12" i="5"/>
  <c r="F20" i="8" s="1"/>
  <c r="G19" i="21" s="1" a="1"/>
  <c r="G19" i="21" s="1"/>
  <c r="I10" i="6"/>
  <c r="K12" i="5" s="1"/>
  <c r="AP71" i="8" l="1"/>
  <c r="AP73" i="8" s="1"/>
  <c r="AP74" i="8" s="1"/>
  <c r="AP79" i="8" s="1"/>
  <c r="AP81" i="8" s="1"/>
  <c r="AP82" i="8" s="1"/>
  <c r="AP87" i="8" s="1"/>
  <c r="AP89" i="8" s="1"/>
  <c r="AP90" i="8" s="1"/>
  <c r="AJ71" i="8"/>
  <c r="AJ73" i="8" s="1"/>
  <c r="AJ74" i="8" s="1"/>
  <c r="AJ79" i="8" s="1"/>
  <c r="AJ81" i="8" s="1"/>
  <c r="AJ82" i="8" s="1"/>
  <c r="AJ87" i="8" s="1"/>
  <c r="AJ89" i="8" s="1"/>
  <c r="AJ90" i="8" s="1"/>
  <c r="BI95" i="8"/>
  <c r="BI98" i="8" s="1"/>
  <c r="BI103" i="8" s="1"/>
  <c r="BG95" i="8"/>
  <c r="BG98" i="8" s="1"/>
  <c r="BG103" i="8" s="1"/>
  <c r="BG106" i="8" s="1"/>
  <c r="BG111" i="8" s="1"/>
  <c r="L71" i="8"/>
  <c r="L73" i="8" s="1"/>
  <c r="L74" i="8" s="1"/>
  <c r="L79" i="8" s="1"/>
  <c r="L81" i="8" s="1"/>
  <c r="L82" i="8" s="1"/>
  <c r="L87" i="8" s="1"/>
  <c r="L89" i="8" s="1"/>
  <c r="L90" i="8" s="1"/>
  <c r="O71" i="8"/>
  <c r="O73" i="8" s="1"/>
  <c r="O74" i="8" s="1"/>
  <c r="O79" i="8" s="1"/>
  <c r="O81" i="8" s="1"/>
  <c r="O82" i="8" s="1"/>
  <c r="O87" i="8" s="1"/>
  <c r="O89" i="8" s="1"/>
  <c r="O90" i="8" s="1"/>
  <c r="V71" i="8"/>
  <c r="V73" i="8" s="1"/>
  <c r="V74" i="8" s="1"/>
  <c r="V79" i="8" s="1"/>
  <c r="V81" i="8" s="1"/>
  <c r="V82" i="8" s="1"/>
  <c r="V87" i="8" s="1"/>
  <c r="V89" i="8" s="1"/>
  <c r="V90" i="8" s="1"/>
  <c r="AX71" i="8"/>
  <c r="AX73" i="8" s="1"/>
  <c r="AX74" i="8" s="1"/>
  <c r="AX79" i="8" s="1"/>
  <c r="AX82" i="8" s="1"/>
  <c r="AX87" i="8" s="1"/>
  <c r="AX89" i="8" s="1"/>
  <c r="AX90" i="8" s="1"/>
  <c r="AX95" i="8" s="1"/>
  <c r="AO71" i="8"/>
  <c r="AO73" i="8" s="1"/>
  <c r="AO74" i="8" s="1"/>
  <c r="AO79" i="8" s="1"/>
  <c r="AO81" i="8" s="1"/>
  <c r="AO82" i="8" s="1"/>
  <c r="AO87" i="8" s="1"/>
  <c r="AO89" i="8" s="1"/>
  <c r="AO90" i="8" s="1"/>
  <c r="AT71" i="8"/>
  <c r="AT73" i="8" s="1"/>
  <c r="AT74" i="8" s="1"/>
  <c r="AT79" i="8" s="1"/>
  <c r="AT81" i="8" s="1"/>
  <c r="AT82" i="8" s="1"/>
  <c r="AT87" i="8" s="1"/>
  <c r="AT89" i="8" s="1"/>
  <c r="AT90" i="8" s="1"/>
  <c r="Y71" i="8"/>
  <c r="Y74" i="8" s="1"/>
  <c r="BB95" i="8"/>
  <c r="BB97" i="8" s="1"/>
  <c r="BB98" i="8" s="1"/>
  <c r="AD71" i="8"/>
  <c r="AD73" i="8" s="1"/>
  <c r="AD74" i="8" s="1"/>
  <c r="AD79" i="8" s="1"/>
  <c r="AD81" i="8" s="1"/>
  <c r="AD82" i="8" s="1"/>
  <c r="AD87" i="8" s="1"/>
  <c r="AD89" i="8" s="1"/>
  <c r="AD90" i="8" s="1"/>
  <c r="X71" i="8"/>
  <c r="X73" i="8" s="1"/>
  <c r="X74" i="8" s="1"/>
  <c r="X79" i="8" s="1"/>
  <c r="X81" i="8" s="1"/>
  <c r="X82" i="8" s="1"/>
  <c r="X87" i="8" s="1"/>
  <c r="X89" i="8" s="1"/>
  <c r="X90" i="8" s="1"/>
  <c r="AI71" i="8"/>
  <c r="AI73" i="8" s="1"/>
  <c r="AI74" i="8" s="1"/>
  <c r="T71" i="8"/>
  <c r="T73" i="8" s="1"/>
  <c r="T74" i="8" s="1"/>
  <c r="T79" i="8" s="1"/>
  <c r="T81" i="8" s="1"/>
  <c r="T82" i="8" s="1"/>
  <c r="T87" i="8" s="1"/>
  <c r="T89" i="8" s="1"/>
  <c r="T90" i="8" s="1"/>
  <c r="BC95" i="8"/>
  <c r="BC97" i="8" s="1"/>
  <c r="BC98" i="8" s="1"/>
  <c r="BC103" i="8" s="1"/>
  <c r="BL95" i="8"/>
  <c r="BL97" i="8" s="1"/>
  <c r="BL98" i="8" s="1"/>
  <c r="BL103" i="8" s="1"/>
  <c r="BL106" i="8" s="1"/>
  <c r="BN95" i="8"/>
  <c r="BN98" i="8" s="1"/>
  <c r="AH71" i="8"/>
  <c r="AH73" i="8" s="1"/>
  <c r="AH74" i="8" s="1"/>
  <c r="AH79" i="8" s="1"/>
  <c r="AH81" i="8" s="1"/>
  <c r="AH82" i="8" s="1"/>
  <c r="AH87" i="8" s="1"/>
  <c r="AH89" i="8" s="1"/>
  <c r="AH90" i="8" s="1"/>
  <c r="AA71" i="8"/>
  <c r="AA73" i="8" s="1"/>
  <c r="AA74" i="8" s="1"/>
  <c r="AA79" i="8" s="1"/>
  <c r="AA82" i="8" s="1"/>
  <c r="AA87" i="8" s="1"/>
  <c r="AA89" i="8" s="1"/>
  <c r="AA90" i="8" s="1"/>
  <c r="AW71" i="8"/>
  <c r="AW74" i="8" s="1"/>
  <c r="AW79" i="8" s="1"/>
  <c r="AW81" i="8" s="1"/>
  <c r="AW82" i="8" s="1"/>
  <c r="AW87" i="8" s="1"/>
  <c r="AW89" i="8" s="1"/>
  <c r="AW90" i="8" s="1"/>
  <c r="Q71" i="8"/>
  <c r="Q73" i="8" s="1"/>
  <c r="Q74" i="8" s="1"/>
  <c r="Q79" i="8" s="1"/>
  <c r="Q81" i="8" s="1"/>
  <c r="Q82" i="8" s="1"/>
  <c r="Q87" i="8" s="1"/>
  <c r="Q89" i="8" s="1"/>
  <c r="Q90" i="8" s="1"/>
  <c r="BJ95" i="8"/>
  <c r="BJ97" i="8" s="1"/>
  <c r="BJ98" i="8" s="1"/>
  <c r="BJ103" i="8" s="1"/>
  <c r="BJ105" i="8" s="1"/>
  <c r="BJ106" i="8" s="1"/>
  <c r="BJ111" i="8" s="1"/>
  <c r="BD95" i="8"/>
  <c r="BD97" i="8" s="1"/>
  <c r="BD98" i="8" s="1"/>
  <c r="BD103" i="8" s="1"/>
  <c r="BD105" i="8" s="1"/>
  <c r="BD106" i="8" s="1"/>
  <c r="BD111" i="8" s="1"/>
  <c r="AY63" i="8"/>
  <c r="AY65" i="8" s="1"/>
  <c r="AY66" i="8" s="1"/>
  <c r="BH95" i="8"/>
  <c r="BH98" i="8" s="1"/>
  <c r="AC63" i="8"/>
  <c r="AC65" i="8" s="1"/>
  <c r="AC66" i="8" s="1"/>
  <c r="BA73" i="8"/>
  <c r="BA74" i="8" s="1"/>
  <c r="BA79" i="8" s="1"/>
  <c r="BA81" i="8" s="1"/>
  <c r="BA82" i="8" s="1"/>
  <c r="BA87" i="8" s="1"/>
  <c r="BK95" i="8"/>
  <c r="BK98" i="8" s="1"/>
  <c r="BK103" i="8" s="1"/>
  <c r="BK105" i="8" s="1"/>
  <c r="AK71" i="8"/>
  <c r="AK73" i="8" s="1"/>
  <c r="AK74" i="8" s="1"/>
  <c r="AK79" i="8" s="1"/>
  <c r="AK81" i="8" s="1"/>
  <c r="AK82" i="8" s="1"/>
  <c r="AK87" i="8" s="1"/>
  <c r="AK90" i="8" s="1"/>
  <c r="AL71" i="8"/>
  <c r="AL73" i="8" s="1"/>
  <c r="AL74" i="8" s="1"/>
  <c r="AL79" i="8" s="1"/>
  <c r="AL81" i="8" s="1"/>
  <c r="AL82" i="8" s="1"/>
  <c r="AL87" i="8" s="1"/>
  <c r="AL89" i="8" s="1"/>
  <c r="AL90" i="8" s="1"/>
  <c r="S71" i="8"/>
  <c r="S73" i="8" s="1"/>
  <c r="S74" i="8" s="1"/>
  <c r="S79" i="8" s="1"/>
  <c r="S81" i="8" s="1"/>
  <c r="S82" i="8" s="1"/>
  <c r="S87" i="8" s="1"/>
  <c r="S89" i="8" s="1"/>
  <c r="S90" i="8" s="1"/>
  <c r="AE71" i="8"/>
  <c r="AE74" i="8" s="1"/>
  <c r="AN71" i="8"/>
  <c r="AN73" i="8" s="1"/>
  <c r="AN74" i="8" s="1"/>
  <c r="AU71" i="8"/>
  <c r="AU74" i="8" s="1"/>
  <c r="AU79" i="8" s="1"/>
  <c r="AU81" i="8" s="1"/>
  <c r="AU82" i="8" s="1"/>
  <c r="AU87" i="8" s="1"/>
  <c r="AU89" i="8" s="1"/>
  <c r="AU90" i="8" s="1"/>
  <c r="AF71" i="8"/>
  <c r="AF73" i="8" s="1"/>
  <c r="AF74" i="8" s="1"/>
  <c r="AF79" i="8" s="1"/>
  <c r="AF81" i="8" s="1"/>
  <c r="AF82" i="8" s="1"/>
  <c r="AF87" i="8" s="1"/>
  <c r="AF89" i="8" s="1"/>
  <c r="AF90" i="8" s="1"/>
  <c r="R71" i="8"/>
  <c r="R73" i="8" s="1"/>
  <c r="R74" i="8" s="1"/>
  <c r="R79" i="8" s="1"/>
  <c r="R81" i="8" s="1"/>
  <c r="R82" i="8" s="1"/>
  <c r="R87" i="8" s="1"/>
  <c r="R89" i="8" s="1"/>
  <c r="R90" i="8" s="1"/>
  <c r="U71" i="8"/>
  <c r="U73" i="8" s="1"/>
  <c r="U74" i="8" s="1"/>
  <c r="U79" i="8" s="1"/>
  <c r="U81" i="8" s="1"/>
  <c r="U82" i="8" s="1"/>
  <c r="U87" i="8" s="1"/>
  <c r="U89" i="8" s="1"/>
  <c r="U90" i="8" s="1"/>
  <c r="AM71" i="8"/>
  <c r="AM73" i="8" s="1"/>
  <c r="AM74" i="8" s="1"/>
  <c r="AM79" i="8" s="1"/>
  <c r="AM81" i="8" s="1"/>
  <c r="AM82" i="8" s="1"/>
  <c r="AM87" i="8" s="1"/>
  <c r="AM89" i="8" s="1"/>
  <c r="AM90" i="8" s="1"/>
  <c r="N71" i="8"/>
  <c r="N73" i="8" s="1"/>
  <c r="N74" i="8" s="1"/>
  <c r="N79" i="8" s="1"/>
  <c r="N81" i="8" s="1"/>
  <c r="N82" i="8" s="1"/>
  <c r="N87" i="8" s="1"/>
  <c r="N89" i="8" s="1"/>
  <c r="N90" i="8" s="1"/>
  <c r="AV71" i="8"/>
  <c r="AV74" i="8" s="1"/>
  <c r="Z71" i="8"/>
  <c r="Z73" i="8" s="1"/>
  <c r="Z74" i="8" s="1"/>
  <c r="Z79" i="8" s="1"/>
  <c r="Z81" i="8" s="1"/>
  <c r="Z82" i="8" s="1"/>
  <c r="Z87" i="8" s="1"/>
  <c r="Z89" i="8" s="1"/>
  <c r="Z90" i="8" s="1"/>
  <c r="M71" i="8"/>
  <c r="M73" i="8" s="1"/>
  <c r="M74" i="8" s="1"/>
  <c r="M79" i="8" s="1"/>
  <c r="M81" i="8" s="1"/>
  <c r="M82" i="8" s="1"/>
  <c r="M87" i="8" s="1"/>
  <c r="M89" i="8" s="1"/>
  <c r="M90" i="8" s="1"/>
  <c r="AB71" i="8"/>
  <c r="AB73" i="8" s="1"/>
  <c r="AB74" i="8" s="1"/>
  <c r="AB79" i="8" s="1"/>
  <c r="AB81" i="8" s="1"/>
  <c r="AB82" i="8" s="1"/>
  <c r="AB87" i="8" s="1"/>
  <c r="AB89" i="8" s="1"/>
  <c r="AB90" i="8" s="1"/>
  <c r="AG71" i="8"/>
  <c r="AG73" i="8" s="1"/>
  <c r="AG74" i="8" s="1"/>
  <c r="AG79" i="8" s="1"/>
  <c r="AG81" i="8" s="1"/>
  <c r="AG82" i="8" s="1"/>
  <c r="AG87" i="8" s="1"/>
  <c r="AG89" i="8" s="1"/>
  <c r="AG90" i="8" s="1"/>
  <c r="W71" i="8"/>
  <c r="W73" i="8" s="1"/>
  <c r="W74" i="8" s="1"/>
  <c r="W79" i="8" s="1"/>
  <c r="W81" i="8" s="1"/>
  <c r="W82" i="8" s="1"/>
  <c r="W87" i="8" s="1"/>
  <c r="W90" i="8" s="1"/>
  <c r="K71" i="8"/>
  <c r="K73" i="8" s="1"/>
  <c r="K74" i="8" s="1"/>
  <c r="K79" i="8" s="1"/>
  <c r="K81" i="8" s="1"/>
  <c r="K82" i="8" s="1"/>
  <c r="K87" i="8" s="1"/>
  <c r="K89" i="8" s="1"/>
  <c r="K90" i="8" s="1"/>
  <c r="J71" i="8"/>
  <c r="J73" i="8" s="1"/>
  <c r="J74" i="8" s="1"/>
  <c r="J79" i="8" s="1"/>
  <c r="J81" i="8" s="1"/>
  <c r="J82" i="8" s="1"/>
  <c r="J87" i="8" s="1"/>
  <c r="J89" i="8" s="1"/>
  <c r="J90" i="8" s="1"/>
  <c r="I71" i="8"/>
  <c r="I73" i="8" s="1"/>
  <c r="I74" i="8" s="1"/>
  <c r="I79" i="8" s="1"/>
  <c r="I81" i="8" s="1"/>
  <c r="I82" i="8" s="1"/>
  <c r="I87" i="8" s="1"/>
  <c r="I89" i="8" s="1"/>
  <c r="I90" i="8" s="1"/>
  <c r="C11" i="21" a="1"/>
  <c r="C11" i="21" s="1"/>
  <c r="G3" i="21" a="1"/>
  <c r="G3" i="21" s="1"/>
  <c r="BM82" i="8"/>
  <c r="BE89" i="8"/>
  <c r="BE90" i="8" s="1"/>
  <c r="BE95" i="8" s="1"/>
  <c r="AS89" i="8"/>
  <c r="AS90" i="8" s="1"/>
  <c r="P33" i="8"/>
  <c r="E13" i="5"/>
  <c r="G20" i="8"/>
  <c r="N20" i="8"/>
  <c r="V20" i="8"/>
  <c r="AD20" i="8"/>
  <c r="AL20" i="8"/>
  <c r="AT20" i="8"/>
  <c r="BK20" i="8"/>
  <c r="K20" i="8"/>
  <c r="W20" i="8"/>
  <c r="AA20" i="8"/>
  <c r="AI20" i="8"/>
  <c r="AQ20" i="8"/>
  <c r="AY20" i="8"/>
  <c r="AZ20" i="8"/>
  <c r="BH20" i="8"/>
  <c r="H20" i="8"/>
  <c r="L20" i="8"/>
  <c r="P20" i="8"/>
  <c r="T20" i="8"/>
  <c r="X20" i="8"/>
  <c r="AB20" i="8"/>
  <c r="AF20" i="8"/>
  <c r="AJ20" i="8"/>
  <c r="AN20" i="8"/>
  <c r="AR20" i="8"/>
  <c r="AV20" i="8"/>
  <c r="BA20" i="8"/>
  <c r="BE20" i="8"/>
  <c r="BI20" i="8"/>
  <c r="BM20" i="8"/>
  <c r="J20" i="8"/>
  <c r="R20" i="8"/>
  <c r="Z20" i="8"/>
  <c r="AH20" i="8"/>
  <c r="AP20" i="8"/>
  <c r="AX20" i="8"/>
  <c r="BC20" i="8"/>
  <c r="BG20" i="8"/>
  <c r="O20" i="8"/>
  <c r="S20" i="8"/>
  <c r="AE20" i="8"/>
  <c r="AM20" i="8"/>
  <c r="AU20" i="8"/>
  <c r="BD20" i="8"/>
  <c r="BL20" i="8"/>
  <c r="I20" i="8"/>
  <c r="M20" i="8"/>
  <c r="Q20" i="8"/>
  <c r="U20" i="8"/>
  <c r="Y20" i="8"/>
  <c r="AC20" i="8"/>
  <c r="AG20" i="8"/>
  <c r="AK20" i="8"/>
  <c r="AO20" i="8"/>
  <c r="AS20" i="8"/>
  <c r="AW20" i="8"/>
  <c r="BB20" i="8"/>
  <c r="BF20" i="8"/>
  <c r="BJ20" i="8"/>
  <c r="BN20" i="8"/>
  <c r="Z28" i="8"/>
  <c r="BI28" i="8"/>
  <c r="L28" i="8"/>
  <c r="T28" i="8"/>
  <c r="AB28" i="8"/>
  <c r="AJ28" i="8"/>
  <c r="AT28" i="8"/>
  <c r="BM28" i="8"/>
  <c r="J28" i="8"/>
  <c r="AR28" i="8"/>
  <c r="N28" i="8"/>
  <c r="V28" i="8"/>
  <c r="AD28" i="8"/>
  <c r="AL28" i="8"/>
  <c r="AW28" i="8"/>
  <c r="BA28" i="8"/>
  <c r="R28" i="8"/>
  <c r="AH28" i="8"/>
  <c r="P28" i="8"/>
  <c r="X28" i="8"/>
  <c r="AF28" i="8"/>
  <c r="AO28" i="8"/>
  <c r="AY28" i="8"/>
  <c r="BE28" i="8"/>
  <c r="I28" i="8"/>
  <c r="I13" i="8" s="1"/>
  <c r="M28" i="8"/>
  <c r="Q28" i="8"/>
  <c r="U28" i="8"/>
  <c r="Y28" i="8"/>
  <c r="AC28" i="8"/>
  <c r="AG28" i="8"/>
  <c r="AK28" i="8"/>
  <c r="AP28" i="8"/>
  <c r="AU28" i="8"/>
  <c r="BB28" i="8"/>
  <c r="BF28" i="8"/>
  <c r="BJ28" i="8"/>
  <c r="BN28" i="8"/>
  <c r="BC28" i="8"/>
  <c r="BG28" i="8"/>
  <c r="BK28" i="8"/>
  <c r="E12" i="8"/>
  <c r="K28" i="8"/>
  <c r="O28" i="8"/>
  <c r="S28" i="8"/>
  <c r="W28" i="8"/>
  <c r="AA28" i="8"/>
  <c r="AE28" i="8"/>
  <c r="AI28" i="8"/>
  <c r="AN28" i="8"/>
  <c r="AS28" i="8"/>
  <c r="AX28" i="8"/>
  <c r="AZ28" i="8"/>
  <c r="BD28" i="8"/>
  <c r="BH28" i="8"/>
  <c r="BL28" i="8"/>
  <c r="J9" i="14"/>
  <c r="BJ9" i="14"/>
  <c r="AW9" i="14"/>
  <c r="I9" i="14"/>
  <c r="AV9" i="14"/>
  <c r="AN9" i="14"/>
  <c r="AF9" i="14"/>
  <c r="X9" i="14"/>
  <c r="P9" i="14"/>
  <c r="H9" i="14"/>
  <c r="BD9" i="14"/>
  <c r="BL9" i="14"/>
  <c r="AH9" i="14"/>
  <c r="AO9" i="14"/>
  <c r="AE9" i="14"/>
  <c r="G9" i="14"/>
  <c r="AH14" i="14"/>
  <c r="AH15" i="14" s="1"/>
  <c r="Z9" i="14"/>
  <c r="BB9" i="14"/>
  <c r="Y9" i="14"/>
  <c r="BC9" i="14"/>
  <c r="AM9" i="14"/>
  <c r="O9" i="14"/>
  <c r="AT9" i="14"/>
  <c r="AL9" i="14"/>
  <c r="AD9" i="14"/>
  <c r="V9" i="14"/>
  <c r="N9" i="14"/>
  <c r="K14" i="14"/>
  <c r="K15" i="14" s="1"/>
  <c r="AX9" i="14"/>
  <c r="BF9" i="14"/>
  <c r="AP9" i="14"/>
  <c r="AU14" i="14"/>
  <c r="AU15" i="14" s="1"/>
  <c r="AG9" i="14"/>
  <c r="H14" i="14"/>
  <c r="H15" i="14" s="1"/>
  <c r="AU9" i="14"/>
  <c r="W9" i="14"/>
  <c r="BE9" i="14"/>
  <c r="AS9" i="14"/>
  <c r="AK9" i="14"/>
  <c r="AC9" i="14"/>
  <c r="U9" i="14"/>
  <c r="M9" i="14"/>
  <c r="T14" i="14"/>
  <c r="T15" i="14" s="1"/>
  <c r="AY9" i="14"/>
  <c r="BG9" i="14"/>
  <c r="AZ9" i="14"/>
  <c r="BK9" i="14"/>
  <c r="AR9" i="14"/>
  <c r="AJ9" i="14"/>
  <c r="AB9" i="14"/>
  <c r="T9" i="14"/>
  <c r="L9" i="14"/>
  <c r="AS14" i="14"/>
  <c r="AS15" i="14" s="1"/>
  <c r="BH9" i="14"/>
  <c r="AQ9" i="14"/>
  <c r="AI9" i="14"/>
  <c r="AA9" i="14"/>
  <c r="S9" i="14"/>
  <c r="K9" i="14"/>
  <c r="V14" i="14"/>
  <c r="V15" i="14" s="1"/>
  <c r="BA9" i="14"/>
  <c r="BI9" i="14"/>
  <c r="AZ90" i="8"/>
  <c r="AZ95" i="8" s="1"/>
  <c r="BF97" i="8"/>
  <c r="BF98" i="8" s="1"/>
  <c r="BF103" i="8" s="1"/>
  <c r="I11" i="6"/>
  <c r="K13" i="5" s="1"/>
  <c r="Q14" i="14"/>
  <c r="R14" i="14"/>
  <c r="AQ81" i="8"/>
  <c r="AQ82" i="8" s="1"/>
  <c r="AQ87" i="8" s="1"/>
  <c r="AR73" i="8"/>
  <c r="AR74" i="8" s="1"/>
  <c r="AR79" i="8" s="1"/>
  <c r="J10" i="6"/>
  <c r="AM28" i="8"/>
  <c r="AV28" i="8"/>
  <c r="H28" i="8"/>
  <c r="E14" i="5"/>
  <c r="AS29" i="8" l="1"/>
  <c r="AS269" i="8"/>
  <c r="AS37" i="8"/>
  <c r="AS245" i="8"/>
  <c r="AS229" i="8"/>
  <c r="AS261" i="8"/>
  <c r="AS221" i="8"/>
  <c r="AS237" i="8"/>
  <c r="AS213" i="8"/>
  <c r="AS197" i="8"/>
  <c r="AS181" i="8"/>
  <c r="AS165" i="8"/>
  <c r="AS149" i="8"/>
  <c r="AS253" i="8"/>
  <c r="AS205" i="8"/>
  <c r="AS173" i="8"/>
  <c r="AS141" i="8"/>
  <c r="AS125" i="8"/>
  <c r="AS109" i="8"/>
  <c r="AS93" i="8"/>
  <c r="AS77" i="8"/>
  <c r="AS157" i="8"/>
  <c r="AS117" i="8"/>
  <c r="AS85" i="8"/>
  <c r="AS53" i="8"/>
  <c r="AS21" i="8"/>
  <c r="AS13" i="8"/>
  <c r="AS189" i="8"/>
  <c r="AS133" i="8"/>
  <c r="AS101" i="8"/>
  <c r="AS69" i="8"/>
  <c r="AS61" i="8"/>
  <c r="AS45" i="8"/>
  <c r="K37" i="8"/>
  <c r="K29" i="8"/>
  <c r="K253" i="8"/>
  <c r="K237" i="8"/>
  <c r="K261" i="8"/>
  <c r="K229" i="8"/>
  <c r="K221" i="8"/>
  <c r="K205" i="8"/>
  <c r="K189" i="8"/>
  <c r="K173" i="8"/>
  <c r="K157" i="8"/>
  <c r="K245" i="8"/>
  <c r="K269" i="8"/>
  <c r="K197" i="8"/>
  <c r="K165" i="8"/>
  <c r="K133" i="8"/>
  <c r="K117" i="8"/>
  <c r="K101" i="8"/>
  <c r="K85" i="8"/>
  <c r="K213" i="8"/>
  <c r="K181" i="8"/>
  <c r="K149" i="8"/>
  <c r="K61" i="8"/>
  <c r="K45" i="8"/>
  <c r="K13" i="8"/>
  <c r="K125" i="8"/>
  <c r="K93" i="8"/>
  <c r="K77" i="8"/>
  <c r="K69" i="8"/>
  <c r="K53" i="8"/>
  <c r="K21" i="8"/>
  <c r="K141" i="8"/>
  <c r="K109" i="8"/>
  <c r="BB269" i="8"/>
  <c r="BB29" i="8"/>
  <c r="BB261" i="8"/>
  <c r="BB245" i="8"/>
  <c r="BB229" i="8"/>
  <c r="BB37" i="8"/>
  <c r="BB253" i="8"/>
  <c r="BB237" i="8"/>
  <c r="BB221" i="8"/>
  <c r="BB213" i="8"/>
  <c r="BB197" i="8"/>
  <c r="BB181" i="8"/>
  <c r="BB165" i="8"/>
  <c r="BB149" i="8"/>
  <c r="BB205" i="8"/>
  <c r="BB189" i="8"/>
  <c r="BB173" i="8"/>
  <c r="BB157" i="8"/>
  <c r="BB141" i="8"/>
  <c r="BB125" i="8"/>
  <c r="BB109" i="8"/>
  <c r="BB93" i="8"/>
  <c r="BB77" i="8"/>
  <c r="BB133" i="8"/>
  <c r="BB117" i="8"/>
  <c r="BB101" i="8"/>
  <c r="BB85" i="8"/>
  <c r="BB69" i="8"/>
  <c r="BB53" i="8"/>
  <c r="BB61" i="8"/>
  <c r="BB45" i="8"/>
  <c r="BB13" i="8"/>
  <c r="BB21" i="8"/>
  <c r="P261" i="8"/>
  <c r="P37" i="8"/>
  <c r="P269" i="8"/>
  <c r="P29" i="8"/>
  <c r="P253" i="8"/>
  <c r="P237" i="8"/>
  <c r="P245" i="8"/>
  <c r="P229" i="8"/>
  <c r="P221" i="8"/>
  <c r="P205" i="8"/>
  <c r="P189" i="8"/>
  <c r="P173" i="8"/>
  <c r="P157" i="8"/>
  <c r="P213" i="8"/>
  <c r="P197" i="8"/>
  <c r="P181" i="8"/>
  <c r="P165" i="8"/>
  <c r="P149" i="8"/>
  <c r="P133" i="8"/>
  <c r="P117" i="8"/>
  <c r="P101" i="8"/>
  <c r="P85" i="8"/>
  <c r="P141" i="8"/>
  <c r="P125" i="8"/>
  <c r="P109" i="8"/>
  <c r="P93" i="8"/>
  <c r="P77" i="8"/>
  <c r="P13" i="8"/>
  <c r="P69" i="8"/>
  <c r="P53" i="8"/>
  <c r="P21" i="8"/>
  <c r="P61" i="8"/>
  <c r="P45" i="8"/>
  <c r="N269" i="8"/>
  <c r="N29" i="8"/>
  <c r="N261" i="8"/>
  <c r="N245" i="8"/>
  <c r="N229" i="8"/>
  <c r="N253" i="8"/>
  <c r="N237" i="8"/>
  <c r="N213" i="8"/>
  <c r="N197" i="8"/>
  <c r="N181" i="8"/>
  <c r="N165" i="8"/>
  <c r="L101" i="14" s="1"/>
  <c r="N149" i="8"/>
  <c r="L91" i="14" s="1"/>
  <c r="N37" i="8"/>
  <c r="N221" i="8"/>
  <c r="N205" i="8"/>
  <c r="N189" i="8"/>
  <c r="N173" i="8"/>
  <c r="N157" i="8"/>
  <c r="L96" i="14" s="1"/>
  <c r="N141" i="8"/>
  <c r="N125" i="8"/>
  <c r="N109" i="8"/>
  <c r="N93" i="8"/>
  <c r="N77" i="8"/>
  <c r="N133" i="8"/>
  <c r="N117" i="8"/>
  <c r="N101" i="8"/>
  <c r="N85" i="8"/>
  <c r="N69" i="8"/>
  <c r="N21" i="8"/>
  <c r="N61" i="8"/>
  <c r="N45" i="8"/>
  <c r="N53" i="8"/>
  <c r="N13" i="8"/>
  <c r="L261" i="8"/>
  <c r="L37" i="8"/>
  <c r="L269" i="8"/>
  <c r="L253" i="8"/>
  <c r="L237" i="8"/>
  <c r="L245" i="8"/>
  <c r="L229" i="8"/>
  <c r="L29" i="8"/>
  <c r="L221" i="8"/>
  <c r="L205" i="8"/>
  <c r="L189" i="8"/>
  <c r="L173" i="8"/>
  <c r="L157" i="8"/>
  <c r="L213" i="8"/>
  <c r="L197" i="8"/>
  <c r="L181" i="8"/>
  <c r="L165" i="8"/>
  <c r="L149" i="8"/>
  <c r="L133" i="8"/>
  <c r="L117" i="8"/>
  <c r="L101" i="8"/>
  <c r="L85" i="8"/>
  <c r="L141" i="8"/>
  <c r="L125" i="8"/>
  <c r="L109" i="8"/>
  <c r="L93" i="8"/>
  <c r="L77" i="8"/>
  <c r="L13" i="8"/>
  <c r="L69" i="8"/>
  <c r="L53" i="8"/>
  <c r="L21" i="8"/>
  <c r="L45" i="8"/>
  <c r="L61" i="8"/>
  <c r="BD261" i="8"/>
  <c r="BD37" i="8"/>
  <c r="BD269" i="8"/>
  <c r="BD253" i="8"/>
  <c r="BD237" i="8"/>
  <c r="BD221" i="8"/>
  <c r="BD29" i="8"/>
  <c r="BD245" i="8"/>
  <c r="BD229" i="8"/>
  <c r="BD205" i="8"/>
  <c r="BD189" i="8"/>
  <c r="BD173" i="8"/>
  <c r="BD157" i="8"/>
  <c r="BD141" i="8"/>
  <c r="BD213" i="8"/>
  <c r="BD197" i="8"/>
  <c r="BD181" i="8"/>
  <c r="BD165" i="8"/>
  <c r="BD149" i="8"/>
  <c r="BD133" i="8"/>
  <c r="BD117" i="8"/>
  <c r="BD101" i="8"/>
  <c r="BD85" i="8"/>
  <c r="BD69" i="8"/>
  <c r="BD125" i="8"/>
  <c r="BD109" i="8"/>
  <c r="BD93" i="8"/>
  <c r="BD77" i="8"/>
  <c r="BD13" i="8"/>
  <c r="BD61" i="8"/>
  <c r="BD45" i="8"/>
  <c r="BD53" i="8"/>
  <c r="BD21" i="8"/>
  <c r="AN261" i="8"/>
  <c r="AN37" i="8"/>
  <c r="AN269" i="8"/>
  <c r="AN253" i="8"/>
  <c r="AN237" i="8"/>
  <c r="AN29" i="8"/>
  <c r="AN245" i="8"/>
  <c r="AN229" i="8"/>
  <c r="AN221" i="8"/>
  <c r="AN205" i="8"/>
  <c r="AN189" i="8"/>
  <c r="AN173" i="8"/>
  <c r="AN157" i="8"/>
  <c r="AN141" i="8"/>
  <c r="AN213" i="8"/>
  <c r="AN197" i="8"/>
  <c r="AN181" i="8"/>
  <c r="AN165" i="8"/>
  <c r="AN149" i="8"/>
  <c r="AN133" i="8"/>
  <c r="AN117" i="8"/>
  <c r="AN101" i="8"/>
  <c r="AN85" i="8"/>
  <c r="AN69" i="8"/>
  <c r="AN125" i="8"/>
  <c r="AN109" i="8"/>
  <c r="AN93" i="8"/>
  <c r="AN77" i="8"/>
  <c r="AN13" i="8"/>
  <c r="AN45" i="8"/>
  <c r="AN53" i="8"/>
  <c r="AN21" i="8"/>
  <c r="AN61" i="8"/>
  <c r="W37" i="8"/>
  <c r="W261" i="8"/>
  <c r="W29" i="8"/>
  <c r="W269" i="8"/>
  <c r="W253" i="8"/>
  <c r="W237" i="8"/>
  <c r="W229" i="8"/>
  <c r="W221" i="8"/>
  <c r="W205" i="8"/>
  <c r="W189" i="8"/>
  <c r="W173" i="8"/>
  <c r="W157" i="8"/>
  <c r="W197" i="8"/>
  <c r="W165" i="8"/>
  <c r="W133" i="8"/>
  <c r="W117" i="8"/>
  <c r="W101" i="8"/>
  <c r="W85" i="8"/>
  <c r="W181" i="8"/>
  <c r="W141" i="8"/>
  <c r="W109" i="8"/>
  <c r="W77" i="8"/>
  <c r="W61" i="8"/>
  <c r="W45" i="8"/>
  <c r="W13" i="8"/>
  <c r="W245" i="8"/>
  <c r="W213" i="8"/>
  <c r="W149" i="8"/>
  <c r="W125" i="8"/>
  <c r="W93" i="8"/>
  <c r="W69" i="8"/>
  <c r="W53" i="8"/>
  <c r="W21" i="8"/>
  <c r="BN269" i="8"/>
  <c r="BN29" i="8"/>
  <c r="BN261" i="8"/>
  <c r="BN37" i="8"/>
  <c r="BN245" i="8"/>
  <c r="BN229" i="8"/>
  <c r="BN253" i="8"/>
  <c r="BN237" i="8"/>
  <c r="BN221" i="8"/>
  <c r="BN213" i="8"/>
  <c r="BN197" i="8"/>
  <c r="BN181" i="8"/>
  <c r="BN165" i="8"/>
  <c r="BN149" i="8"/>
  <c r="BN205" i="8"/>
  <c r="BN189" i="8"/>
  <c r="BN173" i="8"/>
  <c r="BN157" i="8"/>
  <c r="BN141" i="8"/>
  <c r="BN125" i="8"/>
  <c r="BN109" i="8"/>
  <c r="BN93" i="8"/>
  <c r="BN77" i="8"/>
  <c r="BN133" i="8"/>
  <c r="BN117" i="8"/>
  <c r="BN101" i="8"/>
  <c r="BN85" i="8"/>
  <c r="BN69" i="8"/>
  <c r="BN53" i="8"/>
  <c r="BN61" i="8"/>
  <c r="BN45" i="8"/>
  <c r="BN13" i="8"/>
  <c r="BN21" i="8"/>
  <c r="AU37" i="8"/>
  <c r="AU261" i="8"/>
  <c r="AU29" i="8"/>
  <c r="AU253" i="8"/>
  <c r="AU237" i="8"/>
  <c r="AU221" i="8"/>
  <c r="AU269" i="8"/>
  <c r="AU245" i="8"/>
  <c r="AU205" i="8"/>
  <c r="AU189" i="8"/>
  <c r="AU173" i="8"/>
  <c r="AU157" i="8"/>
  <c r="AU141" i="8"/>
  <c r="AU213" i="8"/>
  <c r="AU181" i="8"/>
  <c r="AU149" i="8"/>
  <c r="AU133" i="8"/>
  <c r="AU117" i="8"/>
  <c r="AU101" i="8"/>
  <c r="AU85" i="8"/>
  <c r="AU69" i="8"/>
  <c r="AU229" i="8"/>
  <c r="AU125" i="8"/>
  <c r="AU93" i="8"/>
  <c r="AU61" i="8"/>
  <c r="AU45" i="8"/>
  <c r="AU13" i="8"/>
  <c r="AU197" i="8"/>
  <c r="AU109" i="8"/>
  <c r="AU77" i="8"/>
  <c r="AU53" i="8"/>
  <c r="AU21" i="8"/>
  <c r="AU165" i="8"/>
  <c r="AC29" i="8"/>
  <c r="AC269" i="8"/>
  <c r="AC37" i="8"/>
  <c r="AC245" i="8"/>
  <c r="AC229" i="8"/>
  <c r="AC261" i="8"/>
  <c r="AC237" i="8"/>
  <c r="AC213" i="8"/>
  <c r="AC197" i="8"/>
  <c r="AC181" i="8"/>
  <c r="AC165" i="8"/>
  <c r="AC149" i="8"/>
  <c r="AC205" i="8"/>
  <c r="AC173" i="8"/>
  <c r="AC141" i="8"/>
  <c r="AC125" i="8"/>
  <c r="AC109" i="8"/>
  <c r="AC93" i="8"/>
  <c r="AC77" i="8"/>
  <c r="AC253" i="8"/>
  <c r="AC117" i="8"/>
  <c r="AC85" i="8"/>
  <c r="AC53" i="8"/>
  <c r="AC21" i="8"/>
  <c r="AC221" i="8"/>
  <c r="AC157" i="8"/>
  <c r="AC69" i="8"/>
  <c r="AC13" i="8"/>
  <c r="AC133" i="8"/>
  <c r="AC101" i="8"/>
  <c r="AC61" i="8"/>
  <c r="AC45" i="8"/>
  <c r="AC189" i="8"/>
  <c r="M29" i="8"/>
  <c r="M269" i="8"/>
  <c r="M37" i="8"/>
  <c r="M245" i="8"/>
  <c r="M229" i="8"/>
  <c r="M261" i="8"/>
  <c r="M237" i="8"/>
  <c r="M213" i="8"/>
  <c r="M197" i="8"/>
  <c r="K121" i="14" s="1"/>
  <c r="M181" i="8"/>
  <c r="K111" i="14" s="1"/>
  <c r="M165" i="8"/>
  <c r="K101" i="14" s="1"/>
  <c r="M149" i="8"/>
  <c r="K91" i="14" s="1"/>
  <c r="M205" i="8"/>
  <c r="K126" i="14" s="1"/>
  <c r="M173" i="8"/>
  <c r="K106" i="14" s="1"/>
  <c r="M141" i="8"/>
  <c r="M125" i="8"/>
  <c r="M109" i="8"/>
  <c r="M93" i="8"/>
  <c r="M77" i="8"/>
  <c r="M253" i="8"/>
  <c r="M189" i="8"/>
  <c r="K116" i="14" s="1"/>
  <c r="M117" i="8"/>
  <c r="M85" i="8"/>
  <c r="M69" i="8"/>
  <c r="M53" i="8"/>
  <c r="M21" i="8"/>
  <c r="M13" i="8"/>
  <c r="M221" i="8"/>
  <c r="M157" i="8"/>
  <c r="K96" i="14" s="1"/>
  <c r="M133" i="8"/>
  <c r="M101" i="8"/>
  <c r="M61" i="8"/>
  <c r="M45" i="8"/>
  <c r="AO29" i="8"/>
  <c r="AO269" i="8"/>
  <c r="AO37" i="8"/>
  <c r="AO245" i="8"/>
  <c r="AO229" i="8"/>
  <c r="AO253" i="8"/>
  <c r="AO213" i="8"/>
  <c r="AO197" i="8"/>
  <c r="AO181" i="8"/>
  <c r="AO165" i="8"/>
  <c r="AO149" i="8"/>
  <c r="AO261" i="8"/>
  <c r="AO237" i="8"/>
  <c r="AO221" i="8"/>
  <c r="AO189" i="8"/>
  <c r="AO157" i="8"/>
  <c r="AO125" i="8"/>
  <c r="AO109" i="8"/>
  <c r="AO93" i="8"/>
  <c r="AO77" i="8"/>
  <c r="AO205" i="8"/>
  <c r="AO173" i="8"/>
  <c r="AO141" i="8"/>
  <c r="AO53" i="8"/>
  <c r="AO21" i="8"/>
  <c r="AO117" i="8"/>
  <c r="AO85" i="8"/>
  <c r="AO13" i="8"/>
  <c r="AO101" i="8"/>
  <c r="AO61" i="8"/>
  <c r="AO45" i="8"/>
  <c r="AO133" i="8"/>
  <c r="AO69" i="8"/>
  <c r="AH269" i="8"/>
  <c r="AH29" i="8"/>
  <c r="AH261" i="8"/>
  <c r="AH37" i="8"/>
  <c r="AH245" i="8"/>
  <c r="AH229" i="8"/>
  <c r="AH253" i="8"/>
  <c r="AH237" i="8"/>
  <c r="AH213" i="8"/>
  <c r="AH197" i="8"/>
  <c r="AH181" i="8"/>
  <c r="AH165" i="8"/>
  <c r="AH149" i="8"/>
  <c r="AH221" i="8"/>
  <c r="AH205" i="8"/>
  <c r="AH189" i="8"/>
  <c r="AH173" i="8"/>
  <c r="AH157" i="8"/>
  <c r="AH141" i="8"/>
  <c r="AH125" i="8"/>
  <c r="AH109" i="8"/>
  <c r="AH93" i="8"/>
  <c r="AH77" i="8"/>
  <c r="AH133" i="8"/>
  <c r="AH117" i="8"/>
  <c r="AH101" i="8"/>
  <c r="AH85" i="8"/>
  <c r="AH69" i="8"/>
  <c r="AH61" i="8"/>
  <c r="AH45" i="8"/>
  <c r="AH21" i="8"/>
  <c r="AH13" i="8"/>
  <c r="AH53" i="8"/>
  <c r="AL269" i="8"/>
  <c r="AL29" i="8"/>
  <c r="AL261" i="8"/>
  <c r="AL245" i="8"/>
  <c r="AL229" i="8"/>
  <c r="AL37" i="8"/>
  <c r="AL253" i="8"/>
  <c r="AL237" i="8"/>
  <c r="AL213" i="8"/>
  <c r="AL197" i="8"/>
  <c r="AL181" i="8"/>
  <c r="AL165" i="8"/>
  <c r="AL149" i="8"/>
  <c r="AL221" i="8"/>
  <c r="AL205" i="8"/>
  <c r="AL189" i="8"/>
  <c r="AL173" i="8"/>
  <c r="AL157" i="8"/>
  <c r="AL141" i="8"/>
  <c r="AL125" i="8"/>
  <c r="AL109" i="8"/>
  <c r="AL93" i="8"/>
  <c r="AL77" i="8"/>
  <c r="AL133" i="8"/>
  <c r="AL117" i="8"/>
  <c r="AL101" i="8"/>
  <c r="AL85" i="8"/>
  <c r="AL69" i="8"/>
  <c r="AL21" i="8"/>
  <c r="AL61" i="8"/>
  <c r="AL45" i="8"/>
  <c r="AL53" i="8"/>
  <c r="AL13" i="8"/>
  <c r="AR261" i="8"/>
  <c r="AR37" i="8"/>
  <c r="AR269" i="8"/>
  <c r="AR253" i="8"/>
  <c r="AR237" i="8"/>
  <c r="AR221" i="8"/>
  <c r="AR245" i="8"/>
  <c r="AR229" i="8"/>
  <c r="AR205" i="8"/>
  <c r="AR189" i="8"/>
  <c r="AR173" i="8"/>
  <c r="AR157" i="8"/>
  <c r="AR141" i="8"/>
  <c r="AR29" i="8"/>
  <c r="AR213" i="8"/>
  <c r="AR197" i="8"/>
  <c r="AR181" i="8"/>
  <c r="AR165" i="8"/>
  <c r="AR149" i="8"/>
  <c r="AR133" i="8"/>
  <c r="AR117" i="8"/>
  <c r="AR101" i="8"/>
  <c r="AR85" i="8"/>
  <c r="AR69" i="8"/>
  <c r="AR125" i="8"/>
  <c r="AR109" i="8"/>
  <c r="AR93" i="8"/>
  <c r="AR77" i="8"/>
  <c r="AR13" i="8"/>
  <c r="AR61" i="8"/>
  <c r="AR53" i="8"/>
  <c r="AR21" i="8"/>
  <c r="AR45" i="8"/>
  <c r="AJ261" i="8"/>
  <c r="AJ37" i="8"/>
  <c r="AJ269" i="8"/>
  <c r="AJ253" i="8"/>
  <c r="AJ237" i="8"/>
  <c r="AJ29" i="8"/>
  <c r="AJ245" i="8"/>
  <c r="AJ229" i="8"/>
  <c r="AJ221" i="8"/>
  <c r="AJ205" i="8"/>
  <c r="AJ189" i="8"/>
  <c r="AJ173" i="8"/>
  <c r="AJ157" i="8"/>
  <c r="AJ141" i="8"/>
  <c r="AJ213" i="8"/>
  <c r="AJ197" i="8"/>
  <c r="AJ181" i="8"/>
  <c r="AJ165" i="8"/>
  <c r="AJ149" i="8"/>
  <c r="AH91" i="14" s="1"/>
  <c r="AJ133" i="8"/>
  <c r="AJ117" i="8"/>
  <c r="AJ101" i="8"/>
  <c r="AJ85" i="8"/>
  <c r="AJ69" i="8"/>
  <c r="AJ125" i="8"/>
  <c r="AJ109" i="8"/>
  <c r="AJ93" i="8"/>
  <c r="AJ77" i="8"/>
  <c r="AJ13" i="8"/>
  <c r="AJ53" i="8"/>
  <c r="AJ21" i="8"/>
  <c r="AJ45" i="8"/>
  <c r="AJ61" i="8"/>
  <c r="BI29" i="8"/>
  <c r="BI269" i="8"/>
  <c r="BI37" i="8"/>
  <c r="BI245" i="8"/>
  <c r="BI229" i="8"/>
  <c r="BI261" i="8"/>
  <c r="BI237" i="8"/>
  <c r="BI213" i="8"/>
  <c r="BI197" i="8"/>
  <c r="BI181" i="8"/>
  <c r="BI165" i="8"/>
  <c r="BI149" i="8"/>
  <c r="BI253" i="8"/>
  <c r="BI205" i="8"/>
  <c r="BI173" i="8"/>
  <c r="BI141" i="8"/>
  <c r="BI125" i="8"/>
  <c r="BI109" i="8"/>
  <c r="BI93" i="8"/>
  <c r="BI77" i="8"/>
  <c r="BI221" i="8"/>
  <c r="BI117" i="8"/>
  <c r="BI85" i="8"/>
  <c r="BI53" i="8"/>
  <c r="BI21" i="8"/>
  <c r="BI189" i="8"/>
  <c r="BI13" i="8"/>
  <c r="BI157" i="8"/>
  <c r="BI133" i="8"/>
  <c r="BI101" i="8"/>
  <c r="BI69" i="8"/>
  <c r="BI61" i="8"/>
  <c r="BI45" i="8"/>
  <c r="BH261" i="8"/>
  <c r="BH37" i="8"/>
  <c r="BH269" i="8"/>
  <c r="BH253" i="8"/>
  <c r="BH237" i="8"/>
  <c r="BH221" i="8"/>
  <c r="BH245" i="8"/>
  <c r="BH229" i="8"/>
  <c r="BH205" i="8"/>
  <c r="BH189" i="8"/>
  <c r="BH173" i="8"/>
  <c r="BH157" i="8"/>
  <c r="BH141" i="8"/>
  <c r="BH213" i="8"/>
  <c r="BH197" i="8"/>
  <c r="BH181" i="8"/>
  <c r="BH165" i="8"/>
  <c r="BH149" i="8"/>
  <c r="BH133" i="8"/>
  <c r="BH117" i="8"/>
  <c r="BH101" i="8"/>
  <c r="BH85" i="8"/>
  <c r="BH69" i="8"/>
  <c r="BH29" i="8"/>
  <c r="BH125" i="8"/>
  <c r="BH109" i="8"/>
  <c r="BH93" i="8"/>
  <c r="BH77" i="8"/>
  <c r="BH13" i="8"/>
  <c r="BH53" i="8"/>
  <c r="BH21" i="8"/>
  <c r="BH45" i="8"/>
  <c r="BH61" i="8"/>
  <c r="Q29" i="8"/>
  <c r="Q269" i="8"/>
  <c r="Q37" i="8"/>
  <c r="Q261" i="8"/>
  <c r="Q245" i="8"/>
  <c r="Q229" i="8"/>
  <c r="Q237" i="8"/>
  <c r="Q213" i="8"/>
  <c r="Q197" i="8"/>
  <c r="Q181" i="8"/>
  <c r="Q165" i="8"/>
  <c r="Q149" i="8"/>
  <c r="O91" i="14" s="1"/>
  <c r="Q253" i="8"/>
  <c r="Q205" i="8"/>
  <c r="Q173" i="8"/>
  <c r="Q141" i="8"/>
  <c r="Q125" i="8"/>
  <c r="Q109" i="8"/>
  <c r="Q93" i="8"/>
  <c r="Q77" i="8"/>
  <c r="Q221" i="8"/>
  <c r="Q189" i="8"/>
  <c r="Q157" i="8"/>
  <c r="O96" i="14" s="1"/>
  <c r="Q69" i="8"/>
  <c r="Q53" i="8"/>
  <c r="Q21" i="8"/>
  <c r="Q133" i="8"/>
  <c r="Q101" i="8"/>
  <c r="Q13" i="8"/>
  <c r="Q117" i="8"/>
  <c r="Q61" i="8"/>
  <c r="Q45" i="8"/>
  <c r="Q85" i="8"/>
  <c r="BK37" i="8"/>
  <c r="BK261" i="8"/>
  <c r="BK29" i="8"/>
  <c r="BK253" i="8"/>
  <c r="BK237" i="8"/>
  <c r="BK221" i="8"/>
  <c r="BK269" i="8"/>
  <c r="BK245" i="8"/>
  <c r="BK205" i="8"/>
  <c r="BK189" i="8"/>
  <c r="BK173" i="8"/>
  <c r="BK157" i="8"/>
  <c r="BK141" i="8"/>
  <c r="BK229" i="8"/>
  <c r="BK213" i="8"/>
  <c r="BK181" i="8"/>
  <c r="BK149" i="8"/>
  <c r="BK133" i="8"/>
  <c r="BK117" i="8"/>
  <c r="BK101" i="8"/>
  <c r="BK85" i="8"/>
  <c r="BK69" i="8"/>
  <c r="BK197" i="8"/>
  <c r="BK125" i="8"/>
  <c r="BK93" i="8"/>
  <c r="BK61" i="8"/>
  <c r="BK45" i="8"/>
  <c r="BK165" i="8"/>
  <c r="BK109" i="8"/>
  <c r="BK77" i="8"/>
  <c r="BK53" i="8"/>
  <c r="BK21" i="8"/>
  <c r="BK13" i="8"/>
  <c r="AF261" i="8"/>
  <c r="AF37" i="8"/>
  <c r="AF269" i="8"/>
  <c r="AF29" i="8"/>
  <c r="AF253" i="8"/>
  <c r="AF237" i="8"/>
  <c r="AF245" i="8"/>
  <c r="AF229" i="8"/>
  <c r="AF221" i="8"/>
  <c r="AF205" i="8"/>
  <c r="AF189" i="8"/>
  <c r="AF173" i="8"/>
  <c r="AF157" i="8"/>
  <c r="AF141" i="8"/>
  <c r="AF213" i="8"/>
  <c r="AF197" i="8"/>
  <c r="AF181" i="8"/>
  <c r="AF165" i="8"/>
  <c r="AF149" i="8"/>
  <c r="AF133" i="8"/>
  <c r="AF117" i="8"/>
  <c r="AF101" i="8"/>
  <c r="AF85" i="8"/>
  <c r="AF125" i="8"/>
  <c r="AF109" i="8"/>
  <c r="AF93" i="8"/>
  <c r="AF77" i="8"/>
  <c r="AF13" i="8"/>
  <c r="AF61" i="8"/>
  <c r="AF53" i="8"/>
  <c r="AF21" i="8"/>
  <c r="AF69" i="8"/>
  <c r="AF45" i="8"/>
  <c r="AB261" i="8"/>
  <c r="AB37" i="8"/>
  <c r="AB269" i="8"/>
  <c r="AB253" i="8"/>
  <c r="AB237" i="8"/>
  <c r="AB245" i="8"/>
  <c r="AB229" i="8"/>
  <c r="AB221" i="8"/>
  <c r="AB205" i="8"/>
  <c r="AB189" i="8"/>
  <c r="AB173" i="8"/>
  <c r="AB157" i="8"/>
  <c r="AB29" i="8"/>
  <c r="AB213" i="8"/>
  <c r="AB197" i="8"/>
  <c r="AB181" i="8"/>
  <c r="AB165" i="8"/>
  <c r="AB149" i="8"/>
  <c r="AB133" i="8"/>
  <c r="AB117" i="8"/>
  <c r="AB101" i="8"/>
  <c r="AB85" i="8"/>
  <c r="AB141" i="8"/>
  <c r="AB125" i="8"/>
  <c r="AB109" i="8"/>
  <c r="AB93" i="8"/>
  <c r="AB77" i="8"/>
  <c r="AB13" i="8"/>
  <c r="AB45" i="8"/>
  <c r="AB53" i="8"/>
  <c r="AB21" i="8"/>
  <c r="AB61" i="8"/>
  <c r="AB69" i="8"/>
  <c r="AA37" i="8"/>
  <c r="AA261" i="8"/>
  <c r="AA29" i="8"/>
  <c r="AA253" i="8"/>
  <c r="AA237" i="8"/>
  <c r="AA229" i="8"/>
  <c r="AA221" i="8"/>
  <c r="AA205" i="8"/>
  <c r="AA189" i="8"/>
  <c r="AA173" i="8"/>
  <c r="AA157" i="8"/>
  <c r="AA269" i="8"/>
  <c r="AA245" i="8"/>
  <c r="AA197" i="8"/>
  <c r="AA165" i="8"/>
  <c r="AA133" i="8"/>
  <c r="AA117" i="8"/>
  <c r="AA101" i="8"/>
  <c r="AA85" i="8"/>
  <c r="AA69" i="8"/>
  <c r="AA213" i="8"/>
  <c r="AA181" i="8"/>
  <c r="AA149" i="8"/>
  <c r="AA61" i="8"/>
  <c r="AA45" i="8"/>
  <c r="AA141" i="8"/>
  <c r="AA125" i="8"/>
  <c r="AA93" i="8"/>
  <c r="AA109" i="8"/>
  <c r="AA53" i="8"/>
  <c r="AA21" i="8"/>
  <c r="AA77" i="8"/>
  <c r="AA13" i="8"/>
  <c r="BC37" i="8"/>
  <c r="BC261" i="8"/>
  <c r="BC29" i="8"/>
  <c r="BC269" i="8"/>
  <c r="BC253" i="8"/>
  <c r="BC237" i="8"/>
  <c r="BC221" i="8"/>
  <c r="BC229" i="8"/>
  <c r="BC205" i="8"/>
  <c r="BC189" i="8"/>
  <c r="BC173" i="8"/>
  <c r="BC157" i="8"/>
  <c r="BC141" i="8"/>
  <c r="BC245" i="8"/>
  <c r="BC197" i="8"/>
  <c r="BC165" i="8"/>
  <c r="BC133" i="8"/>
  <c r="BC117" i="8"/>
  <c r="BC101" i="8"/>
  <c r="BC85" i="8"/>
  <c r="BC69" i="8"/>
  <c r="BC213" i="8"/>
  <c r="BC149" i="8"/>
  <c r="BC109" i="8"/>
  <c r="BC77" i="8"/>
  <c r="BC61" i="8"/>
  <c r="BC45" i="8"/>
  <c r="BC13" i="8"/>
  <c r="BC181" i="8"/>
  <c r="BC125" i="8"/>
  <c r="BC93" i="8"/>
  <c r="BC53" i="8"/>
  <c r="BC21" i="8"/>
  <c r="AG29" i="8"/>
  <c r="AG269" i="8"/>
  <c r="AG37" i="8"/>
  <c r="AG261" i="8"/>
  <c r="AG245" i="8"/>
  <c r="AG229" i="8"/>
  <c r="AG237" i="8"/>
  <c r="AG213" i="8"/>
  <c r="AG197" i="8"/>
  <c r="AG181" i="8"/>
  <c r="AG165" i="8"/>
  <c r="AG149" i="8"/>
  <c r="AG253" i="8"/>
  <c r="AG205" i="8"/>
  <c r="AG173" i="8"/>
  <c r="AG125" i="8"/>
  <c r="AG109" i="8"/>
  <c r="AG93" i="8"/>
  <c r="AG77" i="8"/>
  <c r="AG221" i="8"/>
  <c r="AG189" i="8"/>
  <c r="AG157" i="8"/>
  <c r="AG141" i="8"/>
  <c r="AG53" i="8"/>
  <c r="AG21" i="8"/>
  <c r="AG85" i="8"/>
  <c r="AG133" i="8"/>
  <c r="AG101" i="8"/>
  <c r="AG13" i="8"/>
  <c r="AG69" i="8"/>
  <c r="AG61" i="8"/>
  <c r="AG45" i="8"/>
  <c r="AG117" i="8"/>
  <c r="AY37" i="8"/>
  <c r="AY261" i="8"/>
  <c r="AY29" i="8"/>
  <c r="AY269" i="8"/>
  <c r="AY253" i="8"/>
  <c r="AY237" i="8"/>
  <c r="AY221" i="8"/>
  <c r="AY245" i="8"/>
  <c r="AY205" i="8"/>
  <c r="AY189" i="8"/>
  <c r="AY173" i="8"/>
  <c r="AY157" i="8"/>
  <c r="AY141" i="8"/>
  <c r="AY229" i="8"/>
  <c r="AY213" i="8"/>
  <c r="AY181" i="8"/>
  <c r="AY149" i="8"/>
  <c r="AY133" i="8"/>
  <c r="AY117" i="8"/>
  <c r="AY101" i="8"/>
  <c r="AY85" i="8"/>
  <c r="AY69" i="8"/>
  <c r="AY197" i="8"/>
  <c r="AY165" i="8"/>
  <c r="AY61" i="8"/>
  <c r="AY45" i="8"/>
  <c r="AY93" i="8"/>
  <c r="AY109" i="8"/>
  <c r="AY77" i="8"/>
  <c r="AY53" i="8"/>
  <c r="AY21" i="8"/>
  <c r="AY125" i="8"/>
  <c r="AY13" i="8"/>
  <c r="AW29" i="8"/>
  <c r="AW269" i="8"/>
  <c r="AW37" i="8"/>
  <c r="AW261" i="8"/>
  <c r="AW245" i="8"/>
  <c r="AW229" i="8"/>
  <c r="AW237" i="8"/>
  <c r="AW213" i="8"/>
  <c r="AW197" i="8"/>
  <c r="AW181" i="8"/>
  <c r="AW165" i="8"/>
  <c r="AW149" i="8"/>
  <c r="AW253" i="8"/>
  <c r="AW221" i="8"/>
  <c r="AW205" i="8"/>
  <c r="AW173" i="8"/>
  <c r="AW141" i="8"/>
  <c r="AW125" i="8"/>
  <c r="AW109" i="8"/>
  <c r="AW93" i="8"/>
  <c r="AW77" i="8"/>
  <c r="AW189" i="8"/>
  <c r="AW157" i="8"/>
  <c r="AW53" i="8"/>
  <c r="AW21" i="8"/>
  <c r="AW117" i="8"/>
  <c r="AW133" i="8"/>
  <c r="AW101" i="8"/>
  <c r="AW69" i="8"/>
  <c r="AW13" i="8"/>
  <c r="AW85" i="8"/>
  <c r="AW61" i="8"/>
  <c r="AW45" i="8"/>
  <c r="AT269" i="8"/>
  <c r="AT29" i="8"/>
  <c r="AT261" i="8"/>
  <c r="AT245" i="8"/>
  <c r="AT229" i="8"/>
  <c r="AT253" i="8"/>
  <c r="AT237" i="8"/>
  <c r="AT213" i="8"/>
  <c r="AT197" i="8"/>
  <c r="AT181" i="8"/>
  <c r="AT165" i="8"/>
  <c r="AT149" i="8"/>
  <c r="AT205" i="8"/>
  <c r="AT189" i="8"/>
  <c r="AT173" i="8"/>
  <c r="AT157" i="8"/>
  <c r="AT141" i="8"/>
  <c r="AT125" i="8"/>
  <c r="AT109" i="8"/>
  <c r="AT93" i="8"/>
  <c r="AT77" i="8"/>
  <c r="AT133" i="8"/>
  <c r="AT117" i="8"/>
  <c r="AT101" i="8"/>
  <c r="AT85" i="8"/>
  <c r="AT69" i="8"/>
  <c r="AT221" i="8"/>
  <c r="AT61" i="8"/>
  <c r="AT45" i="8"/>
  <c r="AT21" i="8"/>
  <c r="AT37" i="8"/>
  <c r="AT13" i="8"/>
  <c r="AT53" i="8"/>
  <c r="AV261" i="8"/>
  <c r="AV37" i="8"/>
  <c r="AV269" i="8"/>
  <c r="AV29" i="8"/>
  <c r="AV253" i="8"/>
  <c r="AV237" i="8"/>
  <c r="AV221" i="8"/>
  <c r="AV245" i="8"/>
  <c r="AV229" i="8"/>
  <c r="AV205" i="8"/>
  <c r="AV189" i="8"/>
  <c r="AV173" i="8"/>
  <c r="AV157" i="8"/>
  <c r="AV141" i="8"/>
  <c r="AV213" i="8"/>
  <c r="AV197" i="8"/>
  <c r="AV181" i="8"/>
  <c r="AV165" i="8"/>
  <c r="AV149" i="8"/>
  <c r="AV133" i="8"/>
  <c r="AV117" i="8"/>
  <c r="AV101" i="8"/>
  <c r="AV85" i="8"/>
  <c r="AV69" i="8"/>
  <c r="AV125" i="8"/>
  <c r="AV109" i="8"/>
  <c r="AV93" i="8"/>
  <c r="AV77" i="8"/>
  <c r="AV13" i="8"/>
  <c r="AV53" i="8"/>
  <c r="AV21" i="8"/>
  <c r="AV45" i="8"/>
  <c r="AV61" i="8"/>
  <c r="AZ261" i="8"/>
  <c r="AZ37" i="8"/>
  <c r="AZ269" i="8"/>
  <c r="AZ253" i="8"/>
  <c r="AZ237" i="8"/>
  <c r="AZ221" i="8"/>
  <c r="AZ29" i="8"/>
  <c r="AZ245" i="8"/>
  <c r="AZ229" i="8"/>
  <c r="AZ205" i="8"/>
  <c r="AZ189" i="8"/>
  <c r="AZ173" i="8"/>
  <c r="AZ157" i="8"/>
  <c r="AZ141" i="8"/>
  <c r="AZ213" i="8"/>
  <c r="AZ197" i="8"/>
  <c r="AZ181" i="8"/>
  <c r="AZ165" i="8"/>
  <c r="AZ149" i="8"/>
  <c r="AZ133" i="8"/>
  <c r="AZ117" i="8"/>
  <c r="AZ101" i="8"/>
  <c r="AZ85" i="8"/>
  <c r="AZ69" i="8"/>
  <c r="AZ125" i="8"/>
  <c r="AZ109" i="8"/>
  <c r="AZ93" i="8"/>
  <c r="AZ77" i="8"/>
  <c r="AZ13" i="8"/>
  <c r="AZ53" i="8"/>
  <c r="AZ21" i="8"/>
  <c r="AZ61" i="8"/>
  <c r="AZ45" i="8"/>
  <c r="AI37" i="8"/>
  <c r="AI261" i="8"/>
  <c r="AI29" i="8"/>
  <c r="AI269" i="8"/>
  <c r="AI253" i="8"/>
  <c r="AI237" i="8"/>
  <c r="AI245" i="8"/>
  <c r="AI221" i="8"/>
  <c r="AI205" i="8"/>
  <c r="AI189" i="8"/>
  <c r="AI173" i="8"/>
  <c r="AI157" i="8"/>
  <c r="AI229" i="8"/>
  <c r="AI213" i="8"/>
  <c r="AI181" i="8"/>
  <c r="AI149" i="8"/>
  <c r="AI141" i="8"/>
  <c r="AI133" i="8"/>
  <c r="AI117" i="8"/>
  <c r="AI101" i="8"/>
  <c r="AI85" i="8"/>
  <c r="AI69" i="8"/>
  <c r="AI197" i="8"/>
  <c r="AI165" i="8"/>
  <c r="AI61" i="8"/>
  <c r="AI45" i="8"/>
  <c r="AI125" i="8"/>
  <c r="AI109" i="8"/>
  <c r="AI77" i="8"/>
  <c r="AI93" i="8"/>
  <c r="AI53" i="8"/>
  <c r="AI21" i="8"/>
  <c r="AI13" i="8"/>
  <c r="S37" i="8"/>
  <c r="S261" i="8"/>
  <c r="S29" i="8"/>
  <c r="S269" i="8"/>
  <c r="S253" i="8"/>
  <c r="S237" i="8"/>
  <c r="S245" i="8"/>
  <c r="S221" i="8"/>
  <c r="S205" i="8"/>
  <c r="S189" i="8"/>
  <c r="S173" i="8"/>
  <c r="S157" i="8"/>
  <c r="S229" i="8"/>
  <c r="S213" i="8"/>
  <c r="S181" i="8"/>
  <c r="S149" i="8"/>
  <c r="S133" i="8"/>
  <c r="S117" i="8"/>
  <c r="S101" i="8"/>
  <c r="S85" i="8"/>
  <c r="S197" i="8"/>
  <c r="S165" i="8"/>
  <c r="S61" i="8"/>
  <c r="S45" i="8"/>
  <c r="S141" i="8"/>
  <c r="S109" i="8"/>
  <c r="S77" i="8"/>
  <c r="S125" i="8"/>
  <c r="S13" i="8"/>
  <c r="S69" i="8"/>
  <c r="S53" i="8"/>
  <c r="S21" i="8"/>
  <c r="S93" i="8"/>
  <c r="BJ269" i="8"/>
  <c r="BJ29" i="8"/>
  <c r="BJ261" i="8"/>
  <c r="BJ245" i="8"/>
  <c r="BJ229" i="8"/>
  <c r="BJ253" i="8"/>
  <c r="BJ237" i="8"/>
  <c r="BJ221" i="8"/>
  <c r="BJ37" i="8"/>
  <c r="BJ213" i="8"/>
  <c r="BJ197" i="8"/>
  <c r="BJ181" i="8"/>
  <c r="BJ165" i="8"/>
  <c r="BJ149" i="8"/>
  <c r="BJ205" i="8"/>
  <c r="BJ189" i="8"/>
  <c r="BJ173" i="8"/>
  <c r="BJ157" i="8"/>
  <c r="BJ141" i="8"/>
  <c r="BJ125" i="8"/>
  <c r="BJ109" i="8"/>
  <c r="BJ93" i="8"/>
  <c r="BJ77" i="8"/>
  <c r="BJ133" i="8"/>
  <c r="BJ117" i="8"/>
  <c r="BJ101" i="8"/>
  <c r="BJ85" i="8"/>
  <c r="BJ69" i="8"/>
  <c r="BJ21" i="8"/>
  <c r="BJ61" i="8"/>
  <c r="BJ45" i="8"/>
  <c r="BJ53" i="8"/>
  <c r="BJ13" i="8"/>
  <c r="AP269" i="8"/>
  <c r="AP29" i="8"/>
  <c r="AP261" i="8"/>
  <c r="AP245" i="8"/>
  <c r="AP229" i="8"/>
  <c r="AP37" i="8"/>
  <c r="AP253" i="8"/>
  <c r="AP237" i="8"/>
  <c r="AP213" i="8"/>
  <c r="AP197" i="8"/>
  <c r="AP181" i="8"/>
  <c r="AP165" i="8"/>
  <c r="AP149" i="8"/>
  <c r="AP221" i="8"/>
  <c r="AP205" i="8"/>
  <c r="AP189" i="8"/>
  <c r="AP173" i="8"/>
  <c r="AP157" i="8"/>
  <c r="AP141" i="8"/>
  <c r="AP125" i="8"/>
  <c r="AP109" i="8"/>
  <c r="AP93" i="8"/>
  <c r="AP77" i="8"/>
  <c r="AP133" i="8"/>
  <c r="AP117" i="8"/>
  <c r="AP101" i="8"/>
  <c r="AP85" i="8"/>
  <c r="AP69" i="8"/>
  <c r="AP53" i="8"/>
  <c r="AP61" i="8"/>
  <c r="AP45" i="8"/>
  <c r="AP13" i="8"/>
  <c r="AP21" i="8"/>
  <c r="Y29" i="8"/>
  <c r="Y269" i="8"/>
  <c r="Y37" i="8"/>
  <c r="Y245" i="8"/>
  <c r="Y229" i="8"/>
  <c r="Y253" i="8"/>
  <c r="Y213" i="8"/>
  <c r="Y197" i="8"/>
  <c r="Y181" i="8"/>
  <c r="Y165" i="8"/>
  <c r="Y149" i="8"/>
  <c r="Y237" i="8"/>
  <c r="Y221" i="8"/>
  <c r="Y189" i="8"/>
  <c r="Y157" i="8"/>
  <c r="Y141" i="8"/>
  <c r="Y125" i="8"/>
  <c r="Y109" i="8"/>
  <c r="Y93" i="8"/>
  <c r="Y77" i="8"/>
  <c r="Y261" i="8"/>
  <c r="Y205" i="8"/>
  <c r="Y173" i="8"/>
  <c r="Y69" i="8"/>
  <c r="Y53" i="8"/>
  <c r="Y21" i="8"/>
  <c r="Y133" i="8"/>
  <c r="Y117" i="8"/>
  <c r="Y85" i="8"/>
  <c r="Y13" i="8"/>
  <c r="Y61" i="8"/>
  <c r="Y45" i="8"/>
  <c r="Y101" i="8"/>
  <c r="R269" i="8"/>
  <c r="R29" i="8"/>
  <c r="R261" i="8"/>
  <c r="R37" i="8"/>
  <c r="R245" i="8"/>
  <c r="R229" i="8"/>
  <c r="R253" i="8"/>
  <c r="R237" i="8"/>
  <c r="R213" i="8"/>
  <c r="R197" i="8"/>
  <c r="R181" i="8"/>
  <c r="R165" i="8"/>
  <c r="P101" i="14" s="1"/>
  <c r="R149" i="8"/>
  <c r="R221" i="8"/>
  <c r="R205" i="8"/>
  <c r="R189" i="8"/>
  <c r="R173" i="8"/>
  <c r="R157" i="8"/>
  <c r="R141" i="8"/>
  <c r="R125" i="8"/>
  <c r="R109" i="8"/>
  <c r="R93" i="8"/>
  <c r="R77" i="8"/>
  <c r="R133" i="8"/>
  <c r="R117" i="8"/>
  <c r="R101" i="8"/>
  <c r="R85" i="8"/>
  <c r="R61" i="8"/>
  <c r="R45" i="8"/>
  <c r="R69" i="8"/>
  <c r="R13" i="8"/>
  <c r="R53" i="8"/>
  <c r="R21" i="8"/>
  <c r="AD269" i="8"/>
  <c r="AD29" i="8"/>
  <c r="AD261" i="8"/>
  <c r="AD245" i="8"/>
  <c r="AD229" i="8"/>
  <c r="AD253" i="8"/>
  <c r="AD237" i="8"/>
  <c r="AD213" i="8"/>
  <c r="AD197" i="8"/>
  <c r="AD181" i="8"/>
  <c r="AD165" i="8"/>
  <c r="AD149" i="8"/>
  <c r="AD37" i="8"/>
  <c r="AD221" i="8"/>
  <c r="AD205" i="8"/>
  <c r="AD189" i="8"/>
  <c r="AD173" i="8"/>
  <c r="AD157" i="8"/>
  <c r="AD141" i="8"/>
  <c r="AD125" i="8"/>
  <c r="AD109" i="8"/>
  <c r="AD93" i="8"/>
  <c r="AD77" i="8"/>
  <c r="AD133" i="8"/>
  <c r="AD117" i="8"/>
  <c r="AD101" i="8"/>
  <c r="AD85" i="8"/>
  <c r="AD69" i="8"/>
  <c r="AD53" i="8"/>
  <c r="AD61" i="8"/>
  <c r="AD45" i="8"/>
  <c r="AD13" i="8"/>
  <c r="AD21" i="8"/>
  <c r="J269" i="8"/>
  <c r="J29" i="8"/>
  <c r="J261" i="8"/>
  <c r="J245" i="8"/>
  <c r="J229" i="8"/>
  <c r="J37" i="8"/>
  <c r="J253" i="8"/>
  <c r="J237" i="8"/>
  <c r="J213" i="8"/>
  <c r="J197" i="8"/>
  <c r="J181" i="8"/>
  <c r="J165" i="8"/>
  <c r="H101" i="14" s="1"/>
  <c r="J149" i="8"/>
  <c r="J221" i="8"/>
  <c r="J205" i="8"/>
  <c r="J189" i="8"/>
  <c r="J173" i="8"/>
  <c r="J157" i="8"/>
  <c r="J141" i="8"/>
  <c r="J125" i="8"/>
  <c r="J109" i="8"/>
  <c r="J93" i="8"/>
  <c r="J77" i="8"/>
  <c r="J133" i="8"/>
  <c r="J117" i="8"/>
  <c r="J101" i="8"/>
  <c r="J85" i="8"/>
  <c r="J53" i="8"/>
  <c r="J61" i="8"/>
  <c r="J45" i="8"/>
  <c r="J21" i="8"/>
  <c r="J13" i="8"/>
  <c r="J69" i="8"/>
  <c r="Z269" i="8"/>
  <c r="Z29" i="8"/>
  <c r="Z261" i="8"/>
  <c r="Z245" i="8"/>
  <c r="Z229" i="8"/>
  <c r="Z37" i="8"/>
  <c r="Z253" i="8"/>
  <c r="Z237" i="8"/>
  <c r="Z213" i="8"/>
  <c r="Z197" i="8"/>
  <c r="Z181" i="8"/>
  <c r="Z165" i="8"/>
  <c r="Z149" i="8"/>
  <c r="X91" i="14" s="1"/>
  <c r="Z221" i="8"/>
  <c r="Z205" i="8"/>
  <c r="Z189" i="8"/>
  <c r="Z173" i="8"/>
  <c r="Z157" i="8"/>
  <c r="Z141" i="8"/>
  <c r="Z125" i="8"/>
  <c r="Z109" i="8"/>
  <c r="Z93" i="8"/>
  <c r="Z77" i="8"/>
  <c r="Z133" i="8"/>
  <c r="Z117" i="8"/>
  <c r="Z101" i="8"/>
  <c r="Z85" i="8"/>
  <c r="Z21" i="8"/>
  <c r="Z61" i="8"/>
  <c r="Z45" i="8"/>
  <c r="Z53" i="8"/>
  <c r="Z13" i="8"/>
  <c r="Z69" i="8"/>
  <c r="AM37" i="8"/>
  <c r="AM261" i="8"/>
  <c r="AM29" i="8"/>
  <c r="AM269" i="8"/>
  <c r="AM253" i="8"/>
  <c r="AM237" i="8"/>
  <c r="AM229" i="8"/>
  <c r="AM221" i="8"/>
  <c r="AM205" i="8"/>
  <c r="AM189" i="8"/>
  <c r="AM173" i="8"/>
  <c r="AM157" i="8"/>
  <c r="AM197" i="8"/>
  <c r="AM165" i="8"/>
  <c r="AM133" i="8"/>
  <c r="AM117" i="8"/>
  <c r="AM101" i="8"/>
  <c r="AM85" i="8"/>
  <c r="AM69" i="8"/>
  <c r="AM245" i="8"/>
  <c r="AM109" i="8"/>
  <c r="AM77" i="8"/>
  <c r="AM61" i="8"/>
  <c r="AM45" i="8"/>
  <c r="AM181" i="8"/>
  <c r="AM13" i="8"/>
  <c r="AM213" i="8"/>
  <c r="AM149" i="8"/>
  <c r="AM141" i="8"/>
  <c r="AM125" i="8"/>
  <c r="AM93" i="8"/>
  <c r="AM53" i="8"/>
  <c r="AM21" i="8"/>
  <c r="BL261" i="8"/>
  <c r="BL37" i="8"/>
  <c r="BL269" i="8"/>
  <c r="BL29" i="8"/>
  <c r="BL253" i="8"/>
  <c r="BL237" i="8"/>
  <c r="BL221" i="8"/>
  <c r="BL245" i="8"/>
  <c r="BL229" i="8"/>
  <c r="BL205" i="8"/>
  <c r="BL189" i="8"/>
  <c r="BL173" i="8"/>
  <c r="BL157" i="8"/>
  <c r="BL141" i="8"/>
  <c r="BL213" i="8"/>
  <c r="BL197" i="8"/>
  <c r="BL181" i="8"/>
  <c r="BL165" i="8"/>
  <c r="BL149" i="8"/>
  <c r="BL133" i="8"/>
  <c r="BL117" i="8"/>
  <c r="BL101" i="8"/>
  <c r="BL85" i="8"/>
  <c r="BL69" i="8"/>
  <c r="BL125" i="8"/>
  <c r="BL109" i="8"/>
  <c r="BL93" i="8"/>
  <c r="BL77" i="8"/>
  <c r="BL13" i="8"/>
  <c r="BL53" i="8"/>
  <c r="BL21" i="8"/>
  <c r="BL61" i="8"/>
  <c r="BL45" i="8"/>
  <c r="AX269" i="8"/>
  <c r="AX29" i="8"/>
  <c r="AX261" i="8"/>
  <c r="AX37" i="8"/>
  <c r="AX245" i="8"/>
  <c r="AX229" i="8"/>
  <c r="AX253" i="8"/>
  <c r="AX237" i="8"/>
  <c r="AX221" i="8"/>
  <c r="AX213" i="8"/>
  <c r="AX197" i="8"/>
  <c r="AX181" i="8"/>
  <c r="AX165" i="8"/>
  <c r="AX149" i="8"/>
  <c r="AX205" i="8"/>
  <c r="AX189" i="8"/>
  <c r="AX173" i="8"/>
  <c r="AX157" i="8"/>
  <c r="AX141" i="8"/>
  <c r="AX125" i="8"/>
  <c r="AX109" i="8"/>
  <c r="AX93" i="8"/>
  <c r="AX77" i="8"/>
  <c r="AX133" i="8"/>
  <c r="AX117" i="8"/>
  <c r="AX101" i="8"/>
  <c r="AX85" i="8"/>
  <c r="AX69" i="8"/>
  <c r="AX21" i="8"/>
  <c r="AX61" i="8"/>
  <c r="AX45" i="8"/>
  <c r="AX53" i="8"/>
  <c r="AX13" i="8"/>
  <c r="AE37" i="8"/>
  <c r="AE261" i="8"/>
  <c r="AE29" i="8"/>
  <c r="AE253" i="8"/>
  <c r="AE237" i="8"/>
  <c r="AE269" i="8"/>
  <c r="AE245" i="8"/>
  <c r="AE221" i="8"/>
  <c r="AE205" i="8"/>
  <c r="AE189" i="8"/>
  <c r="AE173" i="8"/>
  <c r="AE157" i="8"/>
  <c r="AE213" i="8"/>
  <c r="AE181" i="8"/>
  <c r="AE149" i="8"/>
  <c r="AE133" i="8"/>
  <c r="AE117" i="8"/>
  <c r="AE101" i="8"/>
  <c r="AE85" i="8"/>
  <c r="AE69" i="8"/>
  <c r="AE165" i="8"/>
  <c r="AE125" i="8"/>
  <c r="AE93" i="8"/>
  <c r="AE61" i="8"/>
  <c r="AE45" i="8"/>
  <c r="AE13" i="8"/>
  <c r="AE229" i="8"/>
  <c r="AE197" i="8"/>
  <c r="AE141" i="8"/>
  <c r="AE109" i="8"/>
  <c r="AE77" i="8"/>
  <c r="AE53" i="8"/>
  <c r="AE21" i="8"/>
  <c r="O37" i="8"/>
  <c r="O261" i="8"/>
  <c r="O29" i="8"/>
  <c r="O253" i="8"/>
  <c r="O237" i="8"/>
  <c r="O269" i="8"/>
  <c r="O245" i="8"/>
  <c r="O221" i="8"/>
  <c r="O205" i="8"/>
  <c r="O189" i="8"/>
  <c r="O173" i="8"/>
  <c r="O157" i="8"/>
  <c r="O229" i="8"/>
  <c r="O213" i="8"/>
  <c r="O181" i="8"/>
  <c r="O149" i="8"/>
  <c r="O133" i="8"/>
  <c r="O117" i="8"/>
  <c r="O101" i="8"/>
  <c r="O85" i="8"/>
  <c r="O125" i="8"/>
  <c r="O93" i="8"/>
  <c r="O61" i="8"/>
  <c r="O45" i="8"/>
  <c r="O165" i="8"/>
  <c r="O141" i="8"/>
  <c r="O109" i="8"/>
  <c r="O77" i="8"/>
  <c r="O69" i="8"/>
  <c r="O53" i="8"/>
  <c r="O21" i="8"/>
  <c r="O197" i="8"/>
  <c r="O13" i="8"/>
  <c r="BG37" i="8"/>
  <c r="BG261" i="8"/>
  <c r="BG29" i="8"/>
  <c r="BG253" i="8"/>
  <c r="BG237" i="8"/>
  <c r="BG221" i="8"/>
  <c r="BG269" i="8"/>
  <c r="BG229" i="8"/>
  <c r="BG205" i="8"/>
  <c r="BG189" i="8"/>
  <c r="BG173" i="8"/>
  <c r="BG157" i="8"/>
  <c r="BG141" i="8"/>
  <c r="BG245" i="8"/>
  <c r="BG197" i="8"/>
  <c r="BG165" i="8"/>
  <c r="BG133" i="8"/>
  <c r="BG117" i="8"/>
  <c r="BG101" i="8"/>
  <c r="BG85" i="8"/>
  <c r="BG69" i="8"/>
  <c r="BG213" i="8"/>
  <c r="BG181" i="8"/>
  <c r="BG149" i="8"/>
  <c r="BG61" i="8"/>
  <c r="BG45" i="8"/>
  <c r="BG13" i="8"/>
  <c r="BG125" i="8"/>
  <c r="BG93" i="8"/>
  <c r="BG77" i="8"/>
  <c r="BG53" i="8"/>
  <c r="BG21" i="8"/>
  <c r="BG109" i="8"/>
  <c r="BF269" i="8"/>
  <c r="BF29" i="8"/>
  <c r="BF261" i="8"/>
  <c r="BF245" i="8"/>
  <c r="BF229" i="8"/>
  <c r="BF37" i="8"/>
  <c r="BF253" i="8"/>
  <c r="BF237" i="8"/>
  <c r="BF221" i="8"/>
  <c r="BF213" i="8"/>
  <c r="BF197" i="8"/>
  <c r="BF181" i="8"/>
  <c r="BF165" i="8"/>
  <c r="BF149" i="8"/>
  <c r="BF205" i="8"/>
  <c r="BF189" i="8"/>
  <c r="BF173" i="8"/>
  <c r="BF157" i="8"/>
  <c r="BF141" i="8"/>
  <c r="BF125" i="8"/>
  <c r="BF109" i="8"/>
  <c r="BF93" i="8"/>
  <c r="BF77" i="8"/>
  <c r="BF133" i="8"/>
  <c r="BF117" i="8"/>
  <c r="BF101" i="8"/>
  <c r="BF85" i="8"/>
  <c r="BF69" i="8"/>
  <c r="BF61" i="8"/>
  <c r="BF45" i="8"/>
  <c r="BF21" i="8"/>
  <c r="BF13" i="8"/>
  <c r="BF53" i="8"/>
  <c r="AK29" i="8"/>
  <c r="AK269" i="8"/>
  <c r="AK37" i="8"/>
  <c r="AK261" i="8"/>
  <c r="AK245" i="8"/>
  <c r="AK229" i="8"/>
  <c r="AK253" i="8"/>
  <c r="AK213" i="8"/>
  <c r="AK197" i="8"/>
  <c r="AK181" i="8"/>
  <c r="AK165" i="8"/>
  <c r="AK149" i="8"/>
  <c r="AK141" i="8"/>
  <c r="AK221" i="8"/>
  <c r="AK189" i="8"/>
  <c r="AK157" i="8"/>
  <c r="AK125" i="8"/>
  <c r="AK109" i="8"/>
  <c r="AK93" i="8"/>
  <c r="AK77" i="8"/>
  <c r="AK237" i="8"/>
  <c r="AK133" i="8"/>
  <c r="AK101" i="8"/>
  <c r="AK69" i="8"/>
  <c r="AK53" i="8"/>
  <c r="AK21" i="8"/>
  <c r="AK205" i="8"/>
  <c r="AK13" i="8"/>
  <c r="AK117" i="8"/>
  <c r="AK85" i="8"/>
  <c r="AK61" i="8"/>
  <c r="AK45" i="8"/>
  <c r="AK173" i="8"/>
  <c r="U29" i="8"/>
  <c r="U269" i="8"/>
  <c r="U37" i="8"/>
  <c r="U261" i="8"/>
  <c r="U245" i="8"/>
  <c r="U229" i="8"/>
  <c r="U253" i="8"/>
  <c r="U213" i="8"/>
  <c r="U197" i="8"/>
  <c r="U181" i="8"/>
  <c r="U165" i="8"/>
  <c r="U149" i="8"/>
  <c r="U221" i="8"/>
  <c r="U189" i="8"/>
  <c r="U157" i="8"/>
  <c r="U141" i="8"/>
  <c r="U125" i="8"/>
  <c r="U109" i="8"/>
  <c r="U93" i="8"/>
  <c r="U77" i="8"/>
  <c r="U237" i="8"/>
  <c r="U173" i="8"/>
  <c r="U133" i="8"/>
  <c r="U101" i="8"/>
  <c r="U69" i="8"/>
  <c r="U53" i="8"/>
  <c r="U21" i="8"/>
  <c r="U13" i="8"/>
  <c r="U205" i="8"/>
  <c r="U117" i="8"/>
  <c r="U85" i="8"/>
  <c r="U61" i="8"/>
  <c r="U45" i="8"/>
  <c r="BE29" i="8"/>
  <c r="BE269" i="8"/>
  <c r="BE37" i="8"/>
  <c r="BE245" i="8"/>
  <c r="BE229" i="8"/>
  <c r="BE253" i="8"/>
  <c r="BE221" i="8"/>
  <c r="BE261" i="8"/>
  <c r="BE213" i="8"/>
  <c r="BE197" i="8"/>
  <c r="BE181" i="8"/>
  <c r="BE165" i="8"/>
  <c r="BE149" i="8"/>
  <c r="BE237" i="8"/>
  <c r="BE189" i="8"/>
  <c r="BE157" i="8"/>
  <c r="BE125" i="8"/>
  <c r="BE109" i="8"/>
  <c r="BE93" i="8"/>
  <c r="BE77" i="8"/>
  <c r="BE205" i="8"/>
  <c r="BE173" i="8"/>
  <c r="BE141" i="8"/>
  <c r="BE53" i="8"/>
  <c r="BE21" i="8"/>
  <c r="BE133" i="8"/>
  <c r="BE101" i="8"/>
  <c r="BE69" i="8"/>
  <c r="BE117" i="8"/>
  <c r="BE85" i="8"/>
  <c r="BE13" i="8"/>
  <c r="BE61" i="8"/>
  <c r="BE45" i="8"/>
  <c r="X261" i="8"/>
  <c r="X37" i="8"/>
  <c r="X269" i="8"/>
  <c r="X253" i="8"/>
  <c r="X237" i="8"/>
  <c r="X29" i="8"/>
  <c r="X245" i="8"/>
  <c r="X229" i="8"/>
  <c r="X221" i="8"/>
  <c r="X205" i="8"/>
  <c r="X189" i="8"/>
  <c r="X173" i="8"/>
  <c r="X157" i="8"/>
  <c r="X213" i="8"/>
  <c r="X197" i="8"/>
  <c r="X181" i="8"/>
  <c r="X165" i="8"/>
  <c r="X149" i="8"/>
  <c r="X133" i="8"/>
  <c r="X117" i="8"/>
  <c r="X101" i="8"/>
  <c r="X85" i="8"/>
  <c r="X141" i="8"/>
  <c r="X125" i="8"/>
  <c r="X109" i="8"/>
  <c r="X93" i="8"/>
  <c r="X77" i="8"/>
  <c r="X13" i="8"/>
  <c r="X61" i="8"/>
  <c r="X69" i="8"/>
  <c r="X53" i="8"/>
  <c r="X21" i="8"/>
  <c r="X45" i="8"/>
  <c r="BA29" i="8"/>
  <c r="BA269" i="8"/>
  <c r="BA37" i="8"/>
  <c r="BA261" i="8"/>
  <c r="BA245" i="8"/>
  <c r="BA229" i="8"/>
  <c r="BA253" i="8"/>
  <c r="BA221" i="8"/>
  <c r="BA213" i="8"/>
  <c r="BA197" i="8"/>
  <c r="BA181" i="8"/>
  <c r="BA165" i="8"/>
  <c r="BA149" i="8"/>
  <c r="BA237" i="8"/>
  <c r="BA189" i="8"/>
  <c r="BA157" i="8"/>
  <c r="BA125" i="8"/>
  <c r="BA109" i="8"/>
  <c r="BA93" i="8"/>
  <c r="BA77" i="8"/>
  <c r="BA205" i="8"/>
  <c r="BA141" i="8"/>
  <c r="BA133" i="8"/>
  <c r="BA101" i="8"/>
  <c r="BA69" i="8"/>
  <c r="BA53" i="8"/>
  <c r="BA21" i="8"/>
  <c r="BA13" i="8"/>
  <c r="BA173" i="8"/>
  <c r="BA117" i="8"/>
  <c r="BA85" i="8"/>
  <c r="BA61" i="8"/>
  <c r="BA45" i="8"/>
  <c r="V269" i="8"/>
  <c r="V29" i="8"/>
  <c r="V261" i="8"/>
  <c r="V245" i="8"/>
  <c r="V229" i="8"/>
  <c r="V37" i="8"/>
  <c r="V253" i="8"/>
  <c r="V237" i="8"/>
  <c r="V213" i="8"/>
  <c r="V197" i="8"/>
  <c r="V181" i="8"/>
  <c r="V165" i="8"/>
  <c r="V149" i="8"/>
  <c r="V221" i="8"/>
  <c r="V205" i="8"/>
  <c r="V189" i="8"/>
  <c r="V173" i="8"/>
  <c r="V157" i="8"/>
  <c r="V141" i="8"/>
  <c r="V125" i="8"/>
  <c r="V109" i="8"/>
  <c r="V93" i="8"/>
  <c r="V77" i="8"/>
  <c r="V133" i="8"/>
  <c r="V117" i="8"/>
  <c r="V101" i="8"/>
  <c r="V85" i="8"/>
  <c r="V69" i="8"/>
  <c r="V53" i="8"/>
  <c r="V61" i="8"/>
  <c r="V45" i="8"/>
  <c r="V21" i="8"/>
  <c r="V13" i="8"/>
  <c r="BM29" i="8"/>
  <c r="BM269" i="8"/>
  <c r="BM37" i="8"/>
  <c r="BM261" i="8"/>
  <c r="BM245" i="8"/>
  <c r="BM229" i="8"/>
  <c r="BM237" i="8"/>
  <c r="BM213" i="8"/>
  <c r="BM197" i="8"/>
  <c r="BM181" i="8"/>
  <c r="BM165" i="8"/>
  <c r="BM149" i="8"/>
  <c r="BM253" i="8"/>
  <c r="BM221" i="8"/>
  <c r="BM205" i="8"/>
  <c r="BM173" i="8"/>
  <c r="BM141" i="8"/>
  <c r="BM125" i="8"/>
  <c r="BM109" i="8"/>
  <c r="BM93" i="8"/>
  <c r="BM77" i="8"/>
  <c r="BM189" i="8"/>
  <c r="BM157" i="8"/>
  <c r="BM53" i="8"/>
  <c r="BM21" i="8"/>
  <c r="BM85" i="8"/>
  <c r="BM133" i="8"/>
  <c r="BM101" i="8"/>
  <c r="BM69" i="8"/>
  <c r="BM13" i="8"/>
  <c r="BM61" i="8"/>
  <c r="BM45" i="8"/>
  <c r="BM117" i="8"/>
  <c r="T261" i="8"/>
  <c r="T37" i="8"/>
  <c r="T269" i="8"/>
  <c r="T253" i="8"/>
  <c r="T237" i="8"/>
  <c r="T29" i="8"/>
  <c r="T245" i="8"/>
  <c r="T229" i="8"/>
  <c r="T221" i="8"/>
  <c r="T205" i="8"/>
  <c r="T189" i="8"/>
  <c r="T173" i="8"/>
  <c r="T157" i="8"/>
  <c r="T213" i="8"/>
  <c r="T197" i="8"/>
  <c r="T181" i="8"/>
  <c r="T165" i="8"/>
  <c r="T149" i="8"/>
  <c r="T133" i="8"/>
  <c r="T117" i="8"/>
  <c r="T101" i="8"/>
  <c r="T85" i="8"/>
  <c r="T141" i="8"/>
  <c r="T125" i="8"/>
  <c r="T109" i="8"/>
  <c r="T93" i="8"/>
  <c r="T77" i="8"/>
  <c r="T13" i="8"/>
  <c r="T45" i="8"/>
  <c r="T69" i="8"/>
  <c r="T53" i="8"/>
  <c r="T21" i="8"/>
  <c r="T61" i="8"/>
  <c r="I261" i="8"/>
  <c r="I229" i="8"/>
  <c r="I197" i="8"/>
  <c r="I165" i="8"/>
  <c r="I133" i="8"/>
  <c r="G81" i="14" s="1" a="1"/>
  <c r="G81" i="14" s="1"/>
  <c r="I101" i="8"/>
  <c r="G61" i="14" s="1" a="1"/>
  <c r="G61" i="14" s="1"/>
  <c r="I69" i="8"/>
  <c r="G41" i="14" s="1" a="1"/>
  <c r="G41" i="14" s="1"/>
  <c r="I21" i="8"/>
  <c r="G11" i="14" s="1" a="1"/>
  <c r="G11" i="14" s="1"/>
  <c r="I189" i="8"/>
  <c r="I61" i="8"/>
  <c r="G36" i="14" s="1" a="1"/>
  <c r="G36" i="14" s="1"/>
  <c r="I37" i="8"/>
  <c r="G21" i="14" s="1" a="1"/>
  <c r="G21" i="14" s="1"/>
  <c r="I269" i="8"/>
  <c r="I237" i="8"/>
  <c r="I205" i="8"/>
  <c r="I173" i="8"/>
  <c r="I141" i="8"/>
  <c r="G86" i="14" s="1" a="1"/>
  <c r="G86" i="14" s="1"/>
  <c r="I109" i="8"/>
  <c r="G66" i="14" s="1" a="1"/>
  <c r="G66" i="14" s="1"/>
  <c r="I77" i="8"/>
  <c r="G46" i="14" s="1" a="1"/>
  <c r="G46" i="14" s="1"/>
  <c r="I45" i="8"/>
  <c r="G26" i="14" s="1" a="1"/>
  <c r="G26" i="14" s="1"/>
  <c r="I125" i="8"/>
  <c r="G76" i="14" s="1" a="1"/>
  <c r="G76" i="14" s="1"/>
  <c r="I29" i="8"/>
  <c r="G16" i="14" s="1" a="1"/>
  <c r="G16" i="14" s="1"/>
  <c r="I245" i="8"/>
  <c r="I213" i="8"/>
  <c r="I181" i="8"/>
  <c r="I149" i="8"/>
  <c r="I117" i="8"/>
  <c r="G71" i="14" s="1" a="1"/>
  <c r="G71" i="14" s="1"/>
  <c r="I85" i="8"/>
  <c r="G51" i="14" s="1" a="1"/>
  <c r="G51" i="14" s="1"/>
  <c r="I53" i="8"/>
  <c r="G31" i="14" s="1" a="1"/>
  <c r="G31" i="14" s="1"/>
  <c r="I253" i="8"/>
  <c r="I221" i="8"/>
  <c r="I157" i="8"/>
  <c r="I93" i="8"/>
  <c r="G56" i="14" s="1" a="1"/>
  <c r="G56" i="14" s="1"/>
  <c r="H13" i="8"/>
  <c r="H21" i="8"/>
  <c r="C19" i="21" a="1"/>
  <c r="C19" i="21" s="1"/>
  <c r="C3" i="21" s="1" a="1"/>
  <c r="C3" i="21" s="1"/>
  <c r="H245" i="8"/>
  <c r="H213" i="8"/>
  <c r="H181" i="8"/>
  <c r="H149" i="8"/>
  <c r="H117" i="8"/>
  <c r="H85" i="8"/>
  <c r="H53" i="8"/>
  <c r="H221" i="8"/>
  <c r="H189" i="8"/>
  <c r="H157" i="8"/>
  <c r="H93" i="8"/>
  <c r="H29" i="8"/>
  <c r="H269" i="8"/>
  <c r="H237" i="8"/>
  <c r="H205" i="8"/>
  <c r="H173" i="8"/>
  <c r="H141" i="8"/>
  <c r="H109" i="8"/>
  <c r="H77" i="8"/>
  <c r="H45" i="8"/>
  <c r="H37" i="8"/>
  <c r="H261" i="8"/>
  <c r="H229" i="8"/>
  <c r="H197" i="8"/>
  <c r="H165" i="8"/>
  <c r="H133" i="8"/>
  <c r="H101" i="8"/>
  <c r="H69" i="8"/>
  <c r="H253" i="8"/>
  <c r="H125" i="8"/>
  <c r="H61" i="8"/>
  <c r="AL95" i="8"/>
  <c r="AL97" i="8" s="1"/>
  <c r="AL98" i="8" s="1"/>
  <c r="AL103" i="8" s="1"/>
  <c r="O95" i="8"/>
  <c r="O97" i="8" s="1"/>
  <c r="O98" i="8" s="1"/>
  <c r="O103" i="8" s="1"/>
  <c r="AB95" i="8"/>
  <c r="AB97" i="8" s="1"/>
  <c r="AB98" i="8" s="1"/>
  <c r="AB103" i="8" s="1"/>
  <c r="AV79" i="8"/>
  <c r="AV82" i="8" s="1"/>
  <c r="AF95" i="8"/>
  <c r="AF97" i="8" s="1"/>
  <c r="AF98" i="8" s="1"/>
  <c r="AF103" i="8" s="1"/>
  <c r="AE79" i="8"/>
  <c r="AE82" i="8" s="1"/>
  <c r="T95" i="8"/>
  <c r="T97" i="8" s="1"/>
  <c r="T98" i="8" s="1"/>
  <c r="T103" i="8" s="1"/>
  <c r="T105" i="8" s="1"/>
  <c r="T106" i="8" s="1"/>
  <c r="T111" i="8" s="1"/>
  <c r="AM95" i="8"/>
  <c r="AM97" i="8" s="1"/>
  <c r="AM98" i="8" s="1"/>
  <c r="AM103" i="8" s="1"/>
  <c r="X95" i="8"/>
  <c r="X97" i="8" s="1"/>
  <c r="X98" i="8" s="1"/>
  <c r="X103" i="8" s="1"/>
  <c r="W95" i="8"/>
  <c r="W97" i="8" s="1"/>
  <c r="W98" i="8" s="1"/>
  <c r="W103" i="8" s="1"/>
  <c r="M95" i="8"/>
  <c r="M97" i="8" s="1"/>
  <c r="M98" i="8" s="1"/>
  <c r="M103" i="8" s="1"/>
  <c r="U95" i="8"/>
  <c r="U97" i="8" s="1"/>
  <c r="U98" i="8" s="1"/>
  <c r="U103" i="8" s="1"/>
  <c r="AU95" i="8"/>
  <c r="AU97" i="8" s="1"/>
  <c r="AU98" i="8" s="1"/>
  <c r="AU103" i="8" s="1"/>
  <c r="AY71" i="8"/>
  <c r="AY73" i="8" s="1"/>
  <c r="AY74" i="8" s="1"/>
  <c r="BL111" i="8"/>
  <c r="BL113" i="8" s="1"/>
  <c r="BL114" i="8" s="1"/>
  <c r="BL119" i="8" s="1"/>
  <c r="AT95" i="8"/>
  <c r="AT98" i="8" s="1"/>
  <c r="AT103" i="8" s="1"/>
  <c r="AT105" i="8" s="1"/>
  <c r="AT106" i="8" s="1"/>
  <c r="AT111" i="8" s="1"/>
  <c r="AJ95" i="8"/>
  <c r="AJ97" i="8" s="1"/>
  <c r="AJ98" i="8" s="1"/>
  <c r="AJ103" i="8" s="1"/>
  <c r="Z95" i="8"/>
  <c r="Z97" i="8" s="1"/>
  <c r="Z98" i="8" s="1"/>
  <c r="Z103" i="8" s="1"/>
  <c r="AW95" i="8"/>
  <c r="AW97" i="8" s="1"/>
  <c r="AW98" i="8" s="1"/>
  <c r="AW103" i="8" s="1"/>
  <c r="AG95" i="8"/>
  <c r="AG97" i="8" s="1"/>
  <c r="AG98" i="8" s="1"/>
  <c r="AG103" i="8" s="1"/>
  <c r="N95" i="8"/>
  <c r="N97" i="8" s="1"/>
  <c r="N98" i="8" s="1"/>
  <c r="N103" i="8" s="1"/>
  <c r="R95" i="8"/>
  <c r="R97" i="8" s="1"/>
  <c r="R98" i="8" s="1"/>
  <c r="R103" i="8" s="1"/>
  <c r="AH95" i="8"/>
  <c r="AH97" i="8" s="1"/>
  <c r="AH98" i="8" s="1"/>
  <c r="AH103" i="8" s="1"/>
  <c r="BB103" i="8"/>
  <c r="BB106" i="8" s="1"/>
  <c r="BB111" i="8" s="1"/>
  <c r="BB114" i="8" s="1"/>
  <c r="BB119" i="8" s="1"/>
  <c r="AP95" i="8"/>
  <c r="AP97" i="8" s="1"/>
  <c r="AP98" i="8" s="1"/>
  <c r="AP103" i="8" s="1"/>
  <c r="AP105" i="8" s="1"/>
  <c r="AP106" i="8" s="1"/>
  <c r="AP111" i="8" s="1"/>
  <c r="AD95" i="8"/>
  <c r="AD97" i="8" s="1"/>
  <c r="AD98" i="8" s="1"/>
  <c r="AD103" i="8" s="1"/>
  <c r="AO95" i="8"/>
  <c r="AO98" i="8" s="1"/>
  <c r="AO103" i="8" s="1"/>
  <c r="AO105" i="8" s="1"/>
  <c r="S95" i="8"/>
  <c r="S97" i="8" s="1"/>
  <c r="S98" i="8" s="1"/>
  <c r="S103" i="8" s="1"/>
  <c r="Q95" i="8"/>
  <c r="Q97" i="8" s="1"/>
  <c r="Q98" i="8" s="1"/>
  <c r="Q103" i="8" s="1"/>
  <c r="L95" i="8"/>
  <c r="L97" i="8" s="1"/>
  <c r="L98" i="8" s="1"/>
  <c r="L103" i="8" s="1"/>
  <c r="AA95" i="8"/>
  <c r="AA97" i="8" s="1"/>
  <c r="AA98" i="8" s="1"/>
  <c r="AA103" i="8" s="1"/>
  <c r="AC71" i="8"/>
  <c r="AC73" i="8" s="1"/>
  <c r="AC74" i="8" s="1"/>
  <c r="V95" i="8"/>
  <c r="V97" i="8" s="1"/>
  <c r="V98" i="8" s="1"/>
  <c r="V103" i="8" s="1"/>
  <c r="AS95" i="8"/>
  <c r="AS97" i="8" s="1"/>
  <c r="AS98" i="8" s="1"/>
  <c r="AS103" i="8" s="1"/>
  <c r="BM87" i="8"/>
  <c r="BM89" i="8" s="1"/>
  <c r="BM90" i="8" s="1"/>
  <c r="BH103" i="8"/>
  <c r="BH106" i="8" s="1"/>
  <c r="BH111" i="8" s="1"/>
  <c r="BH114" i="8" s="1"/>
  <c r="BH119" i="8" s="1"/>
  <c r="AK95" i="8"/>
  <c r="AK97" i="8" s="1"/>
  <c r="AK98" i="8" s="1"/>
  <c r="AK103" i="8" s="1"/>
  <c r="AN79" i="8"/>
  <c r="AN81" i="8" s="1"/>
  <c r="AN82" i="8" s="1"/>
  <c r="AN87" i="8" s="1"/>
  <c r="AN89" i="8" s="1"/>
  <c r="AN90" i="8" s="1"/>
  <c r="BN103" i="8"/>
  <c r="BN106" i="8" s="1"/>
  <c r="BN111" i="8" s="1"/>
  <c r="BN114" i="8" s="1"/>
  <c r="BN119" i="8" s="1"/>
  <c r="AI79" i="8"/>
  <c r="AI81" i="8" s="1"/>
  <c r="AI82" i="8" s="1"/>
  <c r="AI87" i="8" s="1"/>
  <c r="AI89" i="8" s="1"/>
  <c r="AI90" i="8" s="1"/>
  <c r="Y79" i="8"/>
  <c r="Y82" i="8" s="1"/>
  <c r="K95" i="8"/>
  <c r="K97" i="8" s="1"/>
  <c r="K98" i="8" s="1"/>
  <c r="K103" i="8" s="1"/>
  <c r="J95" i="8"/>
  <c r="J97" i="8" s="1"/>
  <c r="J98" i="8" s="1"/>
  <c r="J103" i="8" s="1"/>
  <c r="I95" i="8"/>
  <c r="I97" i="8" s="1"/>
  <c r="I98" i="8" s="1"/>
  <c r="I103" i="8" s="1"/>
  <c r="F16" i="14" a="1"/>
  <c r="F16" i="14" s="1"/>
  <c r="R19" i="14"/>
  <c r="Q19" i="14"/>
  <c r="BD14" i="14"/>
  <c r="BD15" i="14" s="1"/>
  <c r="W14" i="14"/>
  <c r="W15" i="14" s="1"/>
  <c r="BE14" i="14"/>
  <c r="BE15" i="14" s="1"/>
  <c r="AT14" i="14"/>
  <c r="AT15" i="14" s="1"/>
  <c r="AX14" i="14"/>
  <c r="AX15" i="14" s="1"/>
  <c r="L14" i="14"/>
  <c r="L15" i="14" s="1"/>
  <c r="AI14" i="14"/>
  <c r="AI15" i="14" s="1"/>
  <c r="AC14" i="14"/>
  <c r="AC15" i="14" s="1"/>
  <c r="X14" i="14"/>
  <c r="X15" i="14" s="1"/>
  <c r="AP14" i="14"/>
  <c r="AP15" i="14" s="1"/>
  <c r="Z14" i="14"/>
  <c r="Z15" i="14" s="1"/>
  <c r="AW14" i="14"/>
  <c r="AW15" i="14" s="1"/>
  <c r="AJ14" i="14"/>
  <c r="AJ15" i="14" s="1"/>
  <c r="AF14" i="14"/>
  <c r="AF15" i="14" s="1"/>
  <c r="AD14" i="14"/>
  <c r="AD15" i="14" s="1"/>
  <c r="AR14" i="14"/>
  <c r="AR15" i="14" s="1"/>
  <c r="BL14" i="14"/>
  <c r="BL15" i="14" s="1"/>
  <c r="O14" i="14"/>
  <c r="O15" i="14" s="1"/>
  <c r="BB14" i="14"/>
  <c r="BB15" i="14" s="1"/>
  <c r="AV14" i="14"/>
  <c r="AV15" i="14" s="1"/>
  <c r="P14" i="14"/>
  <c r="P15" i="14" s="1"/>
  <c r="BC14" i="14"/>
  <c r="BC15" i="14" s="1"/>
  <c r="AL14" i="14"/>
  <c r="AL15" i="14" s="1"/>
  <c r="AO14" i="14"/>
  <c r="AO15" i="14" s="1"/>
  <c r="I14" i="14"/>
  <c r="I15" i="14" s="1"/>
  <c r="AB14" i="14"/>
  <c r="AB15" i="14" s="1"/>
  <c r="AM14" i="14"/>
  <c r="AM15" i="14" s="1"/>
  <c r="AK14" i="14"/>
  <c r="AK15" i="14" s="1"/>
  <c r="BK14" i="14"/>
  <c r="BK15" i="14" s="1"/>
  <c r="N14" i="14"/>
  <c r="N15" i="14" s="1"/>
  <c r="Y14" i="14"/>
  <c r="Y15" i="14" s="1"/>
  <c r="AZ14" i="14"/>
  <c r="AZ15" i="14" s="1"/>
  <c r="S14" i="14"/>
  <c r="S15" i="14" s="1"/>
  <c r="BJ14" i="14"/>
  <c r="BJ15" i="14" s="1"/>
  <c r="BA14" i="14"/>
  <c r="BA15" i="14" s="1"/>
  <c r="BG14" i="14"/>
  <c r="BG15" i="14" s="1"/>
  <c r="U14" i="14"/>
  <c r="U15" i="14" s="1"/>
  <c r="AE14" i="14"/>
  <c r="AE15" i="14" s="1"/>
  <c r="BH14" i="14"/>
  <c r="BH15" i="14" s="1"/>
  <c r="AQ14" i="14"/>
  <c r="AQ15" i="14" s="1"/>
  <c r="AA14" i="14"/>
  <c r="AA15" i="14" s="1"/>
  <c r="M14" i="14"/>
  <c r="M15" i="14" s="1"/>
  <c r="AN14" i="14"/>
  <c r="AN15" i="14" s="1"/>
  <c r="AY14" i="14"/>
  <c r="AY15" i="14" s="1"/>
  <c r="BF14" i="14"/>
  <c r="BF15" i="14" s="1"/>
  <c r="AG14" i="14"/>
  <c r="AG15" i="14" s="1"/>
  <c r="BI14" i="14"/>
  <c r="BI15" i="14" s="1"/>
  <c r="BE97" i="8"/>
  <c r="BE98" i="8" s="1"/>
  <c r="AQ89" i="8"/>
  <c r="AQ90" i="8" s="1"/>
  <c r="P34" i="8"/>
  <c r="P39" i="8" s="1"/>
  <c r="BI105" i="8"/>
  <c r="BI106" i="8" s="1"/>
  <c r="BI111" i="8" s="1"/>
  <c r="BA89" i="8"/>
  <c r="BA90" i="8" s="1"/>
  <c r="F36" i="8"/>
  <c r="G35" i="21" s="1" a="1"/>
  <c r="G35" i="21" s="1"/>
  <c r="G36" i="8"/>
  <c r="AQ28" i="8"/>
  <c r="G28" i="8"/>
  <c r="F28" i="8"/>
  <c r="E20" i="8"/>
  <c r="AN36" i="8"/>
  <c r="AR36" i="8"/>
  <c r="BN36" i="8"/>
  <c r="BJ36" i="8"/>
  <c r="BF36" i="8"/>
  <c r="BB36" i="8"/>
  <c r="AX36" i="8"/>
  <c r="AL36" i="8"/>
  <c r="AG36" i="8"/>
  <c r="AC36" i="8"/>
  <c r="Y36" i="8"/>
  <c r="U36" i="8"/>
  <c r="Q36" i="8"/>
  <c r="M36" i="8"/>
  <c r="I36" i="8"/>
  <c r="BK36" i="8"/>
  <c r="AY36" i="8"/>
  <c r="AD36" i="8"/>
  <c r="V36" i="8"/>
  <c r="J36" i="8"/>
  <c r="AQ36" i="8"/>
  <c r="BM36" i="8"/>
  <c r="BI36" i="8"/>
  <c r="BE36" i="8"/>
  <c r="BA36" i="8"/>
  <c r="AW36" i="8"/>
  <c r="AK36" i="8"/>
  <c r="AF36" i="8"/>
  <c r="AB36" i="8"/>
  <c r="X36" i="8"/>
  <c r="T36" i="8"/>
  <c r="P36" i="8"/>
  <c r="L36" i="8"/>
  <c r="AP36" i="8"/>
  <c r="BC36" i="8"/>
  <c r="AH36" i="8"/>
  <c r="R36" i="8"/>
  <c r="AV36" i="8"/>
  <c r="AS36" i="8"/>
  <c r="BL36" i="8"/>
  <c r="BH36" i="8"/>
  <c r="BD36" i="8"/>
  <c r="AZ36" i="8"/>
  <c r="AU36" i="8"/>
  <c r="AJ36" i="8"/>
  <c r="AE36" i="8"/>
  <c r="AA36" i="8"/>
  <c r="W36" i="8"/>
  <c r="S36" i="8"/>
  <c r="O36" i="8"/>
  <c r="K36" i="8"/>
  <c r="AO36" i="8"/>
  <c r="BG36" i="8"/>
  <c r="AT36" i="8"/>
  <c r="Z36" i="8"/>
  <c r="N36" i="8"/>
  <c r="J12" i="5"/>
  <c r="G12" i="5" s="1"/>
  <c r="H13" i="5" s="1"/>
  <c r="BH19" i="14"/>
  <c r="AZ19" i="14"/>
  <c r="AQ19" i="14"/>
  <c r="AG19" i="14"/>
  <c r="Y19" i="14"/>
  <c r="Q9" i="14"/>
  <c r="BA19" i="14"/>
  <c r="BA20" i="14" s="1"/>
  <c r="AY19" i="14"/>
  <c r="X19" i="14"/>
  <c r="R9" i="14"/>
  <c r="BF19" i="14"/>
  <c r="AX19" i="14"/>
  <c r="AN19" i="14"/>
  <c r="AE19" i="14"/>
  <c r="W19" i="14"/>
  <c r="O19" i="14"/>
  <c r="AH19" i="14"/>
  <c r="AR19" i="14"/>
  <c r="AP19" i="14"/>
  <c r="BE19" i="14"/>
  <c r="AW19" i="14"/>
  <c r="AM19" i="14"/>
  <c r="AD19" i="14"/>
  <c r="V19" i="14"/>
  <c r="N19" i="14"/>
  <c r="BL19" i="14"/>
  <c r="BD19" i="14"/>
  <c r="AV19" i="14"/>
  <c r="AL19" i="14"/>
  <c r="AC19" i="14"/>
  <c r="U19" i="14"/>
  <c r="M19" i="14"/>
  <c r="AT19" i="14"/>
  <c r="Z19" i="14"/>
  <c r="BG19" i="14"/>
  <c r="P19" i="14"/>
  <c r="AK19" i="14"/>
  <c r="BI19" i="14"/>
  <c r="AF19" i="14"/>
  <c r="BK19" i="14"/>
  <c r="BC19" i="14"/>
  <c r="AU19" i="14"/>
  <c r="AJ19" i="14"/>
  <c r="AB19" i="14"/>
  <c r="T19" i="14"/>
  <c r="L19" i="14"/>
  <c r="BJ19" i="14"/>
  <c r="BB19" i="14"/>
  <c r="AS19" i="14"/>
  <c r="AI19" i="14"/>
  <c r="AA19" i="14"/>
  <c r="S19" i="14"/>
  <c r="BH10" i="14"/>
  <c r="S10" i="14"/>
  <c r="AA10" i="14"/>
  <c r="AI10" i="14"/>
  <c r="AM10" i="14"/>
  <c r="AQ10" i="14"/>
  <c r="BK10" i="14"/>
  <c r="BG10" i="14"/>
  <c r="BC10" i="14"/>
  <c r="AY10" i="14"/>
  <c r="J10" i="14"/>
  <c r="J19" i="14" s="1"/>
  <c r="N10" i="14"/>
  <c r="T10" i="14"/>
  <c r="X10" i="14"/>
  <c r="AB10" i="14"/>
  <c r="AF10" i="14"/>
  <c r="AJ10" i="14"/>
  <c r="AN10" i="14"/>
  <c r="AR10" i="14"/>
  <c r="AV10" i="14"/>
  <c r="AZ10" i="14"/>
  <c r="I10" i="14"/>
  <c r="I19" i="14" s="1"/>
  <c r="AE10" i="14"/>
  <c r="BJ10" i="14"/>
  <c r="G10" i="14"/>
  <c r="G19" i="14" s="1"/>
  <c r="O10" i="14"/>
  <c r="AC10" i="14"/>
  <c r="AO10" i="14"/>
  <c r="AW10" i="14"/>
  <c r="BL10" i="14"/>
  <c r="BD10" i="14"/>
  <c r="M10" i="14"/>
  <c r="W10" i="14"/>
  <c r="AU10" i="14"/>
  <c r="BF10" i="14"/>
  <c r="BB10" i="14"/>
  <c r="AX10" i="14"/>
  <c r="K10" i="14"/>
  <c r="K19" i="14" s="1"/>
  <c r="U10" i="14"/>
  <c r="Y10" i="14"/>
  <c r="AG10" i="14"/>
  <c r="AK10" i="14"/>
  <c r="AS10" i="14"/>
  <c r="BI10" i="14"/>
  <c r="BE10" i="14"/>
  <c r="BA10" i="14"/>
  <c r="H10" i="14"/>
  <c r="H19" i="14" s="1"/>
  <c r="L10" i="14"/>
  <c r="P10" i="14"/>
  <c r="V10" i="14"/>
  <c r="Z10" i="14"/>
  <c r="AD10" i="14"/>
  <c r="AH10" i="14"/>
  <c r="AL10" i="14"/>
  <c r="AP10" i="14"/>
  <c r="AT10" i="14"/>
  <c r="AZ98" i="8"/>
  <c r="AZ103" i="8" s="1"/>
  <c r="I12" i="6"/>
  <c r="K14" i="5" s="1"/>
  <c r="J11" i="6"/>
  <c r="J13" i="5" s="1"/>
  <c r="BD113" i="8"/>
  <c r="BD114" i="8" s="1"/>
  <c r="BJ113" i="8"/>
  <c r="BJ114" i="8" s="1"/>
  <c r="BJ119" i="8" s="1"/>
  <c r="AX97" i="8"/>
  <c r="AX98" i="8" s="1"/>
  <c r="AX103" i="8" s="1"/>
  <c r="BK106" i="8"/>
  <c r="BK111" i="8" s="1"/>
  <c r="BC105" i="8"/>
  <c r="BC106" i="8" s="1"/>
  <c r="BC111" i="8" s="1"/>
  <c r="AI36" i="8"/>
  <c r="AM36" i="8"/>
  <c r="H36" i="8"/>
  <c r="E15" i="5"/>
  <c r="C35" i="21" l="1" a="1"/>
  <c r="C35" i="21" s="1"/>
  <c r="AQ37" i="8"/>
  <c r="AQ261" i="8"/>
  <c r="AQ29" i="8"/>
  <c r="AQ253" i="8"/>
  <c r="AQ237" i="8"/>
  <c r="AQ229" i="8"/>
  <c r="AQ269" i="8"/>
  <c r="AQ221" i="8"/>
  <c r="AQ205" i="8"/>
  <c r="AQ189" i="8"/>
  <c r="AQ173" i="8"/>
  <c r="AQ157" i="8"/>
  <c r="AQ141" i="8"/>
  <c r="AQ245" i="8"/>
  <c r="AQ197" i="8"/>
  <c r="AQ165" i="8"/>
  <c r="AQ133" i="8"/>
  <c r="AQ117" i="8"/>
  <c r="AQ101" i="8"/>
  <c r="AQ85" i="8"/>
  <c r="AQ69" i="8"/>
  <c r="AQ213" i="8"/>
  <c r="AQ181" i="8"/>
  <c r="AQ149" i="8"/>
  <c r="AQ61" i="8"/>
  <c r="AQ45" i="8"/>
  <c r="AQ109" i="8"/>
  <c r="AQ77" i="8"/>
  <c r="AQ125" i="8"/>
  <c r="AQ93" i="8"/>
  <c r="AQ13" i="8"/>
  <c r="AQ53" i="8"/>
  <c r="AQ21" i="8"/>
  <c r="H15" i="8"/>
  <c r="F6" i="14" a="1"/>
  <c r="F6" i="14" s="1"/>
  <c r="G29" i="8"/>
  <c r="C28" i="21" s="1" a="1"/>
  <c r="C28" i="21" s="1"/>
  <c r="G253" i="8"/>
  <c r="C252" i="21" s="1" a="1"/>
  <c r="C252" i="21" s="1"/>
  <c r="G221" i="8"/>
  <c r="C220" i="21" s="1" a="1"/>
  <c r="C220" i="21" s="1"/>
  <c r="G189" i="8"/>
  <c r="C188" i="21" s="1" a="1"/>
  <c r="C188" i="21" s="1"/>
  <c r="G157" i="8"/>
  <c r="C156" i="21" s="1" a="1"/>
  <c r="C156" i="21" s="1"/>
  <c r="G125" i="8"/>
  <c r="C124" i="21" s="1" a="1"/>
  <c r="C124" i="21" s="1"/>
  <c r="G93" i="8"/>
  <c r="C92" i="21" s="1" a="1"/>
  <c r="C92" i="21" s="1"/>
  <c r="G61" i="8"/>
  <c r="C60" i="21" s="1" a="1"/>
  <c r="C60" i="21" s="1"/>
  <c r="G261" i="8"/>
  <c r="C260" i="21" s="1" a="1"/>
  <c r="C260" i="21" s="1"/>
  <c r="G133" i="8"/>
  <c r="C132" i="21" s="1" a="1"/>
  <c r="C132" i="21" s="1"/>
  <c r="G69" i="8"/>
  <c r="C68" i="21" s="1" a="1"/>
  <c r="C68" i="21" s="1"/>
  <c r="G37" i="8"/>
  <c r="C36" i="21" s="1" a="1"/>
  <c r="C36" i="21" s="1"/>
  <c r="G245" i="8"/>
  <c r="C244" i="21" s="1" a="1"/>
  <c r="C244" i="21" s="1"/>
  <c r="G213" i="8"/>
  <c r="C212" i="21" s="1" a="1"/>
  <c r="C212" i="21" s="1"/>
  <c r="G181" i="8"/>
  <c r="C180" i="21" s="1" a="1"/>
  <c r="C180" i="21" s="1"/>
  <c r="G149" i="8"/>
  <c r="C148" i="21" s="1" a="1"/>
  <c r="C148" i="21" s="1"/>
  <c r="G117" i="8"/>
  <c r="C116" i="21" s="1" a="1"/>
  <c r="C116" i="21" s="1"/>
  <c r="G85" i="8"/>
  <c r="C84" i="21" s="1" a="1"/>
  <c r="C84" i="21" s="1"/>
  <c r="G53" i="8"/>
  <c r="C52" i="21" s="1" a="1"/>
  <c r="C52" i="21" s="1"/>
  <c r="G197" i="8"/>
  <c r="C196" i="21" s="1" a="1"/>
  <c r="C196" i="21" s="1"/>
  <c r="G101" i="8"/>
  <c r="C100" i="21" s="1" a="1"/>
  <c r="C100" i="21" s="1"/>
  <c r="G269" i="8"/>
  <c r="C268" i="21" s="1" a="1"/>
  <c r="C268" i="21" s="1"/>
  <c r="G237" i="8"/>
  <c r="C236" i="21" s="1" a="1"/>
  <c r="C236" i="21" s="1"/>
  <c r="G205" i="8"/>
  <c r="C204" i="21" s="1" a="1"/>
  <c r="C204" i="21" s="1"/>
  <c r="G173" i="8"/>
  <c r="C172" i="21" s="1" a="1"/>
  <c r="C172" i="21" s="1"/>
  <c r="G141" i="8"/>
  <c r="C140" i="21" s="1" a="1"/>
  <c r="C140" i="21" s="1"/>
  <c r="G109" i="8"/>
  <c r="C108" i="21" s="1" a="1"/>
  <c r="C108" i="21" s="1"/>
  <c r="G77" i="8"/>
  <c r="C76" i="21" s="1" a="1"/>
  <c r="C76" i="21" s="1"/>
  <c r="G45" i="8"/>
  <c r="C44" i="21" s="1" a="1"/>
  <c r="C44" i="21" s="1"/>
  <c r="G229" i="8"/>
  <c r="C228" i="21" s="1" a="1"/>
  <c r="C228" i="21" s="1"/>
  <c r="G165" i="8"/>
  <c r="C164" i="21" s="1" a="1"/>
  <c r="C164" i="21" s="1"/>
  <c r="G21" i="8"/>
  <c r="C27" i="21" a="1"/>
  <c r="C27" i="21" s="1"/>
  <c r="F13" i="8"/>
  <c r="G27" i="21" a="1"/>
  <c r="G27" i="21" s="1"/>
  <c r="AI95" i="8"/>
  <c r="AI97" i="8" s="1"/>
  <c r="AI98" i="8" s="1"/>
  <c r="AI103" i="8" s="1"/>
  <c r="AI105" i="8" s="1"/>
  <c r="AI106" i="8" s="1"/>
  <c r="AI111" i="8" s="1"/>
  <c r="AI113" i="8" s="1"/>
  <c r="AI114" i="8" s="1"/>
  <c r="AI119" i="8" s="1"/>
  <c r="AC79" i="8"/>
  <c r="AC81" i="8" s="1"/>
  <c r="AC82" i="8" s="1"/>
  <c r="AC87" i="8" s="1"/>
  <c r="AC89" i="8" s="1"/>
  <c r="AC90" i="8" s="1"/>
  <c r="AV87" i="8"/>
  <c r="AV90" i="8" s="1"/>
  <c r="AN95" i="8"/>
  <c r="AN97" i="8" s="1"/>
  <c r="AN98" i="8" s="1"/>
  <c r="AN103" i="8" s="1"/>
  <c r="AN105" i="8" s="1"/>
  <c r="AN106" i="8" s="1"/>
  <c r="AN111" i="8" s="1"/>
  <c r="AY79" i="8"/>
  <c r="AY81" i="8" s="1"/>
  <c r="AY82" i="8" s="1"/>
  <c r="AY87" i="8" s="1"/>
  <c r="AY89" i="8" s="1"/>
  <c r="AY90" i="8" s="1"/>
  <c r="AY95" i="8" s="1"/>
  <c r="AY97" i="8" s="1"/>
  <c r="AY98" i="8" s="1"/>
  <c r="AY103" i="8" s="1"/>
  <c r="AE87" i="8"/>
  <c r="AE90" i="8" s="1"/>
  <c r="BD119" i="8"/>
  <c r="BD122" i="8" s="1"/>
  <c r="BD127" i="8" s="1"/>
  <c r="BD129" i="8" s="1"/>
  <c r="BA95" i="8"/>
  <c r="BA97" i="8" s="1"/>
  <c r="BA98" i="8" s="1"/>
  <c r="BA103" i="8" s="1"/>
  <c r="BA105" i="8" s="1"/>
  <c r="BA106" i="8" s="1"/>
  <c r="BA111" i="8" s="1"/>
  <c r="AQ95" i="8"/>
  <c r="AQ97" i="8" s="1"/>
  <c r="AQ98" i="8" s="1"/>
  <c r="AQ103" i="8" s="1"/>
  <c r="BE103" i="8"/>
  <c r="BE105" i="8" s="1"/>
  <c r="BE106" i="8" s="1"/>
  <c r="BE111" i="8" s="1"/>
  <c r="Y87" i="8"/>
  <c r="Y89" i="8" s="1"/>
  <c r="Y90" i="8" s="1"/>
  <c r="BM95" i="8"/>
  <c r="BM97" i="8" s="1"/>
  <c r="BM98" i="8" s="1"/>
  <c r="BM103" i="8" s="1"/>
  <c r="BM105" i="8" s="1"/>
  <c r="BM106" i="8" s="1"/>
  <c r="BM111" i="8" s="1"/>
  <c r="F19" i="14"/>
  <c r="F20" i="14" s="1"/>
  <c r="F21" i="14" a="1"/>
  <c r="F21" i="14" s="1"/>
  <c r="AO19" i="14"/>
  <c r="AO20" i="14" s="1"/>
  <c r="F11" i="14" a="1"/>
  <c r="F11" i="14" s="1"/>
  <c r="F14" i="14" s="1"/>
  <c r="F15" i="14" s="1"/>
  <c r="E16" i="14" a="1"/>
  <c r="E16" i="14" s="1"/>
  <c r="D16" i="14" s="1"/>
  <c r="BI113" i="8"/>
  <c r="BF105" i="8"/>
  <c r="BF106" i="8" s="1"/>
  <c r="BK113" i="8"/>
  <c r="BK114" i="8" s="1"/>
  <c r="BK119" i="8" s="1"/>
  <c r="T113" i="8"/>
  <c r="T114" i="8" s="1"/>
  <c r="E28" i="8"/>
  <c r="F44" i="8"/>
  <c r="G43" i="21" s="1" a="1"/>
  <c r="G43" i="21" s="1"/>
  <c r="G44" i="8"/>
  <c r="J44" i="8"/>
  <c r="R44" i="8"/>
  <c r="Z44" i="8"/>
  <c r="AH44" i="8"/>
  <c r="AP44" i="8"/>
  <c r="AX44" i="8"/>
  <c r="BF44" i="8"/>
  <c r="BN44" i="8"/>
  <c r="N44" i="8"/>
  <c r="AL44" i="8"/>
  <c r="BJ44" i="8"/>
  <c r="I44" i="8"/>
  <c r="AG44" i="8"/>
  <c r="BE44" i="8"/>
  <c r="M44" i="8"/>
  <c r="U44" i="8"/>
  <c r="AC44" i="8"/>
  <c r="AK44" i="8"/>
  <c r="AS44" i="8"/>
  <c r="BA44" i="8"/>
  <c r="BI44" i="8"/>
  <c r="V44" i="8"/>
  <c r="AT44" i="8"/>
  <c r="Y44" i="8"/>
  <c r="AW44" i="8"/>
  <c r="AD44" i="8"/>
  <c r="BB44" i="8"/>
  <c r="Q44" i="8"/>
  <c r="AO44" i="8"/>
  <c r="BM44" i="8"/>
  <c r="O44" i="8"/>
  <c r="BK44" i="8"/>
  <c r="AF44" i="8"/>
  <c r="AV44" i="8"/>
  <c r="BL44" i="8"/>
  <c r="AU44" i="8"/>
  <c r="S44" i="8"/>
  <c r="T44" i="8"/>
  <c r="BG44" i="8"/>
  <c r="AM44" i="8"/>
  <c r="BC44" i="8"/>
  <c r="AA44" i="8"/>
  <c r="H44" i="8"/>
  <c r="AJ44" i="8"/>
  <c r="AZ44" i="8"/>
  <c r="K44" i="8"/>
  <c r="AE44" i="8"/>
  <c r="BH44" i="8"/>
  <c r="AI44" i="8"/>
  <c r="P44" i="8"/>
  <c r="AN44" i="8"/>
  <c r="BD44" i="8"/>
  <c r="W44" i="8"/>
  <c r="L44" i="8"/>
  <c r="AQ44" i="8"/>
  <c r="AY44" i="8"/>
  <c r="AB44" i="8"/>
  <c r="AR44" i="8"/>
  <c r="X44" i="8"/>
  <c r="BA24" i="14"/>
  <c r="BA25" i="14" s="1"/>
  <c r="AT114" i="8"/>
  <c r="AT119" i="8" s="1"/>
  <c r="AZ20" i="14"/>
  <c r="AZ24" i="14" s="1"/>
  <c r="J20" i="14"/>
  <c r="J24" i="14" s="1"/>
  <c r="AN20" i="14"/>
  <c r="AN24" i="14" s="1"/>
  <c r="AM20" i="14"/>
  <c r="AM24" i="14" s="1"/>
  <c r="U20" i="14"/>
  <c r="U24" i="14" s="1"/>
  <c r="BD20" i="14"/>
  <c r="BD24" i="14" s="1"/>
  <c r="AB20" i="14"/>
  <c r="AB24" i="14" s="1"/>
  <c r="AP20" i="14"/>
  <c r="AP24" i="14" s="1"/>
  <c r="I20" i="14"/>
  <c r="I24" i="14" s="1"/>
  <c r="AH20" i="14"/>
  <c r="AH24" i="14" s="1"/>
  <c r="AR20" i="14"/>
  <c r="AR24" i="14" s="1"/>
  <c r="P20" i="14"/>
  <c r="P24" i="14" s="1"/>
  <c r="AE20" i="14"/>
  <c r="AE24" i="14" s="1"/>
  <c r="BH20" i="14"/>
  <c r="BH24" i="14" s="1"/>
  <c r="H20" i="14"/>
  <c r="H24" i="14" s="1"/>
  <c r="Y20" i="14"/>
  <c r="Y24" i="14" s="1"/>
  <c r="AA20" i="14"/>
  <c r="AA24" i="14" s="1"/>
  <c r="BC20" i="14"/>
  <c r="BC24" i="14" s="1"/>
  <c r="AJ20" i="14"/>
  <c r="AJ24" i="14" s="1"/>
  <c r="T20" i="14"/>
  <c r="T24" i="14" s="1"/>
  <c r="BF20" i="14"/>
  <c r="BF24" i="14" s="1"/>
  <c r="W20" i="14"/>
  <c r="W24" i="14" s="1"/>
  <c r="BJ20" i="14"/>
  <c r="BJ24" i="14" s="1"/>
  <c r="N20" i="14"/>
  <c r="N24" i="14" s="1"/>
  <c r="K20" i="14"/>
  <c r="K24" i="14" s="1"/>
  <c r="AQ20" i="14"/>
  <c r="AQ24" i="14" s="1"/>
  <c r="AS20" i="14"/>
  <c r="AS24" i="14" s="1"/>
  <c r="BL20" i="14"/>
  <c r="BL24" i="14" s="1"/>
  <c r="AC20" i="14"/>
  <c r="AC24" i="14" s="1"/>
  <c r="AW20" i="14"/>
  <c r="AW24" i="14" s="1"/>
  <c r="O20" i="14"/>
  <c r="O24" i="14" s="1"/>
  <c r="AI20" i="14"/>
  <c r="AI24" i="14" s="1"/>
  <c r="G20" i="14"/>
  <c r="G24" i="14" s="1"/>
  <c r="BG20" i="14"/>
  <c r="BG24" i="14" s="1"/>
  <c r="AG20" i="14"/>
  <c r="X20" i="14"/>
  <c r="X24" i="14" s="1"/>
  <c r="AK20" i="14"/>
  <c r="M20" i="14"/>
  <c r="M24" i="14" s="1"/>
  <c r="AV20" i="14"/>
  <c r="AV24" i="14" s="1"/>
  <c r="BI20" i="14"/>
  <c r="BI24" i="14" s="1"/>
  <c r="AU20" i="14"/>
  <c r="AU24" i="14" s="1"/>
  <c r="AD20" i="14"/>
  <c r="AD24" i="14" s="1"/>
  <c r="AF20" i="14"/>
  <c r="AF24" i="14" s="1"/>
  <c r="L20" i="14"/>
  <c r="L24" i="14" s="1"/>
  <c r="Z20" i="14"/>
  <c r="Z24" i="14" s="1"/>
  <c r="BB20" i="14"/>
  <c r="BB24" i="14" s="1"/>
  <c r="S20" i="14"/>
  <c r="S24" i="14" s="1"/>
  <c r="BK20" i="14"/>
  <c r="BK24" i="14" s="1"/>
  <c r="AL20" i="14"/>
  <c r="BE20" i="14"/>
  <c r="BE24" i="14" s="1"/>
  <c r="AT20" i="14"/>
  <c r="V20" i="14"/>
  <c r="V24" i="14" s="1"/>
  <c r="AX20" i="14"/>
  <c r="AX24" i="14" s="1"/>
  <c r="AY20" i="14"/>
  <c r="AY24" i="14" s="1"/>
  <c r="Q10" i="14"/>
  <c r="Q15" i="14" s="1"/>
  <c r="Q20" i="14" s="1"/>
  <c r="Q25" i="14" s="1"/>
  <c r="R10" i="14"/>
  <c r="R15" i="14" s="1"/>
  <c r="R20" i="14" s="1"/>
  <c r="R25" i="14" s="1"/>
  <c r="G13" i="5"/>
  <c r="AZ106" i="8"/>
  <c r="AZ111" i="8" s="1"/>
  <c r="I13" i="6"/>
  <c r="K15" i="5" s="1"/>
  <c r="BJ121" i="8"/>
  <c r="BN122" i="8"/>
  <c r="BN127" i="8" s="1"/>
  <c r="AP113" i="8"/>
  <c r="AP114" i="8" s="1"/>
  <c r="AP119" i="8" s="1"/>
  <c r="BG114" i="8"/>
  <c r="BG119" i="8" s="1"/>
  <c r="M105" i="8"/>
  <c r="M106" i="8" s="1"/>
  <c r="M111" i="8" s="1"/>
  <c r="J105" i="8"/>
  <c r="J106" i="8" s="1"/>
  <c r="J111" i="8" s="1"/>
  <c r="Z105" i="8"/>
  <c r="Z106" i="8" s="1"/>
  <c r="Z111" i="8" s="1"/>
  <c r="I105" i="8"/>
  <c r="I106" i="8" s="1"/>
  <c r="I111" i="8" s="1"/>
  <c r="AF105" i="8"/>
  <c r="AF106" i="8" s="1"/>
  <c r="AF111" i="8" s="1"/>
  <c r="AH105" i="8"/>
  <c r="AH106" i="8" s="1"/>
  <c r="AH111" i="8" s="1"/>
  <c r="AJ105" i="8"/>
  <c r="AJ106" i="8" s="1"/>
  <c r="AJ111" i="8" s="1"/>
  <c r="U105" i="8"/>
  <c r="U106" i="8" s="1"/>
  <c r="U111" i="8" s="1"/>
  <c r="AK105" i="8"/>
  <c r="AK106" i="8" s="1"/>
  <c r="AK111" i="8" s="1"/>
  <c r="AG105" i="8"/>
  <c r="AG106" i="8" s="1"/>
  <c r="AG111" i="8" s="1"/>
  <c r="AL105" i="8"/>
  <c r="AL106" i="8" s="1"/>
  <c r="AL111" i="8" s="1"/>
  <c r="N105" i="8"/>
  <c r="N106" i="8" s="1"/>
  <c r="N111" i="8" s="1"/>
  <c r="W105" i="8"/>
  <c r="W106" i="8" s="1"/>
  <c r="W111" i="8" s="1"/>
  <c r="K105" i="8"/>
  <c r="K106" i="8" s="1"/>
  <c r="K111" i="8" s="1"/>
  <c r="AD105" i="8"/>
  <c r="AD106" i="8" s="1"/>
  <c r="AD111" i="8" s="1"/>
  <c r="AS105" i="8"/>
  <c r="AS106" i="8" s="1"/>
  <c r="AS111" i="8" s="1"/>
  <c r="AB105" i="8"/>
  <c r="AB106" i="8" s="1"/>
  <c r="AB111" i="8" s="1"/>
  <c r="AW105" i="8"/>
  <c r="X105" i="8"/>
  <c r="X106" i="8" s="1"/>
  <c r="X111" i="8" s="1"/>
  <c r="Q105" i="8"/>
  <c r="Q106" i="8" s="1"/>
  <c r="Q111" i="8" s="1"/>
  <c r="R105" i="8"/>
  <c r="R106" i="8" s="1"/>
  <c r="R111" i="8" s="1"/>
  <c r="S105" i="8"/>
  <c r="S106" i="8" s="1"/>
  <c r="S111" i="8" s="1"/>
  <c r="AU105" i="8"/>
  <c r="AM105" i="8"/>
  <c r="AM106" i="8" s="1"/>
  <c r="AM111" i="8" s="1"/>
  <c r="O105" i="8"/>
  <c r="O106" i="8" s="1"/>
  <c r="O111" i="8" s="1"/>
  <c r="V105" i="8"/>
  <c r="V106" i="8" s="1"/>
  <c r="V111" i="8" s="1"/>
  <c r="L105" i="8"/>
  <c r="L106" i="8" s="1"/>
  <c r="L111" i="8" s="1"/>
  <c r="AA105" i="8"/>
  <c r="AA106" i="8" s="1"/>
  <c r="AA111" i="8" s="1"/>
  <c r="AX105" i="8"/>
  <c r="AX106" i="8" s="1"/>
  <c r="AX111" i="8" s="1"/>
  <c r="AO106" i="8"/>
  <c r="AO111" i="8" s="1"/>
  <c r="AR81" i="8"/>
  <c r="AR82" i="8" s="1"/>
  <c r="AR87" i="8" s="1"/>
  <c r="J12" i="6"/>
  <c r="E36" i="8"/>
  <c r="E16" i="5"/>
  <c r="E21" i="14" l="1" a="1"/>
  <c r="E21" i="14" s="1"/>
  <c r="E29" i="8"/>
  <c r="E6" i="14" a="1"/>
  <c r="E6" i="14" s="1"/>
  <c r="C12" i="21" a="1"/>
  <c r="C12" i="21" s="1"/>
  <c r="F9" i="14"/>
  <c r="F10" i="14" s="1"/>
  <c r="C14" i="21" a="1"/>
  <c r="C14" i="21" s="1"/>
  <c r="H17" i="8"/>
  <c r="H18" i="8" s="1"/>
  <c r="C43" i="21" a="1"/>
  <c r="C43" i="21" s="1"/>
  <c r="C20" i="21" a="1"/>
  <c r="C20" i="21" s="1"/>
  <c r="E11" i="14" a="1"/>
  <c r="E11" i="14" s="1"/>
  <c r="E21" i="8"/>
  <c r="F15" i="8"/>
  <c r="G12" i="21" a="1"/>
  <c r="G12" i="21" s="1"/>
  <c r="G4" i="21" s="1" a="1"/>
  <c r="G4" i="21" s="1"/>
  <c r="E13" i="8"/>
  <c r="Y95" i="8"/>
  <c r="Y97" i="8" s="1"/>
  <c r="Y98" i="8" s="1"/>
  <c r="Y103" i="8" s="1"/>
  <c r="Y105" i="8" s="1"/>
  <c r="Y106" i="8" s="1"/>
  <c r="Y111" i="8" s="1"/>
  <c r="Y113" i="8" s="1"/>
  <c r="Y114" i="8" s="1"/>
  <c r="Y119" i="8" s="1"/>
  <c r="AV95" i="8"/>
  <c r="AV98" i="8" s="1"/>
  <c r="AV103" i="8" s="1"/>
  <c r="AV105" i="8" s="1"/>
  <c r="AV106" i="8" s="1"/>
  <c r="AV111" i="8" s="1"/>
  <c r="AV114" i="8" s="1"/>
  <c r="AV119" i="8" s="1"/>
  <c r="AV122" i="8" s="1"/>
  <c r="AV127" i="8" s="1"/>
  <c r="AV129" i="8" s="1"/>
  <c r="AV130" i="8" s="1"/>
  <c r="AV135" i="8" s="1"/>
  <c r="AV138" i="8" s="1"/>
  <c r="AV143" i="8" s="1"/>
  <c r="AE95" i="8"/>
  <c r="AE98" i="8" s="1"/>
  <c r="AC95" i="8"/>
  <c r="AC97" i="8" s="1"/>
  <c r="AC98" i="8" s="1"/>
  <c r="AC103" i="8" s="1"/>
  <c r="AC106" i="8" s="1"/>
  <c r="AC111" i="8" s="1"/>
  <c r="AC113" i="8" s="1"/>
  <c r="AC114" i="8" s="1"/>
  <c r="AC119" i="8" s="1"/>
  <c r="T119" i="8"/>
  <c r="T121" i="8" s="1"/>
  <c r="T122" i="8" s="1"/>
  <c r="T127" i="8" s="1"/>
  <c r="BF111" i="8"/>
  <c r="BF113" i="8" s="1"/>
  <c r="BF114" i="8" s="1"/>
  <c r="BF119" i="8" s="1"/>
  <c r="E26" i="14" a="1"/>
  <c r="E26" i="14" s="1"/>
  <c r="BK121" i="8"/>
  <c r="BK122" i="8" s="1"/>
  <c r="BK127" i="8" s="1"/>
  <c r="L113" i="8"/>
  <c r="L114" i="8" s="1"/>
  <c r="Q113" i="8"/>
  <c r="Q114" i="8" s="1"/>
  <c r="J113" i="8"/>
  <c r="J114" i="8" s="1"/>
  <c r="BI114" i="8"/>
  <c r="N113" i="8"/>
  <c r="N114" i="8" s="1"/>
  <c r="U113" i="8"/>
  <c r="U114" i="8" s="1"/>
  <c r="M113" i="8"/>
  <c r="M114" i="8" s="1"/>
  <c r="R113" i="8"/>
  <c r="R114" i="8" s="1"/>
  <c r="K113" i="8"/>
  <c r="K114" i="8" s="1"/>
  <c r="BN130" i="8"/>
  <c r="BN135" i="8" s="1"/>
  <c r="O113" i="8"/>
  <c r="O114" i="8" s="1"/>
  <c r="S113" i="8"/>
  <c r="S114" i="8" s="1"/>
  <c r="I113" i="8"/>
  <c r="I114" i="8" s="1"/>
  <c r="P41" i="8"/>
  <c r="F52" i="8"/>
  <c r="G51" i="21" s="1" a="1"/>
  <c r="G51" i="21" s="1"/>
  <c r="G52" i="8"/>
  <c r="AR52" i="8"/>
  <c r="BN52" i="8"/>
  <c r="BF52" i="8"/>
  <c r="AV52" i="8"/>
  <c r="AL52" i="8"/>
  <c r="AD52" i="8"/>
  <c r="V52" i="8"/>
  <c r="N52" i="8"/>
  <c r="BM52" i="8"/>
  <c r="BE52" i="8"/>
  <c r="AS52" i="8"/>
  <c r="AK52" i="8"/>
  <c r="AC52" i="8"/>
  <c r="U52" i="8"/>
  <c r="M52" i="8"/>
  <c r="BH52" i="8"/>
  <c r="AN52" i="8"/>
  <c r="P52" i="8"/>
  <c r="AU52" i="8"/>
  <c r="W52" i="8"/>
  <c r="BL52" i="8"/>
  <c r="BD52" i="8"/>
  <c r="AT52" i="8"/>
  <c r="AJ52" i="8"/>
  <c r="AB52" i="8"/>
  <c r="T52" i="8"/>
  <c r="L52" i="8"/>
  <c r="BK52" i="8"/>
  <c r="BA52" i="8"/>
  <c r="AQ52" i="8"/>
  <c r="AI52" i="8"/>
  <c r="AA52" i="8"/>
  <c r="S52" i="8"/>
  <c r="K52" i="8"/>
  <c r="AF52" i="8"/>
  <c r="BG52" i="8"/>
  <c r="AE52" i="8"/>
  <c r="BJ52" i="8"/>
  <c r="BB52" i="8"/>
  <c r="AP52" i="8"/>
  <c r="AH52" i="8"/>
  <c r="Z52" i="8"/>
  <c r="R52" i="8"/>
  <c r="J52" i="8"/>
  <c r="BI52" i="8"/>
  <c r="AW52" i="8"/>
  <c r="AO52" i="8"/>
  <c r="AG52" i="8"/>
  <c r="Y52" i="8"/>
  <c r="Q52" i="8"/>
  <c r="I52" i="8"/>
  <c r="AX52" i="8"/>
  <c r="X52" i="8"/>
  <c r="H52" i="8"/>
  <c r="AM52" i="8"/>
  <c r="O52" i="8"/>
  <c r="AW106" i="8"/>
  <c r="AW111" i="8" s="1"/>
  <c r="AU106" i="8"/>
  <c r="AU111" i="8" s="1"/>
  <c r="H14" i="5"/>
  <c r="AL25" i="14"/>
  <c r="AL30" i="14" s="1"/>
  <c r="F24" i="14"/>
  <c r="BH25" i="14"/>
  <c r="BH29" i="14" s="1"/>
  <c r="AF25" i="14"/>
  <c r="AF29" i="14" s="1"/>
  <c r="N25" i="14"/>
  <c r="N29" i="14" s="1"/>
  <c r="BC25" i="14"/>
  <c r="BC29" i="14" s="1"/>
  <c r="AE25" i="14"/>
  <c r="AE29" i="14" s="1"/>
  <c r="M25" i="14"/>
  <c r="M29" i="14" s="1"/>
  <c r="AK25" i="14"/>
  <c r="AK30" i="14" s="1"/>
  <c r="BF25" i="14"/>
  <c r="BF29" i="14" s="1"/>
  <c r="AW25" i="14"/>
  <c r="AM25" i="14"/>
  <c r="AM29" i="14" s="1"/>
  <c r="AD25" i="14"/>
  <c r="AD29" i="14" s="1"/>
  <c r="V25" i="14"/>
  <c r="V29" i="14" s="1"/>
  <c r="L25" i="14"/>
  <c r="L29" i="14" s="1"/>
  <c r="BI25" i="14"/>
  <c r="BI29" i="14" s="1"/>
  <c r="AZ25" i="14"/>
  <c r="AZ29" i="14" s="1"/>
  <c r="AQ25" i="14"/>
  <c r="AQ29" i="14" s="1"/>
  <c r="AC25" i="14"/>
  <c r="AC29" i="14" s="1"/>
  <c r="U25" i="14"/>
  <c r="U29" i="14" s="1"/>
  <c r="K25" i="14"/>
  <c r="K29" i="14" s="1"/>
  <c r="AY25" i="14"/>
  <c r="AY29" i="14" s="1"/>
  <c r="BK25" i="14"/>
  <c r="BK29" i="14" s="1"/>
  <c r="W25" i="14"/>
  <c r="W29" i="14" s="1"/>
  <c r="BD25" i="14"/>
  <c r="BD29" i="14" s="1"/>
  <c r="AB25" i="14"/>
  <c r="AB29" i="14" s="1"/>
  <c r="AN25" i="14"/>
  <c r="AN29" i="14" s="1"/>
  <c r="AP25" i="14"/>
  <c r="AP29" i="14" s="1"/>
  <c r="X25" i="14"/>
  <c r="X29" i="14" s="1"/>
  <c r="AS25" i="14"/>
  <c r="AS29" i="14" s="1"/>
  <c r="BL25" i="14"/>
  <c r="BL29" i="14" s="1"/>
  <c r="AU25" i="14"/>
  <c r="AU29" i="14" s="1"/>
  <c r="AJ25" i="14"/>
  <c r="AJ29" i="14" s="1"/>
  <c r="T25" i="14"/>
  <c r="T29" i="14" s="1"/>
  <c r="J25" i="14"/>
  <c r="J29" i="14" s="1"/>
  <c r="BG25" i="14"/>
  <c r="BG29" i="14" s="1"/>
  <c r="AX25" i="14"/>
  <c r="AA25" i="14"/>
  <c r="AA29" i="14" s="1"/>
  <c r="S25" i="14"/>
  <c r="S29" i="14" s="1"/>
  <c r="I25" i="14"/>
  <c r="I29" i="14" s="1"/>
  <c r="AT25" i="14"/>
  <c r="AT30" i="14" s="1"/>
  <c r="BJ25" i="14"/>
  <c r="BJ29" i="14" s="1"/>
  <c r="BB25" i="14"/>
  <c r="BB29" i="14" s="1"/>
  <c r="AR25" i="14"/>
  <c r="AR29" i="14" s="1"/>
  <c r="AH25" i="14"/>
  <c r="AH29" i="14" s="1"/>
  <c r="Z25" i="14"/>
  <c r="Z29" i="14" s="1"/>
  <c r="P25" i="14"/>
  <c r="P29" i="14" s="1"/>
  <c r="H25" i="14"/>
  <c r="H29" i="14" s="1"/>
  <c r="BE25" i="14"/>
  <c r="BE29" i="14" s="1"/>
  <c r="AV25" i="14"/>
  <c r="AV29" i="14" s="1"/>
  <c r="AI25" i="14"/>
  <c r="AI29" i="14" s="1"/>
  <c r="Y25" i="14"/>
  <c r="Y29" i="14" s="1"/>
  <c r="O25" i="14"/>
  <c r="O29" i="14" s="1"/>
  <c r="G25" i="14"/>
  <c r="G29" i="14" s="1"/>
  <c r="AZ114" i="8"/>
  <c r="AZ119" i="8" s="1"/>
  <c r="J14" i="5"/>
  <c r="BB122" i="8"/>
  <c r="BB127" i="8" s="1"/>
  <c r="I14" i="6"/>
  <c r="K16" i="5" s="1"/>
  <c r="J13" i="6"/>
  <c r="BH121" i="8"/>
  <c r="BH122" i="8" s="1"/>
  <c r="BH127" i="8" s="1"/>
  <c r="BL121" i="8"/>
  <c r="BL122" i="8" s="1"/>
  <c r="BL127" i="8" s="1"/>
  <c r="BD130" i="8"/>
  <c r="BD135" i="8" s="1"/>
  <c r="BG122" i="8"/>
  <c r="BG127" i="8" s="1"/>
  <c r="AP121" i="8"/>
  <c r="AI121" i="8"/>
  <c r="BJ122" i="8"/>
  <c r="BJ127" i="8" s="1"/>
  <c r="AH113" i="8"/>
  <c r="AH114" i="8" s="1"/>
  <c r="AH119" i="8" s="1"/>
  <c r="AS113" i="8"/>
  <c r="AS114" i="8" s="1"/>
  <c r="AS119" i="8" s="1"/>
  <c r="AM113" i="8"/>
  <c r="AM114" i="8" s="1"/>
  <c r="AM119" i="8" s="1"/>
  <c r="AD113" i="8"/>
  <c r="AD114" i="8" s="1"/>
  <c r="AD119" i="8" s="1"/>
  <c r="AL113" i="8"/>
  <c r="AL114" i="8" s="1"/>
  <c r="AL119" i="8" s="1"/>
  <c r="BC113" i="8"/>
  <c r="BC114" i="8" s="1"/>
  <c r="BC119" i="8" s="1"/>
  <c r="AA113" i="8"/>
  <c r="AA114" i="8" s="1"/>
  <c r="AA119" i="8" s="1"/>
  <c r="X113" i="8"/>
  <c r="X114" i="8" s="1"/>
  <c r="X119" i="8" s="1"/>
  <c r="Z113" i="8"/>
  <c r="Z114" i="8" s="1"/>
  <c r="Z119" i="8" s="1"/>
  <c r="AN113" i="8"/>
  <c r="AN114" i="8" s="1"/>
  <c r="AN119" i="8" s="1"/>
  <c r="V113" i="8"/>
  <c r="V114" i="8" s="1"/>
  <c r="V119" i="8" s="1"/>
  <c r="AB113" i="8"/>
  <c r="AB114" i="8" s="1"/>
  <c r="AB119" i="8" s="1"/>
  <c r="AG113" i="8"/>
  <c r="AG114" i="8" s="1"/>
  <c r="AG119" i="8" s="1"/>
  <c r="BM113" i="8"/>
  <c r="BM114" i="8" s="1"/>
  <c r="BM119" i="8" s="1"/>
  <c r="AF113" i="8"/>
  <c r="AF114" i="8" s="1"/>
  <c r="AF119" i="8" s="1"/>
  <c r="BE113" i="8"/>
  <c r="BE114" i="8" s="1"/>
  <c r="BE119" i="8" s="1"/>
  <c r="W113" i="8"/>
  <c r="W114" i="8" s="1"/>
  <c r="W119" i="8" s="1"/>
  <c r="AK113" i="8"/>
  <c r="AK114" i="8" s="1"/>
  <c r="AK119" i="8" s="1"/>
  <c r="AJ113" i="8"/>
  <c r="AJ114" i="8" s="1"/>
  <c r="AJ119" i="8" s="1"/>
  <c r="AQ105" i="8"/>
  <c r="AQ106" i="8" s="1"/>
  <c r="AQ111" i="8" s="1"/>
  <c r="AY105" i="8"/>
  <c r="AY106" i="8" s="1"/>
  <c r="AY111" i="8" s="1"/>
  <c r="AR89" i="8"/>
  <c r="AR90" i="8" s="1"/>
  <c r="AR95" i="8" s="1"/>
  <c r="AZ52" i="8"/>
  <c r="BC52" i="8"/>
  <c r="AY52" i="8"/>
  <c r="E44" i="8"/>
  <c r="E37" i="8"/>
  <c r="E17" i="5"/>
  <c r="C4" i="21" l="1" a="1"/>
  <c r="C4" i="21" s="1"/>
  <c r="E9" i="14"/>
  <c r="D6" i="14"/>
  <c r="H23" i="8"/>
  <c r="C17" i="21" a="1"/>
  <c r="C17" i="21" s="1"/>
  <c r="C51" i="21" a="1"/>
  <c r="C51" i="21" s="1"/>
  <c r="G14" i="21" a="1"/>
  <c r="G14" i="21" s="1"/>
  <c r="F17" i="8"/>
  <c r="F18" i="8" s="1"/>
  <c r="F23" i="8" s="1"/>
  <c r="E15" i="8"/>
  <c r="AE103" i="8"/>
  <c r="AE106" i="8" s="1"/>
  <c r="Y121" i="8"/>
  <c r="Y122" i="8" s="1"/>
  <c r="Y127" i="8" s="1"/>
  <c r="S119" i="8"/>
  <c r="S121" i="8" s="1"/>
  <c r="S122" i="8" s="1"/>
  <c r="S127" i="8" s="1"/>
  <c r="S129" i="8" s="1"/>
  <c r="S130" i="8" s="1"/>
  <c r="S135" i="8" s="1"/>
  <c r="R119" i="8"/>
  <c r="R121" i="8" s="1"/>
  <c r="R122" i="8" s="1"/>
  <c r="R127" i="8" s="1"/>
  <c r="BI119" i="8"/>
  <c r="BI121" i="8" s="1"/>
  <c r="BI122" i="8" s="1"/>
  <c r="O119" i="8"/>
  <c r="O122" i="8" s="1"/>
  <c r="O127" i="8" s="1"/>
  <c r="O130" i="8" s="1"/>
  <c r="M119" i="8"/>
  <c r="M121" i="8" s="1"/>
  <c r="M122" i="8" s="1"/>
  <c r="M127" i="8" s="1"/>
  <c r="U119" i="8"/>
  <c r="Q119" i="8"/>
  <c r="Q121" i="8" s="1"/>
  <c r="Q122" i="8" s="1"/>
  <c r="Q127" i="8" s="1"/>
  <c r="N119" i="8"/>
  <c r="L119" i="8"/>
  <c r="L121" i="8" s="1"/>
  <c r="L122" i="8" s="1"/>
  <c r="L127" i="8" s="1"/>
  <c r="K119" i="8"/>
  <c r="K121" i="8" s="1"/>
  <c r="K122" i="8" s="1"/>
  <c r="K127" i="8" s="1"/>
  <c r="J119" i="8"/>
  <c r="J121" i="8" s="1"/>
  <c r="J122" i="8" s="1"/>
  <c r="J127" i="8" s="1"/>
  <c r="I119" i="8"/>
  <c r="I121" i="8" s="1"/>
  <c r="I122" i="8" s="1"/>
  <c r="I127" i="8" s="1"/>
  <c r="F26" i="14" a="1"/>
  <c r="F26" i="14" s="1"/>
  <c r="E31" i="14" a="1"/>
  <c r="E31" i="14" s="1"/>
  <c r="BK129" i="8"/>
  <c r="BK130" i="8" s="1"/>
  <c r="BK135" i="8" s="1"/>
  <c r="BH129" i="8"/>
  <c r="BH130" i="8" s="1"/>
  <c r="BG130" i="8"/>
  <c r="BG135" i="8" s="1"/>
  <c r="AZ121" i="8"/>
  <c r="AZ122" i="8" s="1"/>
  <c r="AZ127" i="8" s="1"/>
  <c r="AU113" i="8"/>
  <c r="AU114" i="8" s="1"/>
  <c r="BA113" i="8"/>
  <c r="BA114" i="8" s="1"/>
  <c r="AV146" i="8"/>
  <c r="AV151" i="8" s="1"/>
  <c r="AW113" i="8"/>
  <c r="AW114" i="8" s="1"/>
  <c r="P42" i="8"/>
  <c r="P47" i="8" s="1"/>
  <c r="AL35" i="14"/>
  <c r="G60" i="8"/>
  <c r="F60" i="8"/>
  <c r="G59" i="21" s="1" a="1"/>
  <c r="G59" i="21" s="1"/>
  <c r="AK35" i="14"/>
  <c r="AZ60" i="8"/>
  <c r="AJ60" i="8"/>
  <c r="T60" i="8"/>
  <c r="BG60" i="8"/>
  <c r="AQ60" i="8"/>
  <c r="AA60" i="8"/>
  <c r="K60" i="8"/>
  <c r="BJ60" i="8"/>
  <c r="AT60" i="8"/>
  <c r="AD60" i="8"/>
  <c r="J60" i="8"/>
  <c r="AO60" i="8"/>
  <c r="Y60" i="8"/>
  <c r="I60" i="8"/>
  <c r="BL60" i="8"/>
  <c r="AV60" i="8"/>
  <c r="AF60" i="8"/>
  <c r="P60" i="8"/>
  <c r="BC60" i="8"/>
  <c r="AM60" i="8"/>
  <c r="W60" i="8"/>
  <c r="BF60" i="8"/>
  <c r="AP60" i="8"/>
  <c r="Z60" i="8"/>
  <c r="BI60" i="8"/>
  <c r="AK60" i="8"/>
  <c r="U60" i="8"/>
  <c r="L60" i="8"/>
  <c r="BH60" i="8"/>
  <c r="AR60" i="8"/>
  <c r="AB60" i="8"/>
  <c r="H60" i="8"/>
  <c r="AY60" i="8"/>
  <c r="AI60" i="8"/>
  <c r="S60" i="8"/>
  <c r="N60" i="8"/>
  <c r="BB60" i="8"/>
  <c r="AL60" i="8"/>
  <c r="V60" i="8"/>
  <c r="AW60" i="8"/>
  <c r="AG60" i="8"/>
  <c r="Q60" i="8"/>
  <c r="AN60" i="8"/>
  <c r="AE60" i="8"/>
  <c r="AH60" i="8"/>
  <c r="M60" i="8"/>
  <c r="AX60" i="8"/>
  <c r="X60" i="8"/>
  <c r="O60" i="8"/>
  <c r="R60" i="8"/>
  <c r="BD60" i="8"/>
  <c r="AC60" i="8"/>
  <c r="BK60" i="8"/>
  <c r="BN60" i="8"/>
  <c r="AS60" i="8"/>
  <c r="AU60" i="8"/>
  <c r="AT35" i="14"/>
  <c r="G14" i="5"/>
  <c r="H15" i="5" s="1"/>
  <c r="AG24" i="14"/>
  <c r="AG25" i="14" s="1"/>
  <c r="AG29" i="14" s="1"/>
  <c r="AG30" i="14" s="1"/>
  <c r="AG34" i="14" s="1"/>
  <c r="AG35" i="14" s="1"/>
  <c r="AW30" i="14"/>
  <c r="AO24" i="14"/>
  <c r="AO25" i="14" s="1"/>
  <c r="AO29" i="14" s="1"/>
  <c r="AO30" i="14" s="1"/>
  <c r="D21" i="14"/>
  <c r="Q30" i="14"/>
  <c r="Q35" i="14" s="1"/>
  <c r="R30" i="14"/>
  <c r="R35" i="14" s="1"/>
  <c r="AC30" i="14"/>
  <c r="AC34" i="14" s="1"/>
  <c r="AQ30" i="14"/>
  <c r="AQ34" i="14" s="1"/>
  <c r="BD30" i="14"/>
  <c r="BD34" i="14" s="1"/>
  <c r="BD35" i="14" s="1"/>
  <c r="V30" i="14"/>
  <c r="V34" i="14" s="1"/>
  <c r="BH30" i="14"/>
  <c r="BH34" i="14" s="1"/>
  <c r="W30" i="14"/>
  <c r="W34" i="14" s="1"/>
  <c r="W35" i="14" s="1"/>
  <c r="BF30" i="14"/>
  <c r="BF34" i="14" s="1"/>
  <c r="AP30" i="14"/>
  <c r="AP34" i="14" s="1"/>
  <c r="AP35" i="14" s="1"/>
  <c r="AE30" i="14"/>
  <c r="AE34" i="14" s="1"/>
  <c r="I30" i="14"/>
  <c r="I34" i="14" s="1"/>
  <c r="I35" i="14" s="1"/>
  <c r="AU30" i="14"/>
  <c r="AU34" i="14" s="1"/>
  <c r="AU35" i="14" s="1"/>
  <c r="BG30" i="14"/>
  <c r="BG34" i="14" s="1"/>
  <c r="BG35" i="14" s="1"/>
  <c r="L30" i="14"/>
  <c r="L34" i="14" s="1"/>
  <c r="M30" i="14"/>
  <c r="M34" i="14" s="1"/>
  <c r="AF30" i="14"/>
  <c r="AF34" i="14" s="1"/>
  <c r="BB30" i="14"/>
  <c r="BB34" i="14" s="1"/>
  <c r="BB35" i="14" s="1"/>
  <c r="K30" i="14"/>
  <c r="K34" i="14" s="1"/>
  <c r="AR30" i="14"/>
  <c r="AR34" i="14" s="1"/>
  <c r="AR35" i="14" s="1"/>
  <c r="AZ30" i="14"/>
  <c r="AZ34" i="14" s="1"/>
  <c r="BC30" i="14"/>
  <c r="BC34" i="14" s="1"/>
  <c r="Z30" i="14"/>
  <c r="Z34" i="14" s="1"/>
  <c r="Z35" i="14" s="1"/>
  <c r="J30" i="14"/>
  <c r="J34" i="14" s="1"/>
  <c r="J35" i="14" s="1"/>
  <c r="AD30" i="14"/>
  <c r="AD34" i="14" s="1"/>
  <c r="G30" i="14"/>
  <c r="G34" i="14" s="1"/>
  <c r="G35" i="14" s="1"/>
  <c r="AS30" i="14"/>
  <c r="AS34" i="14" s="1"/>
  <c r="AS35" i="14" s="1"/>
  <c r="N30" i="14"/>
  <c r="N34" i="14" s="1"/>
  <c r="AM30" i="14"/>
  <c r="AM34" i="14" s="1"/>
  <c r="BJ30" i="14"/>
  <c r="BJ34" i="14" s="1"/>
  <c r="BJ35" i="14" s="1"/>
  <c r="BL30" i="14"/>
  <c r="BL34" i="14" s="1"/>
  <c r="BL35" i="14" s="1"/>
  <c r="AA30" i="14"/>
  <c r="AA34" i="14" s="1"/>
  <c r="AA35" i="14" s="1"/>
  <c r="AB30" i="14"/>
  <c r="AB34" i="14" s="1"/>
  <c r="AB35" i="14" s="1"/>
  <c r="AY30" i="14"/>
  <c r="AY34" i="14" s="1"/>
  <c r="AY35" i="14" s="1"/>
  <c r="T30" i="14"/>
  <c r="T34" i="14" s="1"/>
  <c r="T35" i="14" s="1"/>
  <c r="U30" i="14"/>
  <c r="U34" i="14" s="1"/>
  <c r="BI30" i="14"/>
  <c r="BI34" i="14" s="1"/>
  <c r="AH30" i="14"/>
  <c r="AH34" i="14" s="1"/>
  <c r="AH35" i="14" s="1"/>
  <c r="AI30" i="14"/>
  <c r="AI34" i="14" s="1"/>
  <c r="AI35" i="14" s="1"/>
  <c r="BE30" i="14"/>
  <c r="BE34" i="14" s="1"/>
  <c r="P30" i="14"/>
  <c r="P34" i="14" s="1"/>
  <c r="P35" i="14" s="1"/>
  <c r="F25" i="14"/>
  <c r="O30" i="14"/>
  <c r="O34" i="14" s="1"/>
  <c r="O35" i="14" s="1"/>
  <c r="AJ30" i="14"/>
  <c r="AJ34" i="14" s="1"/>
  <c r="AJ35" i="14" s="1"/>
  <c r="BA29" i="14"/>
  <c r="BA30" i="14" s="1"/>
  <c r="S30" i="14"/>
  <c r="S34" i="14" s="1"/>
  <c r="S35" i="14" s="1"/>
  <c r="AN30" i="14"/>
  <c r="AN34" i="14" s="1"/>
  <c r="AN35" i="14" s="1"/>
  <c r="BK30" i="14"/>
  <c r="BK34" i="14" s="1"/>
  <c r="BK35" i="14" s="1"/>
  <c r="Y30" i="14"/>
  <c r="Y34" i="14" s="1"/>
  <c r="Y35" i="14" s="1"/>
  <c r="AV30" i="14"/>
  <c r="AV34" i="14" s="1"/>
  <c r="AV35" i="14" s="1"/>
  <c r="H30" i="14"/>
  <c r="H34" i="14" s="1"/>
  <c r="H35" i="14" s="1"/>
  <c r="X30" i="14"/>
  <c r="X34" i="14" s="1"/>
  <c r="X35" i="14" s="1"/>
  <c r="J15" i="5"/>
  <c r="BN137" i="8"/>
  <c r="BN138" i="8" s="1"/>
  <c r="BB130" i="8"/>
  <c r="BB135" i="8" s="1"/>
  <c r="I15" i="6"/>
  <c r="K17" i="5" s="1"/>
  <c r="J14" i="6"/>
  <c r="BL129" i="8"/>
  <c r="BL130" i="8" s="1"/>
  <c r="BL135" i="8" s="1"/>
  <c r="BJ129" i="8"/>
  <c r="BJ130" i="8" s="1"/>
  <c r="BJ135" i="8" s="1"/>
  <c r="T129" i="8"/>
  <c r="T130" i="8" s="1"/>
  <c r="T135" i="8" s="1"/>
  <c r="AG122" i="8"/>
  <c r="AG127" i="8" s="1"/>
  <c r="AM121" i="8"/>
  <c r="AT121" i="8"/>
  <c r="AJ121" i="8"/>
  <c r="BE121" i="8"/>
  <c r="AB121" i="8"/>
  <c r="Z121" i="8"/>
  <c r="AL121" i="8"/>
  <c r="AC121" i="8"/>
  <c r="AF121" i="8"/>
  <c r="X121" i="8"/>
  <c r="AD121" i="8"/>
  <c r="AS121" i="8"/>
  <c r="AI122" i="8"/>
  <c r="AI127" i="8" s="1"/>
  <c r="AP122" i="8"/>
  <c r="AP127" i="8" s="1"/>
  <c r="AK121" i="8"/>
  <c r="W121" i="8"/>
  <c r="BM121" i="8"/>
  <c r="V121" i="8"/>
  <c r="AA121" i="8"/>
  <c r="AH121" i="8"/>
  <c r="BF121" i="8"/>
  <c r="AN121" i="8"/>
  <c r="AX113" i="8"/>
  <c r="AX114" i="8" s="1"/>
  <c r="AX119" i="8" s="1"/>
  <c r="AO113" i="8"/>
  <c r="AO114" i="8" s="1"/>
  <c r="AO119" i="8" s="1"/>
  <c r="AY113" i="8"/>
  <c r="AY114" i="8" s="1"/>
  <c r="AY119" i="8" s="1"/>
  <c r="BM60" i="8"/>
  <c r="BA60" i="8"/>
  <c r="BE60" i="8"/>
  <c r="E52" i="8"/>
  <c r="E45" i="8"/>
  <c r="E18" i="5"/>
  <c r="F25" i="8" l="1"/>
  <c r="G24" i="21" s="1" a="1"/>
  <c r="G24" i="21" s="1"/>
  <c r="F26" i="8"/>
  <c r="E10" i="14"/>
  <c r="D9" i="14"/>
  <c r="C16" i="21" a="1"/>
  <c r="C16" i="21" s="1"/>
  <c r="C59" i="21" a="1"/>
  <c r="C59" i="21" s="1"/>
  <c r="C22" i="21" a="1"/>
  <c r="C22" i="21" s="1"/>
  <c r="C6" i="21" s="1" a="1"/>
  <c r="C6" i="21" s="1"/>
  <c r="H25" i="8"/>
  <c r="H26" i="8" s="1"/>
  <c r="E23" i="8"/>
  <c r="G22" i="21" a="1"/>
  <c r="G22" i="21" s="1"/>
  <c r="G6" i="21" s="1" a="1"/>
  <c r="G6" i="21" s="1"/>
  <c r="G17" i="21" a="1"/>
  <c r="G17" i="21" s="1"/>
  <c r="E18" i="8"/>
  <c r="G16" i="21" a="1"/>
  <c r="G16" i="21" s="1"/>
  <c r="G8" i="21" s="1" a="1"/>
  <c r="G8" i="21" s="1"/>
  <c r="E17" i="8"/>
  <c r="O135" i="8"/>
  <c r="O138" i="8" s="1"/>
  <c r="O143" i="8" s="1"/>
  <c r="O146" i="8" s="1"/>
  <c r="O151" i="8" s="1"/>
  <c r="BI127" i="8"/>
  <c r="BI129" i="8" s="1"/>
  <c r="BI130" i="8" s="1"/>
  <c r="BI135" i="8" s="1"/>
  <c r="AE111" i="8"/>
  <c r="AE114" i="8" s="1"/>
  <c r="AE119" i="8" s="1"/>
  <c r="AE122" i="8" s="1"/>
  <c r="AE127" i="8" s="1"/>
  <c r="AE130" i="8" s="1"/>
  <c r="N121" i="8"/>
  <c r="N122" i="8" s="1"/>
  <c r="N127" i="8" s="1"/>
  <c r="N129" i="8" s="1"/>
  <c r="N130" i="8" s="1"/>
  <c r="N135" i="8" s="1"/>
  <c r="U121" i="8"/>
  <c r="U122" i="8" s="1"/>
  <c r="U127" i="8" s="1"/>
  <c r="U129" i="8" s="1"/>
  <c r="U130" i="8" s="1"/>
  <c r="U135" i="8" s="1"/>
  <c r="AU119" i="8"/>
  <c r="AU121" i="8" s="1"/>
  <c r="AU122" i="8" s="1"/>
  <c r="AU127" i="8" s="1"/>
  <c r="AW119" i="8"/>
  <c r="AW121" i="8" s="1"/>
  <c r="AW122" i="8" s="1"/>
  <c r="AW127" i="8" s="1"/>
  <c r="BN143" i="8"/>
  <c r="BN145" i="8" s="1"/>
  <c r="BN146" i="8" s="1"/>
  <c r="BN151" i="8" s="1"/>
  <c r="BN154" i="8" s="1"/>
  <c r="BN159" i="8" s="1"/>
  <c r="BA119" i="8"/>
  <c r="BA121" i="8" s="1"/>
  <c r="BA122" i="8" s="1"/>
  <c r="BA127" i="8" s="1"/>
  <c r="BH135" i="8"/>
  <c r="BH137" i="8" s="1"/>
  <c r="BH138" i="8" s="1"/>
  <c r="BH143" i="8" s="1"/>
  <c r="BH145" i="8" s="1"/>
  <c r="BH146" i="8" s="1"/>
  <c r="BH151" i="8" s="1"/>
  <c r="F36" i="14" a="1"/>
  <c r="F36" i="14" s="1"/>
  <c r="E36" i="14" a="1"/>
  <c r="E36" i="14" s="1"/>
  <c r="AK40" i="14"/>
  <c r="AL40" i="14"/>
  <c r="AZ129" i="8"/>
  <c r="AZ130" i="8" s="1"/>
  <c r="AZ135" i="8" s="1"/>
  <c r="AP130" i="8"/>
  <c r="AG129" i="8"/>
  <c r="AG130" i="8" s="1"/>
  <c r="AG135" i="8" s="1"/>
  <c r="G68" i="8"/>
  <c r="F68" i="8"/>
  <c r="G67" i="21" s="1" a="1"/>
  <c r="G67" i="21" s="1"/>
  <c r="AT40" i="14"/>
  <c r="BJ68" i="8"/>
  <c r="AX68" i="8"/>
  <c r="AH68" i="8"/>
  <c r="R68" i="8"/>
  <c r="BI68" i="8"/>
  <c r="AO68" i="8"/>
  <c r="Y68" i="8"/>
  <c r="I68" i="8"/>
  <c r="AV68" i="8"/>
  <c r="T68" i="8"/>
  <c r="BK68" i="8"/>
  <c r="AQ68" i="8"/>
  <c r="AA68" i="8"/>
  <c r="K68" i="8"/>
  <c r="BN68" i="8"/>
  <c r="AT68" i="8"/>
  <c r="AD68" i="8"/>
  <c r="N68" i="8"/>
  <c r="BE68" i="8"/>
  <c r="AK68" i="8"/>
  <c r="U68" i="8"/>
  <c r="BL68" i="8"/>
  <c r="AR68" i="8"/>
  <c r="P68" i="8"/>
  <c r="BG68" i="8"/>
  <c r="AM68" i="8"/>
  <c r="W68" i="8"/>
  <c r="BF68" i="8"/>
  <c r="AP68" i="8"/>
  <c r="Z68" i="8"/>
  <c r="J68" i="8"/>
  <c r="BA68" i="8"/>
  <c r="AG68" i="8"/>
  <c r="Q68" i="8"/>
  <c r="BH68" i="8"/>
  <c r="AN68" i="8"/>
  <c r="L68" i="8"/>
  <c r="BC68" i="8"/>
  <c r="AI68" i="8"/>
  <c r="S68" i="8"/>
  <c r="BB68" i="8"/>
  <c r="AS68" i="8"/>
  <c r="AJ68" i="8"/>
  <c r="O68" i="8"/>
  <c r="AL68" i="8"/>
  <c r="AC68" i="8"/>
  <c r="H68" i="8"/>
  <c r="V68" i="8"/>
  <c r="M68" i="8"/>
  <c r="AY68" i="8"/>
  <c r="AE68" i="8"/>
  <c r="BM68" i="8"/>
  <c r="AZ68" i="8"/>
  <c r="G15" i="5"/>
  <c r="H16" i="5" s="1"/>
  <c r="BE35" i="14"/>
  <c r="BE39" i="14" s="1"/>
  <c r="BE40" i="14" s="1"/>
  <c r="AD35" i="14"/>
  <c r="AD39" i="14" s="1"/>
  <c r="AD40" i="14" s="1"/>
  <c r="N35" i="14"/>
  <c r="N39" i="14" s="1"/>
  <c r="N40" i="14" s="1"/>
  <c r="K35" i="14"/>
  <c r="K39" i="14" s="1"/>
  <c r="K40" i="14" s="1"/>
  <c r="BI35" i="14"/>
  <c r="BI39" i="14" s="1"/>
  <c r="BI40" i="14" s="1"/>
  <c r="AQ35" i="14"/>
  <c r="AQ39" i="14" s="1"/>
  <c r="U35" i="14"/>
  <c r="U39" i="14" s="1"/>
  <c r="U40" i="14" s="1"/>
  <c r="F29" i="14"/>
  <c r="F30" i="14" s="1"/>
  <c r="BC35" i="14"/>
  <c r="AF35" i="14"/>
  <c r="AF39" i="14" s="1"/>
  <c r="BH35" i="14"/>
  <c r="BH39" i="14" s="1"/>
  <c r="AM35" i="14"/>
  <c r="AM39" i="14" s="1"/>
  <c r="AM40" i="14" s="1"/>
  <c r="V35" i="14"/>
  <c r="V39" i="14" s="1"/>
  <c r="L35" i="14"/>
  <c r="L39" i="14" s="1"/>
  <c r="L40" i="14" s="1"/>
  <c r="AZ35" i="14"/>
  <c r="AZ39" i="14" s="1"/>
  <c r="AZ40" i="14" s="1"/>
  <c r="AC35" i="14"/>
  <c r="AC39" i="14" s="1"/>
  <c r="AC40" i="14" s="1"/>
  <c r="M35" i="14"/>
  <c r="M39" i="14" s="1"/>
  <c r="M40" i="14" s="1"/>
  <c r="BF35" i="14"/>
  <c r="BF39" i="14" s="1"/>
  <c r="BF40" i="14" s="1"/>
  <c r="AE35" i="14"/>
  <c r="AE39" i="14" s="1"/>
  <c r="AE40" i="14" s="1"/>
  <c r="J16" i="5"/>
  <c r="BB138" i="8"/>
  <c r="BB143" i="8" s="1"/>
  <c r="I16" i="6"/>
  <c r="K18" i="5" s="1"/>
  <c r="J15" i="6"/>
  <c r="J17" i="5" s="1"/>
  <c r="BD137" i="8"/>
  <c r="BD138" i="8" s="1"/>
  <c r="BD143" i="8" s="1"/>
  <c r="BL137" i="8"/>
  <c r="BL138" i="8" s="1"/>
  <c r="BL143" i="8" s="1"/>
  <c r="AV154" i="8"/>
  <c r="AV159" i="8" s="1"/>
  <c r="S137" i="8"/>
  <c r="S138" i="8" s="1"/>
  <c r="S143" i="8" s="1"/>
  <c r="T137" i="8"/>
  <c r="T138" i="8" s="1"/>
  <c r="T143" i="8" s="1"/>
  <c r="BJ137" i="8"/>
  <c r="BJ138" i="8" s="1"/>
  <c r="BJ143" i="8" s="1"/>
  <c r="Q129" i="8"/>
  <c r="Q130" i="8" s="1"/>
  <c r="Q135" i="8" s="1"/>
  <c r="BC121" i="8"/>
  <c r="BC122" i="8" s="1"/>
  <c r="BC127" i="8" s="1"/>
  <c r="Y129" i="8"/>
  <c r="Y130" i="8" s="1"/>
  <c r="Y135" i="8" s="1"/>
  <c r="L129" i="8"/>
  <c r="L130" i="8" s="1"/>
  <c r="L135" i="8" s="1"/>
  <c r="R129" i="8"/>
  <c r="R130" i="8" s="1"/>
  <c r="R135" i="8" s="1"/>
  <c r="I129" i="8"/>
  <c r="I130" i="8" s="1"/>
  <c r="I135" i="8" s="1"/>
  <c r="AI129" i="8"/>
  <c r="AI130" i="8" s="1"/>
  <c r="AI135" i="8" s="1"/>
  <c r="BM122" i="8"/>
  <c r="BM127" i="8" s="1"/>
  <c r="BF122" i="8"/>
  <c r="BF127" i="8" s="1"/>
  <c r="AK122" i="8"/>
  <c r="AK127" i="8" s="1"/>
  <c r="V122" i="8"/>
  <c r="V127" i="8" s="1"/>
  <c r="W122" i="8"/>
  <c r="W127" i="8" s="1"/>
  <c r="AY121" i="8"/>
  <c r="AO121" i="8"/>
  <c r="AD122" i="8"/>
  <c r="AD127" i="8" s="1"/>
  <c r="AF122" i="8"/>
  <c r="AF127" i="8" s="1"/>
  <c r="AL122" i="8"/>
  <c r="AL127" i="8" s="1"/>
  <c r="AB122" i="8"/>
  <c r="AB127" i="8" s="1"/>
  <c r="AJ122" i="8"/>
  <c r="AJ127" i="8" s="1"/>
  <c r="AM122" i="8"/>
  <c r="AM127" i="8" s="1"/>
  <c r="AN122" i="8"/>
  <c r="AN127" i="8" s="1"/>
  <c r="AH122" i="8"/>
  <c r="AH127" i="8" s="1"/>
  <c r="AA122" i="8"/>
  <c r="AA127" i="8" s="1"/>
  <c r="AX121" i="8"/>
  <c r="AS122" i="8"/>
  <c r="AS127" i="8" s="1"/>
  <c r="X122" i="8"/>
  <c r="X127" i="8" s="1"/>
  <c r="AC122" i="8"/>
  <c r="AC127" i="8" s="1"/>
  <c r="Z122" i="8"/>
  <c r="Z127" i="8" s="1"/>
  <c r="BE122" i="8"/>
  <c r="BE127" i="8" s="1"/>
  <c r="AT122" i="8"/>
  <c r="AT127" i="8" s="1"/>
  <c r="BG138" i="8"/>
  <c r="BG143" i="8" s="1"/>
  <c r="AQ113" i="8"/>
  <c r="AQ114" i="8" s="1"/>
  <c r="AQ119" i="8" s="1"/>
  <c r="AR97" i="8"/>
  <c r="AR98" i="8" s="1"/>
  <c r="AR103" i="8" s="1"/>
  <c r="BD68" i="8"/>
  <c r="AF68" i="8"/>
  <c r="AB68" i="8"/>
  <c r="X68" i="8"/>
  <c r="E61" i="8"/>
  <c r="AG39" i="14"/>
  <c r="AG40" i="14" s="1"/>
  <c r="BL39" i="14"/>
  <c r="BL40" i="14" s="1"/>
  <c r="BD39" i="14"/>
  <c r="BD40" i="14" s="1"/>
  <c r="AU39" i="14"/>
  <c r="AU40" i="14" s="1"/>
  <c r="AP39" i="14"/>
  <c r="AP40" i="14" s="1"/>
  <c r="AJ39" i="14"/>
  <c r="AB39" i="14"/>
  <c r="X39" i="14"/>
  <c r="X40" i="14" s="1"/>
  <c r="T39" i="14"/>
  <c r="T40" i="14" s="1"/>
  <c r="P39" i="14"/>
  <c r="P40" i="14" s="1"/>
  <c r="H39" i="14"/>
  <c r="H40" i="14" s="1"/>
  <c r="AV39" i="14"/>
  <c r="AV40" i="14" s="1"/>
  <c r="AI39" i="14"/>
  <c r="Y39" i="14"/>
  <c r="Y40" i="14" s="1"/>
  <c r="Q40" i="14"/>
  <c r="I39" i="14"/>
  <c r="I40" i="14" s="1"/>
  <c r="BJ39" i="14"/>
  <c r="BJ40" i="14" s="1"/>
  <c r="BB39" i="14"/>
  <c r="BB40" i="14" s="1"/>
  <c r="AR39" i="14"/>
  <c r="AR40" i="14" s="1"/>
  <c r="AH39" i="14"/>
  <c r="Z39" i="14"/>
  <c r="Z40" i="14" s="1"/>
  <c r="R40" i="14"/>
  <c r="J39" i="14"/>
  <c r="J40" i="14" s="1"/>
  <c r="BG39" i="14"/>
  <c r="AS39" i="14"/>
  <c r="AS40" i="14" s="1"/>
  <c r="AN39" i="14"/>
  <c r="AA39" i="14"/>
  <c r="AA40" i="14" s="1"/>
  <c r="W39" i="14"/>
  <c r="W40" i="14" s="1"/>
  <c r="S39" i="14"/>
  <c r="O39" i="14"/>
  <c r="O40" i="14" s="1"/>
  <c r="G39" i="14"/>
  <c r="G40" i="14" s="1"/>
  <c r="E60" i="8"/>
  <c r="AU68" i="8"/>
  <c r="AW68" i="8"/>
  <c r="AO34" i="14"/>
  <c r="AO35" i="14" s="1"/>
  <c r="BA34" i="14"/>
  <c r="BA35" i="14" s="1"/>
  <c r="D26" i="14"/>
  <c r="AX29" i="14"/>
  <c r="E19" i="5"/>
  <c r="E14" i="14" l="1"/>
  <c r="E15" i="14" s="1"/>
  <c r="D10" i="14"/>
  <c r="G25" i="21" a="1"/>
  <c r="G25" i="21" s="1"/>
  <c r="G9" i="21" s="1" a="1"/>
  <c r="G9" i="21" s="1"/>
  <c r="F31" i="8"/>
  <c r="G30" i="21" s="1" a="1"/>
  <c r="G30" i="21" s="1"/>
  <c r="C25" i="21" a="1"/>
  <c r="C25" i="21" s="1"/>
  <c r="C9" i="21" s="1" a="1"/>
  <c r="C9" i="21" s="1"/>
  <c r="H31" i="8"/>
  <c r="E26" i="8"/>
  <c r="C24" i="21" a="1"/>
  <c r="C24" i="21" s="1"/>
  <c r="C8" i="21" s="1" a="1"/>
  <c r="C8" i="21" s="1"/>
  <c r="E25" i="8"/>
  <c r="C67" i="21" a="1"/>
  <c r="C67" i="21" s="1"/>
  <c r="AE135" i="8"/>
  <c r="AE138" i="8" s="1"/>
  <c r="AE143" i="8" s="1"/>
  <c r="AE146" i="8" s="1"/>
  <c r="AE151" i="8" s="1"/>
  <c r="AE154" i="8" s="1"/>
  <c r="AE159" i="8" s="1"/>
  <c r="AE161" i="8" s="1"/>
  <c r="AE162" i="8" s="1"/>
  <c r="AE167" i="8" s="1"/>
  <c r="AE170" i="8" s="1"/>
  <c r="AE175" i="8" s="1"/>
  <c r="AP135" i="8"/>
  <c r="AP137" i="8" s="1"/>
  <c r="AP138" i="8" s="1"/>
  <c r="AP143" i="8" s="1"/>
  <c r="AP145" i="8" s="1"/>
  <c r="AP146" i="8" s="1"/>
  <c r="AP151" i="8" s="1"/>
  <c r="F41" i="14" a="1"/>
  <c r="F41" i="14" s="1"/>
  <c r="AK45" i="14"/>
  <c r="E41" i="14" a="1"/>
  <c r="E41" i="14" s="1"/>
  <c r="AL45" i="14"/>
  <c r="BD145" i="8"/>
  <c r="BD146" i="8" s="1"/>
  <c r="BG146" i="8"/>
  <c r="BG151" i="8" s="1"/>
  <c r="S145" i="8"/>
  <c r="S146" i="8" s="1"/>
  <c r="S151" i="8" s="1"/>
  <c r="P49" i="8"/>
  <c r="AS130" i="8"/>
  <c r="AS135" i="8" s="1"/>
  <c r="R138" i="8"/>
  <c r="BJ145" i="8"/>
  <c r="BJ146" i="8" s="1"/>
  <c r="BJ151" i="8" s="1"/>
  <c r="T145" i="8"/>
  <c r="T146" i="8" s="1"/>
  <c r="T151" i="8" s="1"/>
  <c r="G76" i="8"/>
  <c r="F76" i="8"/>
  <c r="G75" i="21" s="1" a="1"/>
  <c r="G75" i="21" s="1"/>
  <c r="AT45" i="14"/>
  <c r="AZ76" i="8"/>
  <c r="AJ76" i="8"/>
  <c r="T76" i="8"/>
  <c r="BK76" i="8"/>
  <c r="AQ76" i="8"/>
  <c r="S76" i="8"/>
  <c r="BN76" i="8"/>
  <c r="AP76" i="8"/>
  <c r="Z76" i="8"/>
  <c r="J76" i="8"/>
  <c r="BA76" i="8"/>
  <c r="AK76" i="8"/>
  <c r="Q76" i="8"/>
  <c r="BL76" i="8"/>
  <c r="AR76" i="8"/>
  <c r="AB76" i="8"/>
  <c r="L76" i="8"/>
  <c r="AY76" i="8"/>
  <c r="AI76" i="8"/>
  <c r="K76" i="8"/>
  <c r="BB76" i="8"/>
  <c r="AH76" i="8"/>
  <c r="R76" i="8"/>
  <c r="BI76" i="8"/>
  <c r="AS76" i="8"/>
  <c r="AC76" i="8"/>
  <c r="AV76" i="8"/>
  <c r="P76" i="8"/>
  <c r="AM76" i="8"/>
  <c r="BJ76" i="8"/>
  <c r="V76" i="8"/>
  <c r="AW76" i="8"/>
  <c r="M76" i="8"/>
  <c r="AN76" i="8"/>
  <c r="H76" i="8"/>
  <c r="W76" i="8"/>
  <c r="AT76" i="8"/>
  <c r="N76" i="8"/>
  <c r="AO76" i="8"/>
  <c r="I76" i="8"/>
  <c r="AF76" i="8"/>
  <c r="BC76" i="8"/>
  <c r="O76" i="8"/>
  <c r="AL76" i="8"/>
  <c r="BM76" i="8"/>
  <c r="AG76" i="8"/>
  <c r="BD76" i="8"/>
  <c r="AD76" i="8"/>
  <c r="X76" i="8"/>
  <c r="BE76" i="8"/>
  <c r="AU76" i="8"/>
  <c r="U76" i="8"/>
  <c r="G16" i="5"/>
  <c r="H17" i="5" s="1"/>
  <c r="G17" i="5" s="1"/>
  <c r="BC39" i="14"/>
  <c r="BC40" i="14" s="1"/>
  <c r="BC44" i="14" s="1"/>
  <c r="BC45" i="14" s="1"/>
  <c r="BK40" i="14"/>
  <c r="BK45" i="14" s="1"/>
  <c r="Z45" i="14"/>
  <c r="V40" i="14"/>
  <c r="AF40" i="14"/>
  <c r="AF44" i="14" s="1"/>
  <c r="AF45" i="14" s="1"/>
  <c r="AQ40" i="14"/>
  <c r="AQ44" i="14" s="1"/>
  <c r="AQ45" i="14" s="1"/>
  <c r="BH40" i="14"/>
  <c r="AX30" i="14"/>
  <c r="AX34" i="14" s="1"/>
  <c r="AX35" i="14" s="1"/>
  <c r="S40" i="14"/>
  <c r="S44" i="14" s="1"/>
  <c r="S45" i="14" s="1"/>
  <c r="AN40" i="14"/>
  <c r="AN44" i="14" s="1"/>
  <c r="AN45" i="14" s="1"/>
  <c r="AI40" i="14"/>
  <c r="AI44" i="14" s="1"/>
  <c r="AI45" i="14" s="1"/>
  <c r="BG40" i="14"/>
  <c r="BG44" i="14" s="1"/>
  <c r="BG45" i="14" s="1"/>
  <c r="AJ40" i="14"/>
  <c r="AJ44" i="14" s="1"/>
  <c r="AJ45" i="14" s="1"/>
  <c r="D36" i="14"/>
  <c r="AH40" i="14"/>
  <c r="AH44" i="14" s="1"/>
  <c r="AH45" i="14" s="1"/>
  <c r="AB40" i="14"/>
  <c r="AB44" i="14" s="1"/>
  <c r="AB45" i="14" s="1"/>
  <c r="BK137" i="8"/>
  <c r="BK138" i="8" s="1"/>
  <c r="BK143" i="8" s="1"/>
  <c r="BB146" i="8"/>
  <c r="BB151" i="8" s="1"/>
  <c r="I17" i="6"/>
  <c r="K19" i="5" s="1"/>
  <c r="J16" i="6"/>
  <c r="BL145" i="8"/>
  <c r="BL146" i="8" s="1"/>
  <c r="BL151" i="8" s="1"/>
  <c r="BH153" i="8"/>
  <c r="BH154" i="8" s="1"/>
  <c r="BH159" i="8" s="1"/>
  <c r="Q137" i="8"/>
  <c r="Q138" i="8" s="1"/>
  <c r="Q143" i="8" s="1"/>
  <c r="AI137" i="8"/>
  <c r="AI138" i="8" s="1"/>
  <c r="AI143" i="8" s="1"/>
  <c r="BI137" i="8"/>
  <c r="AG137" i="8"/>
  <c r="AG138" i="8" s="1"/>
  <c r="AG143" i="8" s="1"/>
  <c r="N137" i="8"/>
  <c r="N138" i="8" s="1"/>
  <c r="N143" i="8" s="1"/>
  <c r="K129" i="8"/>
  <c r="K130" i="8" s="1"/>
  <c r="K135" i="8" s="1"/>
  <c r="J129" i="8"/>
  <c r="J130" i="8" s="1"/>
  <c r="J135" i="8" s="1"/>
  <c r="AF129" i="8"/>
  <c r="AF130" i="8" s="1"/>
  <c r="AF135" i="8" s="1"/>
  <c r="U137" i="8"/>
  <c r="U138" i="8" s="1"/>
  <c r="U143" i="8" s="1"/>
  <c r="AC129" i="8"/>
  <c r="AC130" i="8" s="1"/>
  <c r="AC135" i="8" s="1"/>
  <c r="AA129" i="8"/>
  <c r="AA130" i="8" s="1"/>
  <c r="AA135" i="8" s="1"/>
  <c r="AU129" i="8"/>
  <c r="AU130" i="8" s="1"/>
  <c r="AU135" i="8" s="1"/>
  <c r="I137" i="8"/>
  <c r="I138" i="8" s="1"/>
  <c r="I143" i="8" s="1"/>
  <c r="M129" i="8"/>
  <c r="M130" i="8" s="1"/>
  <c r="M135" i="8" s="1"/>
  <c r="BC129" i="8"/>
  <c r="BC130" i="8" s="1"/>
  <c r="BC135" i="8" s="1"/>
  <c r="X129" i="8"/>
  <c r="X130" i="8" s="1"/>
  <c r="X135" i="8" s="1"/>
  <c r="AH129" i="8"/>
  <c r="AH130" i="8" s="1"/>
  <c r="AH135" i="8" s="1"/>
  <c r="AB129" i="8"/>
  <c r="AB130" i="8" s="1"/>
  <c r="AB135" i="8" s="1"/>
  <c r="W129" i="8"/>
  <c r="W130" i="8" s="1"/>
  <c r="W135" i="8" s="1"/>
  <c r="BM129" i="8"/>
  <c r="BM130" i="8" s="1"/>
  <c r="BM135" i="8" s="1"/>
  <c r="BE129" i="8"/>
  <c r="BE130" i="8" s="1"/>
  <c r="BE135" i="8" s="1"/>
  <c r="AL129" i="8"/>
  <c r="AL130" i="8" s="1"/>
  <c r="AL135" i="8" s="1"/>
  <c r="AW129" i="8"/>
  <c r="AW130" i="8" s="1"/>
  <c r="AW135" i="8" s="1"/>
  <c r="L137" i="8"/>
  <c r="L138" i="8" s="1"/>
  <c r="L143" i="8" s="1"/>
  <c r="AX122" i="8"/>
  <c r="AX127" i="8" s="1"/>
  <c r="AY122" i="8"/>
  <c r="AY127" i="8" s="1"/>
  <c r="AQ121" i="8"/>
  <c r="AO122" i="8"/>
  <c r="AO127" i="8" s="1"/>
  <c r="D24" i="14"/>
  <c r="BH76" i="8"/>
  <c r="AA76" i="8"/>
  <c r="BF76" i="8"/>
  <c r="AY39" i="14"/>
  <c r="G44" i="14"/>
  <c r="G45" i="14" s="1"/>
  <c r="K44" i="14"/>
  <c r="O44" i="14"/>
  <c r="O45" i="14" s="1"/>
  <c r="W44" i="14"/>
  <c r="W45" i="14" s="1"/>
  <c r="AA44" i="14"/>
  <c r="AE44" i="14"/>
  <c r="AE45" i="14" s="1"/>
  <c r="J44" i="14"/>
  <c r="J45" i="14" s="1"/>
  <c r="N44" i="14"/>
  <c r="N45" i="14" s="1"/>
  <c r="R45" i="14"/>
  <c r="AM44" i="14"/>
  <c r="AM45" i="14" s="1"/>
  <c r="AR44" i="14"/>
  <c r="AR45" i="14" s="1"/>
  <c r="BF44" i="14"/>
  <c r="BF45" i="14" s="1"/>
  <c r="BJ44" i="14"/>
  <c r="BJ45" i="14" s="1"/>
  <c r="I44" i="14"/>
  <c r="M44" i="14"/>
  <c r="M45" i="14" s="1"/>
  <c r="Q45" i="14"/>
  <c r="U44" i="14"/>
  <c r="U45" i="14" s="1"/>
  <c r="Y44" i="14"/>
  <c r="Y45" i="14" s="1"/>
  <c r="AC44" i="14"/>
  <c r="AC45" i="14" s="1"/>
  <c r="AV44" i="14"/>
  <c r="AV45" i="14" s="1"/>
  <c r="AZ44" i="14"/>
  <c r="AZ45" i="14" s="1"/>
  <c r="BE44" i="14"/>
  <c r="BE45" i="14" s="1"/>
  <c r="BI44" i="14"/>
  <c r="BI45" i="14" s="1"/>
  <c r="H44" i="14"/>
  <c r="H45" i="14" s="1"/>
  <c r="L44" i="14"/>
  <c r="L45" i="14" s="1"/>
  <c r="P44" i="14"/>
  <c r="T44" i="14"/>
  <c r="T45" i="14" s="1"/>
  <c r="X44" i="14"/>
  <c r="X45" i="14" s="1"/>
  <c r="AP44" i="14"/>
  <c r="BD44" i="14"/>
  <c r="BD45" i="14" s="1"/>
  <c r="BL44" i="14"/>
  <c r="BL45" i="14" s="1"/>
  <c r="AG44" i="14"/>
  <c r="AG45" i="14" s="1"/>
  <c r="BG76" i="8"/>
  <c r="AE76" i="8"/>
  <c r="AX76" i="8"/>
  <c r="Y76" i="8"/>
  <c r="BA39" i="14"/>
  <c r="BA40" i="14" s="1"/>
  <c r="AO39" i="14"/>
  <c r="AO40" i="14" s="1"/>
  <c r="E68" i="8"/>
  <c r="D29" i="14"/>
  <c r="AW35" i="14"/>
  <c r="E20" i="5"/>
  <c r="E19" i="14" l="1"/>
  <c r="D19" i="14" s="1"/>
  <c r="F33" i="8"/>
  <c r="G32" i="21" s="1" a="1"/>
  <c r="G32" i="21" s="1"/>
  <c r="C75" i="21" a="1"/>
  <c r="C75" i="21" s="1"/>
  <c r="C30" i="21" a="1"/>
  <c r="C30" i="21" s="1"/>
  <c r="H33" i="8"/>
  <c r="H34" i="8" s="1"/>
  <c r="E31" i="8"/>
  <c r="BD151" i="8"/>
  <c r="BD153" i="8" s="1"/>
  <c r="BD154" i="8" s="1"/>
  <c r="BD159" i="8" s="1"/>
  <c r="R143" i="8"/>
  <c r="R145" i="8" s="1"/>
  <c r="R146" i="8" s="1"/>
  <c r="R151" i="8" s="1"/>
  <c r="AK50" i="14"/>
  <c r="F46" i="14" a="1"/>
  <c r="F46" i="14" s="1"/>
  <c r="AT50" i="14"/>
  <c r="E46" i="14" a="1"/>
  <c r="E46" i="14" s="1"/>
  <c r="AL50" i="14"/>
  <c r="AE178" i="8"/>
  <c r="I145" i="8"/>
  <c r="I146" i="8" s="1"/>
  <c r="I151" i="8" s="1"/>
  <c r="U145" i="8"/>
  <c r="U146" i="8" s="1"/>
  <c r="U151" i="8" s="1"/>
  <c r="Q145" i="8"/>
  <c r="Q146" i="8" s="1"/>
  <c r="Q151" i="8" s="1"/>
  <c r="BA129" i="8"/>
  <c r="BA130" i="8" s="1"/>
  <c r="BA135" i="8" s="1"/>
  <c r="P50" i="8"/>
  <c r="L145" i="8"/>
  <c r="L146" i="8" s="1"/>
  <c r="L151" i="8" s="1"/>
  <c r="N145" i="8"/>
  <c r="N146" i="8" s="1"/>
  <c r="N151" i="8" s="1"/>
  <c r="AI145" i="8"/>
  <c r="AI146" i="8" s="1"/>
  <c r="AI151" i="8" s="1"/>
  <c r="AG145" i="8"/>
  <c r="AG146" i="8" s="1"/>
  <c r="AG151" i="8" s="1"/>
  <c r="G84" i="8"/>
  <c r="F84" i="8"/>
  <c r="G83" i="21" s="1" a="1"/>
  <c r="G83" i="21" s="1"/>
  <c r="BF84" i="8"/>
  <c r="AP84" i="8"/>
  <c r="Z84" i="8"/>
  <c r="J84" i="8"/>
  <c r="BA84" i="8"/>
  <c r="AG84" i="8"/>
  <c r="Q84" i="8"/>
  <c r="BH84" i="8"/>
  <c r="AR84" i="8"/>
  <c r="AB84" i="8"/>
  <c r="L84" i="8"/>
  <c r="BC84" i="8"/>
  <c r="AM84" i="8"/>
  <c r="S84" i="8"/>
  <c r="BJ84" i="8"/>
  <c r="AD84" i="8"/>
  <c r="AO84" i="8"/>
  <c r="BL84" i="8"/>
  <c r="AF84" i="8"/>
  <c r="AQ84" i="8"/>
  <c r="BB84" i="8"/>
  <c r="AL84" i="8"/>
  <c r="V84" i="8"/>
  <c r="BM84" i="8"/>
  <c r="AW84" i="8"/>
  <c r="AC84" i="8"/>
  <c r="M84" i="8"/>
  <c r="BD84" i="8"/>
  <c r="AN84" i="8"/>
  <c r="X84" i="8"/>
  <c r="H84" i="8"/>
  <c r="AY84" i="8"/>
  <c r="AI84" i="8"/>
  <c r="O84" i="8"/>
  <c r="N84" i="8"/>
  <c r="U84" i="8"/>
  <c r="P84" i="8"/>
  <c r="BN84" i="8"/>
  <c r="AX84" i="8"/>
  <c r="AH84" i="8"/>
  <c r="R84" i="8"/>
  <c r="BI84" i="8"/>
  <c r="AS84" i="8"/>
  <c r="Y84" i="8"/>
  <c r="I84" i="8"/>
  <c r="AZ84" i="8"/>
  <c r="AJ84" i="8"/>
  <c r="T84" i="8"/>
  <c r="BK84" i="8"/>
  <c r="AU84" i="8"/>
  <c r="AE84" i="8"/>
  <c r="K84" i="8"/>
  <c r="AT84" i="8"/>
  <c r="BE84" i="8"/>
  <c r="AV84" i="8"/>
  <c r="BG84" i="8"/>
  <c r="AA84" i="8"/>
  <c r="H18" i="5"/>
  <c r="AS45" i="14"/>
  <c r="AS50" i="14" s="1"/>
  <c r="AU44" i="14"/>
  <c r="AU45" i="14" s="1"/>
  <c r="AU49" i="14" s="1"/>
  <c r="AU50" i="14" s="1"/>
  <c r="BH45" i="14"/>
  <c r="BH50" i="14" s="1"/>
  <c r="Y49" i="14"/>
  <c r="Y50" i="14" s="1"/>
  <c r="V45" i="14"/>
  <c r="V50" i="14" s="1"/>
  <c r="BB44" i="14"/>
  <c r="AD45" i="14"/>
  <c r="AD50" i="14" s="1"/>
  <c r="AA45" i="14"/>
  <c r="AA49" i="14" s="1"/>
  <c r="AA50" i="14" s="1"/>
  <c r="K45" i="14"/>
  <c r="K49" i="14" s="1"/>
  <c r="K50" i="14" s="1"/>
  <c r="P45" i="14"/>
  <c r="P49" i="14" s="1"/>
  <c r="P50" i="14" s="1"/>
  <c r="AP45" i="14"/>
  <c r="AP49" i="14" s="1"/>
  <c r="AP50" i="14" s="1"/>
  <c r="I45" i="14"/>
  <c r="I49" i="14" s="1"/>
  <c r="I50" i="14" s="1"/>
  <c r="AY40" i="14"/>
  <c r="AY44" i="14" s="1"/>
  <c r="AY45" i="14" s="1"/>
  <c r="AY50" i="14" s="1"/>
  <c r="J18" i="5"/>
  <c r="AZ137" i="8"/>
  <c r="AZ138" i="8" s="1"/>
  <c r="AZ143" i="8" s="1"/>
  <c r="BK145" i="8"/>
  <c r="BK146" i="8" s="1"/>
  <c r="BK151" i="8" s="1"/>
  <c r="BB154" i="8"/>
  <c r="BB159" i="8" s="1"/>
  <c r="I18" i="6"/>
  <c r="K20" i="5" s="1"/>
  <c r="J17" i="6"/>
  <c r="BN161" i="8"/>
  <c r="BN162" i="8" s="1"/>
  <c r="BN167" i="8" s="1"/>
  <c r="AV161" i="8"/>
  <c r="AV162" i="8" s="1"/>
  <c r="AV167" i="8" s="1"/>
  <c r="BL153" i="8"/>
  <c r="BL154" i="8" s="1"/>
  <c r="BL159" i="8" s="1"/>
  <c r="BI138" i="8"/>
  <c r="BI143" i="8" s="1"/>
  <c r="BG153" i="8"/>
  <c r="BG154" i="8" s="1"/>
  <c r="BG159" i="8" s="1"/>
  <c r="T153" i="8"/>
  <c r="T154" i="8" s="1"/>
  <c r="T159" i="8" s="1"/>
  <c r="BJ153" i="8"/>
  <c r="O154" i="8"/>
  <c r="O159" i="8" s="1"/>
  <c r="AP153" i="8"/>
  <c r="AP154" i="8" s="1"/>
  <c r="AP159" i="8" s="1"/>
  <c r="S153" i="8"/>
  <c r="S154" i="8" s="1"/>
  <c r="S159" i="8" s="1"/>
  <c r="AS138" i="8"/>
  <c r="AS143" i="8" s="1"/>
  <c r="Y137" i="8"/>
  <c r="Y138" i="8" s="1"/>
  <c r="Y143" i="8" s="1"/>
  <c r="AL138" i="8"/>
  <c r="AL143" i="8" s="1"/>
  <c r="AA137" i="8"/>
  <c r="AA138" i="8" s="1"/>
  <c r="AA143" i="8" s="1"/>
  <c r="BE137" i="8"/>
  <c r="BE138" i="8" s="1"/>
  <c r="BE143" i="8" s="1"/>
  <c r="AF137" i="8"/>
  <c r="AF138" i="8" s="1"/>
  <c r="AF143" i="8" s="1"/>
  <c r="AW137" i="8"/>
  <c r="AW138" i="8" s="1"/>
  <c r="AW143" i="8" s="1"/>
  <c r="AC137" i="8"/>
  <c r="AC138" i="8" s="1"/>
  <c r="AC143" i="8" s="1"/>
  <c r="J137" i="8"/>
  <c r="J138" i="8" s="1"/>
  <c r="J143" i="8" s="1"/>
  <c r="BC137" i="8"/>
  <c r="BC138" i="8" s="1"/>
  <c r="BC143" i="8" s="1"/>
  <c r="M137" i="8"/>
  <c r="M138" i="8" s="1"/>
  <c r="M143" i="8" s="1"/>
  <c r="K138" i="8"/>
  <c r="K143" i="8" s="1"/>
  <c r="W137" i="8"/>
  <c r="W138" i="8" s="1"/>
  <c r="W143" i="8" s="1"/>
  <c r="AH137" i="8"/>
  <c r="AH138" i="8" s="1"/>
  <c r="AH143" i="8" s="1"/>
  <c r="AK129" i="8"/>
  <c r="AK130" i="8" s="1"/>
  <c r="AK135" i="8" s="1"/>
  <c r="AM129" i="8"/>
  <c r="AM130" i="8" s="1"/>
  <c r="AM135" i="8" s="1"/>
  <c r="AO129" i="8"/>
  <c r="AO130" i="8" s="1"/>
  <c r="AO135" i="8" s="1"/>
  <c r="V129" i="8"/>
  <c r="V130" i="8" s="1"/>
  <c r="V135" i="8" s="1"/>
  <c r="AN129" i="8"/>
  <c r="AN130" i="8" s="1"/>
  <c r="AN135" i="8" s="1"/>
  <c r="AJ129" i="8"/>
  <c r="AJ130" i="8" s="1"/>
  <c r="AJ135" i="8" s="1"/>
  <c r="BM137" i="8"/>
  <c r="BM138" i="8" s="1"/>
  <c r="BM143" i="8" s="1"/>
  <c r="AU137" i="8"/>
  <c r="AU138" i="8" s="1"/>
  <c r="AU143" i="8" s="1"/>
  <c r="Z129" i="8"/>
  <c r="Z130" i="8" s="1"/>
  <c r="Z135" i="8" s="1"/>
  <c r="AB137" i="8"/>
  <c r="AB138" i="8" s="1"/>
  <c r="AB143" i="8" s="1"/>
  <c r="AT129" i="8"/>
  <c r="AT130" i="8" s="1"/>
  <c r="AT135" i="8" s="1"/>
  <c r="BF129" i="8"/>
  <c r="BF130" i="8" s="1"/>
  <c r="BF135" i="8" s="1"/>
  <c r="AD129" i="8"/>
  <c r="AD130" i="8" s="1"/>
  <c r="AD135" i="8" s="1"/>
  <c r="AQ122" i="8"/>
  <c r="AQ127" i="8" s="1"/>
  <c r="E69" i="8"/>
  <c r="AR105" i="8"/>
  <c r="AR106" i="8" s="1"/>
  <c r="AR111" i="8" s="1"/>
  <c r="AK84" i="8"/>
  <c r="W84" i="8"/>
  <c r="AG49" i="14"/>
  <c r="AG50" i="14" s="1"/>
  <c r="BL49" i="14"/>
  <c r="BL50" i="14" s="1"/>
  <c r="AJ49" i="14"/>
  <c r="AJ50" i="14" s="1"/>
  <c r="AF49" i="14"/>
  <c r="AF50" i="14" s="1"/>
  <c r="AB49" i="14"/>
  <c r="X49" i="14"/>
  <c r="X50" i="14" s="1"/>
  <c r="T49" i="14"/>
  <c r="T50" i="14" s="1"/>
  <c r="L49" i="14"/>
  <c r="L50" i="14" s="1"/>
  <c r="H49" i="14"/>
  <c r="H50" i="14" s="1"/>
  <c r="BI49" i="14"/>
  <c r="BI50" i="14" s="1"/>
  <c r="AZ49" i="14"/>
  <c r="AQ49" i="14"/>
  <c r="AQ50" i="14" s="1"/>
  <c r="AI49" i="14"/>
  <c r="AI50" i="14" s="1"/>
  <c r="U49" i="14"/>
  <c r="U50" i="14" s="1"/>
  <c r="Q50" i="14"/>
  <c r="Q55" i="14" s="1"/>
  <c r="M49" i="14"/>
  <c r="M50" i="14" s="1"/>
  <c r="BJ49" i="14"/>
  <c r="BJ50" i="14" s="1"/>
  <c r="AR49" i="14"/>
  <c r="AM49" i="14"/>
  <c r="AM50" i="14" s="1"/>
  <c r="AH49" i="14"/>
  <c r="AH50" i="14" s="1"/>
  <c r="Z50" i="14"/>
  <c r="R50" i="14"/>
  <c r="N49" i="14"/>
  <c r="N50" i="14" s="1"/>
  <c r="J49" i="14"/>
  <c r="J50" i="14" s="1"/>
  <c r="BK50" i="14"/>
  <c r="BG49" i="14"/>
  <c r="BG50" i="14" s="1"/>
  <c r="BG54" i="14" s="1"/>
  <c r="BC49" i="14"/>
  <c r="BC50" i="14" s="1"/>
  <c r="AN49" i="14"/>
  <c r="AE49" i="14"/>
  <c r="AE50" i="14" s="1"/>
  <c r="S49" i="14"/>
  <c r="S50" i="14" s="1"/>
  <c r="O49" i="14"/>
  <c r="O50" i="14" s="1"/>
  <c r="G49" i="14"/>
  <c r="G50" i="14" s="1"/>
  <c r="AO44" i="14"/>
  <c r="AO45" i="14" s="1"/>
  <c r="BA44" i="14"/>
  <c r="BA45" i="14" s="1"/>
  <c r="E76" i="8"/>
  <c r="E77" i="8"/>
  <c r="AX39" i="14"/>
  <c r="AX40" i="14" s="1"/>
  <c r="AW40" i="14"/>
  <c r="E21" i="5"/>
  <c r="F34" i="8" l="1"/>
  <c r="E20" i="14"/>
  <c r="C33" i="21" a="1"/>
  <c r="C33" i="21" s="1"/>
  <c r="H39" i="8"/>
  <c r="E34" i="8"/>
  <c r="C32" i="21" a="1"/>
  <c r="C32" i="21" s="1"/>
  <c r="E33" i="8"/>
  <c r="C83" i="21" a="1"/>
  <c r="C83" i="21" s="1"/>
  <c r="AE183" i="8"/>
  <c r="AE186" i="8" s="1"/>
  <c r="AE191" i="8" s="1"/>
  <c r="AE194" i="8" s="1"/>
  <c r="AE199" i="8" s="1"/>
  <c r="E53" i="8"/>
  <c r="P55" i="8"/>
  <c r="AK55" i="14"/>
  <c r="F51" i="14" a="1"/>
  <c r="F51" i="14" s="1"/>
  <c r="F31" i="14" a="1"/>
  <c r="F31" i="14" s="1"/>
  <c r="E51" i="14" a="1"/>
  <c r="E51" i="14" s="1"/>
  <c r="AL55" i="14"/>
  <c r="BM145" i="8"/>
  <c r="BM146" i="8" s="1"/>
  <c r="BM151" i="8" s="1"/>
  <c r="J145" i="8"/>
  <c r="J146" i="8" s="1"/>
  <c r="J151" i="8" s="1"/>
  <c r="AB145" i="8"/>
  <c r="AB146" i="8" s="1"/>
  <c r="AB151" i="8" s="1"/>
  <c r="K145" i="8"/>
  <c r="K146" i="8" s="1"/>
  <c r="K151" i="8" s="1"/>
  <c r="AC145" i="8"/>
  <c r="AC146" i="8" s="1"/>
  <c r="AC151" i="8" s="1"/>
  <c r="AA145" i="8"/>
  <c r="AA146" i="8" s="1"/>
  <c r="AA151" i="8" s="1"/>
  <c r="BK153" i="8"/>
  <c r="BK154" i="8" s="1"/>
  <c r="BK159" i="8" s="1"/>
  <c r="BE145" i="8"/>
  <c r="BE146" i="8" s="1"/>
  <c r="AW145" i="8"/>
  <c r="AW146" i="8" s="1"/>
  <c r="AW151" i="8" s="1"/>
  <c r="AZ145" i="8"/>
  <c r="AZ146" i="8" s="1"/>
  <c r="AZ151" i="8" s="1"/>
  <c r="W145" i="8"/>
  <c r="W146" i="8" s="1"/>
  <c r="W151" i="8" s="1"/>
  <c r="M145" i="8"/>
  <c r="M146" i="8" s="1"/>
  <c r="M151" i="8" s="1"/>
  <c r="AL145" i="8"/>
  <c r="AL146" i="8" s="1"/>
  <c r="AL151" i="8" s="1"/>
  <c r="AU145" i="8"/>
  <c r="AU146" i="8" s="1"/>
  <c r="AU151" i="8" s="1"/>
  <c r="AH146" i="8"/>
  <c r="AH151" i="8" s="1"/>
  <c r="BC145" i="8"/>
  <c r="BC146" i="8" s="1"/>
  <c r="BC151" i="8" s="1"/>
  <c r="AF145" i="8"/>
  <c r="AF146" i="8" s="1"/>
  <c r="AF151" i="8" s="1"/>
  <c r="Y145" i="8"/>
  <c r="Y146" i="8" s="1"/>
  <c r="V55" i="14"/>
  <c r="G92" i="8"/>
  <c r="F92" i="8"/>
  <c r="G91" i="21" s="1" a="1"/>
  <c r="G91" i="21" s="1"/>
  <c r="R55" i="14"/>
  <c r="AY55" i="14"/>
  <c r="Z55" i="14"/>
  <c r="BK55" i="14"/>
  <c r="AS55" i="14"/>
  <c r="AT55" i="14"/>
  <c r="BI92" i="8"/>
  <c r="BD92" i="8"/>
  <c r="AN92" i="8"/>
  <c r="X92" i="8"/>
  <c r="H92" i="8"/>
  <c r="AU92" i="8"/>
  <c r="AE92" i="8"/>
  <c r="O92" i="8"/>
  <c r="BF92" i="8"/>
  <c r="AL92" i="8"/>
  <c r="V92" i="8"/>
  <c r="BM92" i="8"/>
  <c r="AS92" i="8"/>
  <c r="Y92" i="8"/>
  <c r="I92" i="8"/>
  <c r="AZ92" i="8"/>
  <c r="AJ92" i="8"/>
  <c r="T92" i="8"/>
  <c r="BG92" i="8"/>
  <c r="AQ92" i="8"/>
  <c r="AA92" i="8"/>
  <c r="K92" i="8"/>
  <c r="BB92" i="8"/>
  <c r="AH92" i="8"/>
  <c r="R92" i="8"/>
  <c r="BE92" i="8"/>
  <c r="AK92" i="8"/>
  <c r="U92" i="8"/>
  <c r="BL92" i="8"/>
  <c r="AV92" i="8"/>
  <c r="AF92" i="8"/>
  <c r="P92" i="8"/>
  <c r="BC92" i="8"/>
  <c r="AM92" i="8"/>
  <c r="W92" i="8"/>
  <c r="AX92" i="8"/>
  <c r="AD92" i="8"/>
  <c r="N92" i="8"/>
  <c r="BA92" i="8"/>
  <c r="AG92" i="8"/>
  <c r="Q92" i="8"/>
  <c r="L92" i="8"/>
  <c r="BJ92" i="8"/>
  <c r="AW92" i="8"/>
  <c r="AB92" i="8"/>
  <c r="J92" i="8"/>
  <c r="BH92" i="8"/>
  <c r="AY92" i="8"/>
  <c r="AP92" i="8"/>
  <c r="AC92" i="8"/>
  <c r="AR92" i="8"/>
  <c r="AI92" i="8"/>
  <c r="Z92" i="8"/>
  <c r="M92" i="8"/>
  <c r="S92" i="8"/>
  <c r="Q60" i="14" s="1"/>
  <c r="AD55" i="14"/>
  <c r="BH55" i="14"/>
  <c r="G18" i="5"/>
  <c r="H19" i="5" s="1"/>
  <c r="AV49" i="14"/>
  <c r="AV50" i="14" s="1"/>
  <c r="AV54" i="14" s="1"/>
  <c r="BE50" i="14"/>
  <c r="BE55" i="14" s="1"/>
  <c r="W49" i="14"/>
  <c r="W50" i="14" s="1"/>
  <c r="W54" i="14" s="1"/>
  <c r="W55" i="14" s="1"/>
  <c r="D46" i="14"/>
  <c r="AI54" i="14"/>
  <c r="AI55" i="14" s="1"/>
  <c r="BD49" i="14"/>
  <c r="BD50" i="14" s="1"/>
  <c r="BD54" i="14" s="1"/>
  <c r="AC49" i="14"/>
  <c r="AC50" i="14" s="1"/>
  <c r="AC54" i="14" s="1"/>
  <c r="BF50" i="14"/>
  <c r="BF55" i="14" s="1"/>
  <c r="D41" i="14"/>
  <c r="BB45" i="14"/>
  <c r="BB49" i="14" s="1"/>
  <c r="BB50" i="14" s="1"/>
  <c r="BB54" i="14" s="1"/>
  <c r="BB55" i="14" s="1"/>
  <c r="AZ50" i="14"/>
  <c r="AZ54" i="14" s="1"/>
  <c r="AZ55" i="14" s="1"/>
  <c r="AB50" i="14"/>
  <c r="AB54" i="14" s="1"/>
  <c r="AB55" i="14" s="1"/>
  <c r="AB60" i="14" s="1"/>
  <c r="AB64" i="14" s="1"/>
  <c r="AN50" i="14"/>
  <c r="AN54" i="14" s="1"/>
  <c r="AN55" i="14" s="1"/>
  <c r="AR50" i="14"/>
  <c r="AR54" i="14" s="1"/>
  <c r="AR55" i="14" s="1"/>
  <c r="J19" i="5"/>
  <c r="BI145" i="8"/>
  <c r="BI146" i="8" s="1"/>
  <c r="BI151" i="8" s="1"/>
  <c r="BA137" i="8"/>
  <c r="BA138" i="8" s="1"/>
  <c r="BA143" i="8" s="1"/>
  <c r="BB162" i="8"/>
  <c r="BB167" i="8" s="1"/>
  <c r="I19" i="6"/>
  <c r="K21" i="5" s="1"/>
  <c r="J18" i="6"/>
  <c r="BH161" i="8"/>
  <c r="BH162" i="8" s="1"/>
  <c r="BH167" i="8" s="1"/>
  <c r="AS146" i="8"/>
  <c r="AS151" i="8" s="1"/>
  <c r="I153" i="8"/>
  <c r="AG153" i="8"/>
  <c r="AG154" i="8" s="1"/>
  <c r="AG159" i="8" s="1"/>
  <c r="N153" i="8"/>
  <c r="N154" i="8" s="1"/>
  <c r="N159" i="8" s="1"/>
  <c r="Q153" i="8"/>
  <c r="Q154" i="8" s="1"/>
  <c r="Q159" i="8" s="1"/>
  <c r="L153" i="8"/>
  <c r="R153" i="8"/>
  <c r="R154" i="8" s="1"/>
  <c r="R159" i="8" s="1"/>
  <c r="AI153" i="8"/>
  <c r="BJ154" i="8"/>
  <c r="BJ159" i="8" s="1"/>
  <c r="X137" i="8"/>
  <c r="X138" i="8" s="1"/>
  <c r="X143" i="8" s="1"/>
  <c r="AT137" i="8"/>
  <c r="AT138" i="8" s="1"/>
  <c r="AT143" i="8" s="1"/>
  <c r="AM137" i="8"/>
  <c r="AM138" i="8" s="1"/>
  <c r="AM143" i="8" s="1"/>
  <c r="AD137" i="8"/>
  <c r="AD138" i="8" s="1"/>
  <c r="AD143" i="8" s="1"/>
  <c r="AK137" i="8"/>
  <c r="AK138" i="8" s="1"/>
  <c r="AK143" i="8" s="1"/>
  <c r="AO137" i="8"/>
  <c r="AO138" i="8" s="1"/>
  <c r="AO143" i="8" s="1"/>
  <c r="AJ137" i="8"/>
  <c r="AJ138" i="8" s="1"/>
  <c r="AJ143" i="8" s="1"/>
  <c r="V137" i="8"/>
  <c r="V138" i="8" s="1"/>
  <c r="V143" i="8" s="1"/>
  <c r="Z137" i="8"/>
  <c r="Z138" i="8" s="1"/>
  <c r="Z143" i="8" s="1"/>
  <c r="AN137" i="8"/>
  <c r="AN138" i="8" s="1"/>
  <c r="AN143" i="8" s="1"/>
  <c r="AY129" i="8"/>
  <c r="AY130" i="8" s="1"/>
  <c r="AY135" i="8" s="1"/>
  <c r="AX129" i="8"/>
  <c r="AX130" i="8" s="1"/>
  <c r="AX135" i="8" s="1"/>
  <c r="BN92" i="8"/>
  <c r="BK92" i="8"/>
  <c r="E84" i="8"/>
  <c r="G54" i="14"/>
  <c r="G55" i="14" s="1"/>
  <c r="G59" i="14" s="1"/>
  <c r="G60" i="14" s="1"/>
  <c r="G64" i="14" s="1"/>
  <c r="K54" i="14"/>
  <c r="K55" i="14" s="1"/>
  <c r="O54" i="14"/>
  <c r="O55" i="14" s="1"/>
  <c r="O59" i="14" s="1"/>
  <c r="O60" i="14" s="1"/>
  <c r="O64" i="14" s="1"/>
  <c r="S54" i="14"/>
  <c r="S55" i="14" s="1"/>
  <c r="AA54" i="14"/>
  <c r="AA55" i="14" s="1"/>
  <c r="AE54" i="14"/>
  <c r="AE55" i="14" s="1"/>
  <c r="AE59" i="14" s="1"/>
  <c r="AE60" i="14" s="1"/>
  <c r="AE64" i="14" s="1"/>
  <c r="BC54" i="14"/>
  <c r="BC55" i="14" s="1"/>
  <c r="BG55" i="14"/>
  <c r="J54" i="14"/>
  <c r="J55" i="14" s="1"/>
  <c r="N54" i="14"/>
  <c r="N55" i="14" s="1"/>
  <c r="AH54" i="14"/>
  <c r="AH55" i="14" s="1"/>
  <c r="AM54" i="14"/>
  <c r="BJ54" i="14"/>
  <c r="BJ55" i="14" s="1"/>
  <c r="I54" i="14"/>
  <c r="M54" i="14"/>
  <c r="M55" i="14" s="1"/>
  <c r="Y54" i="14"/>
  <c r="Y55" i="14" s="1"/>
  <c r="AQ54" i="14"/>
  <c r="AQ55" i="14" s="1"/>
  <c r="BI54" i="14"/>
  <c r="BI55" i="14" s="1"/>
  <c r="H54" i="14"/>
  <c r="H55" i="14" s="1"/>
  <c r="L54" i="14"/>
  <c r="L55" i="14" s="1"/>
  <c r="P54" i="14"/>
  <c r="P55" i="14" s="1"/>
  <c r="T54" i="14"/>
  <c r="T55" i="14" s="1"/>
  <c r="X54" i="14"/>
  <c r="X55" i="14" s="1"/>
  <c r="AF54" i="14"/>
  <c r="AF55" i="14" s="1"/>
  <c r="AJ54" i="14"/>
  <c r="AJ55" i="14" s="1"/>
  <c r="AP54" i="14"/>
  <c r="AP55" i="14" s="1"/>
  <c r="AU54" i="14"/>
  <c r="AU55" i="14" s="1"/>
  <c r="BL54" i="14"/>
  <c r="BL55" i="14" s="1"/>
  <c r="AG54" i="14"/>
  <c r="AG55" i="14" s="1"/>
  <c r="E22" i="5"/>
  <c r="AT92" i="8"/>
  <c r="AO92" i="8"/>
  <c r="BA49" i="14"/>
  <c r="BA50" i="14" s="1"/>
  <c r="AO49" i="14"/>
  <c r="AO50" i="14" s="1"/>
  <c r="AW45" i="14"/>
  <c r="AX44" i="14"/>
  <c r="F39" i="8" l="1"/>
  <c r="G38" i="21" s="1" a="1"/>
  <c r="G38" i="21" s="1"/>
  <c r="G33" i="21" a="1"/>
  <c r="G33" i="21" s="1"/>
  <c r="AK60" i="14"/>
  <c r="E25" i="14"/>
  <c r="D20" i="14"/>
  <c r="F41" i="8"/>
  <c r="G40" i="21" s="1" a="1"/>
  <c r="G40" i="21" s="1"/>
  <c r="C38" i="21" a="1"/>
  <c r="C38" i="21" s="1"/>
  <c r="H41" i="8"/>
  <c r="H42" i="8" s="1"/>
  <c r="E39" i="8"/>
  <c r="C91" i="21" a="1"/>
  <c r="C91" i="21" s="1"/>
  <c r="BE151" i="8"/>
  <c r="BE153" i="8" s="1"/>
  <c r="BE154" i="8" s="1"/>
  <c r="BE159" i="8" s="1"/>
  <c r="Y151" i="8"/>
  <c r="F56" i="14" a="1"/>
  <c r="F56" i="14" s="1"/>
  <c r="F34" i="14"/>
  <c r="D31" i="14"/>
  <c r="E56" i="14" a="1"/>
  <c r="E56" i="14" s="1"/>
  <c r="AY60" i="14"/>
  <c r="BK161" i="8"/>
  <c r="BK162" i="8" s="1"/>
  <c r="BK167" i="8" s="1"/>
  <c r="AD145" i="8"/>
  <c r="AD146" i="8" s="1"/>
  <c r="AD151" i="8" s="1"/>
  <c r="BA145" i="8"/>
  <c r="BA146" i="8" s="1"/>
  <c r="AJ145" i="8"/>
  <c r="AJ146" i="8" s="1"/>
  <c r="AJ151" i="8" s="1"/>
  <c r="AM145" i="8"/>
  <c r="AM146" i="8" s="1"/>
  <c r="AM151" i="8" s="1"/>
  <c r="X145" i="8"/>
  <c r="X146" i="8" s="1"/>
  <c r="X151" i="8" s="1"/>
  <c r="AN145" i="8"/>
  <c r="AN146" i="8" s="1"/>
  <c r="AN151" i="8" s="1"/>
  <c r="AO145" i="8"/>
  <c r="AO146" i="8" s="1"/>
  <c r="AO151" i="8" s="1"/>
  <c r="AT145" i="8"/>
  <c r="AT146" i="8" s="1"/>
  <c r="AT151" i="8" s="1"/>
  <c r="V145" i="8"/>
  <c r="V146" i="8" s="1"/>
  <c r="V151" i="8" s="1"/>
  <c r="Z145" i="8"/>
  <c r="Z146" i="8" s="1"/>
  <c r="Z151" i="8" s="1"/>
  <c r="AK145" i="8"/>
  <c r="AK146" i="8" s="1"/>
  <c r="AK151" i="8" s="1"/>
  <c r="P57" i="8"/>
  <c r="R60" i="14"/>
  <c r="Z60" i="14"/>
  <c r="W59" i="14"/>
  <c r="W60" i="14" s="1"/>
  <c r="BC59" i="14"/>
  <c r="BC60" i="14" s="1"/>
  <c r="G100" i="8"/>
  <c r="F100" i="8"/>
  <c r="G99" i="21" s="1" a="1"/>
  <c r="G99" i="21" s="1"/>
  <c r="AU59" i="14"/>
  <c r="AU60" i="14" s="1"/>
  <c r="BK60" i="14"/>
  <c r="BE60" i="14"/>
  <c r="AD60" i="14"/>
  <c r="BH60" i="14"/>
  <c r="V60" i="14"/>
  <c r="AT60" i="14"/>
  <c r="AE100" i="8"/>
  <c r="AX100" i="8"/>
  <c r="AH100" i="8"/>
  <c r="R100" i="8"/>
  <c r="BI100" i="8"/>
  <c r="AS100" i="8"/>
  <c r="Y100" i="8"/>
  <c r="I100" i="8"/>
  <c r="AV100" i="8"/>
  <c r="AF100" i="8"/>
  <c r="P100" i="8"/>
  <c r="BG100" i="8"/>
  <c r="AQ100" i="8"/>
  <c r="W100" i="8"/>
  <c r="BN100" i="8"/>
  <c r="AT100" i="8"/>
  <c r="AD100" i="8"/>
  <c r="N100" i="8"/>
  <c r="BE100" i="8"/>
  <c r="AO100" i="8"/>
  <c r="U100" i="8"/>
  <c r="BH100" i="8"/>
  <c r="AR100" i="8"/>
  <c r="AB100" i="8"/>
  <c r="L100" i="8"/>
  <c r="BC100" i="8"/>
  <c r="AM100" i="8"/>
  <c r="AK65" i="14" s="1"/>
  <c r="S100" i="8"/>
  <c r="Q65" i="14" s="1"/>
  <c r="BJ100" i="8"/>
  <c r="AP100" i="8"/>
  <c r="Z100" i="8"/>
  <c r="J100" i="8"/>
  <c r="BA100" i="8"/>
  <c r="AK100" i="8"/>
  <c r="Q100" i="8"/>
  <c r="BD100" i="8"/>
  <c r="AN100" i="8"/>
  <c r="X100" i="8"/>
  <c r="H100" i="8"/>
  <c r="AY100" i="8"/>
  <c r="AI100" i="8"/>
  <c r="O100" i="8"/>
  <c r="V100" i="8"/>
  <c r="M100" i="8"/>
  <c r="BK100" i="8"/>
  <c r="BM100" i="8"/>
  <c r="AZ100" i="8"/>
  <c r="AU100" i="8"/>
  <c r="BF100" i="8"/>
  <c r="AW100" i="8"/>
  <c r="AJ100" i="8"/>
  <c r="AA100" i="8"/>
  <c r="T100" i="8"/>
  <c r="K100" i="8"/>
  <c r="AL100" i="8"/>
  <c r="AG100" i="8"/>
  <c r="BF60" i="14"/>
  <c r="AS60" i="14"/>
  <c r="AL60" i="14"/>
  <c r="G19" i="5"/>
  <c r="H20" i="5" s="1"/>
  <c r="BL60" i="14"/>
  <c r="AV55" i="14"/>
  <c r="AV59" i="14" s="1"/>
  <c r="AV60" i="14" s="1"/>
  <c r="AX45" i="14"/>
  <c r="AX49" i="14" s="1"/>
  <c r="AX50" i="14" s="1"/>
  <c r="I55" i="14"/>
  <c r="I59" i="14" s="1"/>
  <c r="I60" i="14" s="1"/>
  <c r="I64" i="14" s="1"/>
  <c r="BD55" i="14"/>
  <c r="BD59" i="14" s="1"/>
  <c r="AM55" i="14"/>
  <c r="AE202" i="8"/>
  <c r="AE207" i="8" s="1"/>
  <c r="J20" i="5"/>
  <c r="BI153" i="8"/>
  <c r="BI154" i="8" s="1"/>
  <c r="BI159" i="8" s="1"/>
  <c r="I20" i="6"/>
  <c r="K22" i="5" s="1"/>
  <c r="J19" i="6"/>
  <c r="BB170" i="8"/>
  <c r="BB175" i="8" s="1"/>
  <c r="BN169" i="8"/>
  <c r="BN170" i="8" s="1"/>
  <c r="BN175" i="8" s="1"/>
  <c r="AV170" i="8"/>
  <c r="AV175" i="8" s="1"/>
  <c r="BF137" i="8"/>
  <c r="BF138" i="8" s="1"/>
  <c r="BF143" i="8" s="1"/>
  <c r="O162" i="8"/>
  <c r="O167" i="8" s="1"/>
  <c r="S161" i="8"/>
  <c r="S162" i="8" s="1"/>
  <c r="S167" i="8" s="1"/>
  <c r="BD161" i="8"/>
  <c r="BD162" i="8" s="1"/>
  <c r="BD167" i="8" s="1"/>
  <c r="BL161" i="8"/>
  <c r="BL162" i="8" s="1"/>
  <c r="BL167" i="8" s="1"/>
  <c r="AP161" i="8"/>
  <c r="AP162" i="8" s="1"/>
  <c r="AP167" i="8" s="1"/>
  <c r="BG161" i="8"/>
  <c r="BG162" i="8" s="1"/>
  <c r="BG167" i="8" s="1"/>
  <c r="T161" i="8"/>
  <c r="T162" i="8" s="1"/>
  <c r="T167" i="8" s="1"/>
  <c r="AA153" i="8"/>
  <c r="AA154" i="8" s="1"/>
  <c r="AA159" i="8" s="1"/>
  <c r="AB153" i="8"/>
  <c r="AH153" i="8"/>
  <c r="AH154" i="8" s="1"/>
  <c r="AH159" i="8" s="1"/>
  <c r="K153" i="8"/>
  <c r="AC153" i="8"/>
  <c r="AC154" i="8" s="1"/>
  <c r="AC159" i="8" s="1"/>
  <c r="AL153" i="8"/>
  <c r="BM153" i="8"/>
  <c r="BM154" i="8" s="1"/>
  <c r="BM159" i="8" s="1"/>
  <c r="AF153" i="8"/>
  <c r="AU153" i="8"/>
  <c r="AU154" i="8" s="1"/>
  <c r="AU159" i="8" s="1"/>
  <c r="M153" i="8"/>
  <c r="M154" i="8" s="1"/>
  <c r="M159" i="8" s="1"/>
  <c r="J153" i="8"/>
  <c r="J154" i="8" s="1"/>
  <c r="J159" i="8" s="1"/>
  <c r="W153" i="8"/>
  <c r="W154" i="8" s="1"/>
  <c r="W159" i="8" s="1"/>
  <c r="AW153" i="8"/>
  <c r="BC153" i="8"/>
  <c r="AI154" i="8"/>
  <c r="AI159" i="8" s="1"/>
  <c r="L154" i="8"/>
  <c r="L159" i="8" s="1"/>
  <c r="U154" i="8"/>
  <c r="U159" i="8" s="1"/>
  <c r="I154" i="8"/>
  <c r="I159" i="8" s="1"/>
  <c r="AY137" i="8"/>
  <c r="AY138" i="8" s="1"/>
  <c r="AY143" i="8" s="1"/>
  <c r="AX137" i="8"/>
  <c r="AX138" i="8" s="1"/>
  <c r="AX143" i="8" s="1"/>
  <c r="AQ129" i="8"/>
  <c r="AQ130" i="8" s="1"/>
  <c r="AQ135" i="8" s="1"/>
  <c r="AR113" i="8"/>
  <c r="AR114" i="8" s="1"/>
  <c r="AR119" i="8" s="1"/>
  <c r="AB65" i="14"/>
  <c r="AB69" i="14" s="1"/>
  <c r="E23" i="5"/>
  <c r="BL100" i="8"/>
  <c r="BB100" i="8"/>
  <c r="AC100" i="8"/>
  <c r="O65" i="14"/>
  <c r="O69" i="14" s="1"/>
  <c r="AE65" i="14"/>
  <c r="AE69" i="14" s="1"/>
  <c r="G65" i="14"/>
  <c r="G69" i="14" s="1"/>
  <c r="T59" i="14"/>
  <c r="T60" i="14" s="1"/>
  <c r="T64" i="14" s="1"/>
  <c r="AI59" i="14"/>
  <c r="AI60" i="14" s="1"/>
  <c r="J59" i="14"/>
  <c r="J60" i="14" s="1"/>
  <c r="J64" i="14" s="1"/>
  <c r="AN59" i="14"/>
  <c r="AN60" i="14" s="1"/>
  <c r="AN64" i="14" s="1"/>
  <c r="S59" i="14"/>
  <c r="AF59" i="14"/>
  <c r="AF60" i="14" s="1"/>
  <c r="AF64" i="14" s="1"/>
  <c r="P59" i="14"/>
  <c r="P60" i="14" s="1"/>
  <c r="P64" i="14" s="1"/>
  <c r="L59" i="14"/>
  <c r="L60" i="14" s="1"/>
  <c r="L64" i="14" s="1"/>
  <c r="Y59" i="14"/>
  <c r="Y60" i="14" s="1"/>
  <c r="BJ59" i="14"/>
  <c r="BJ60" i="14" s="1"/>
  <c r="AH59" i="14"/>
  <c r="AH60" i="14" s="1"/>
  <c r="AH64" i="14" s="1"/>
  <c r="BG60" i="14"/>
  <c r="AA59" i="14"/>
  <c r="AJ59" i="14"/>
  <c r="AJ60" i="14" s="1"/>
  <c r="AJ64" i="14" s="1"/>
  <c r="AZ59" i="14"/>
  <c r="AG59" i="14"/>
  <c r="AP59" i="14"/>
  <c r="AP60" i="14" s="1"/>
  <c r="X59" i="14"/>
  <c r="H59" i="14"/>
  <c r="AQ59" i="14"/>
  <c r="AQ60" i="14" s="1"/>
  <c r="AQ64" i="14" s="1"/>
  <c r="M59" i="14"/>
  <c r="BB59" i="14"/>
  <c r="BB60" i="14" s="1"/>
  <c r="N59" i="14"/>
  <c r="N60" i="14" s="1"/>
  <c r="N64" i="14" s="1"/>
  <c r="K59" i="14"/>
  <c r="K60" i="14" s="1"/>
  <c r="K64" i="14" s="1"/>
  <c r="E85" i="8"/>
  <c r="AO54" i="14"/>
  <c r="AO55" i="14" s="1"/>
  <c r="BA54" i="14"/>
  <c r="E92" i="8"/>
  <c r="AW50" i="14"/>
  <c r="AW55" i="14" s="1"/>
  <c r="AW60" i="14" s="1"/>
  <c r="F42" i="8" l="1"/>
  <c r="E30" i="14"/>
  <c r="D25" i="14"/>
  <c r="C41" i="21" a="1"/>
  <c r="C41" i="21" s="1"/>
  <c r="H47" i="8"/>
  <c r="E42" i="8"/>
  <c r="C40" i="21" a="1"/>
  <c r="C40" i="21" s="1"/>
  <c r="E41" i="8"/>
  <c r="C99" i="21" a="1"/>
  <c r="C99" i="21" s="1"/>
  <c r="Y153" i="8"/>
  <c r="Y154" i="8" s="1"/>
  <c r="Y159" i="8" s="1"/>
  <c r="BA151" i="8"/>
  <c r="BA153" i="8" s="1"/>
  <c r="BA154" i="8" s="1"/>
  <c r="BA159" i="8" s="1"/>
  <c r="F61" i="14" a="1"/>
  <c r="F61" i="14" s="1"/>
  <c r="F35" i="14"/>
  <c r="D34" i="14"/>
  <c r="Z65" i="14"/>
  <c r="E61" i="14" a="1"/>
  <c r="E61" i="14" s="1"/>
  <c r="BN177" i="8"/>
  <c r="BN178" i="8" s="1"/>
  <c r="BI161" i="8"/>
  <c r="BI162" i="8" s="1"/>
  <c r="BI167" i="8" s="1"/>
  <c r="AX145" i="8"/>
  <c r="AX146" i="8" s="1"/>
  <c r="AX151" i="8" s="1"/>
  <c r="BB178" i="8"/>
  <c r="AS153" i="8"/>
  <c r="AS154" i="8" s="1"/>
  <c r="AS159" i="8" s="1"/>
  <c r="AZ153" i="8"/>
  <c r="AZ154" i="8" s="1"/>
  <c r="AY145" i="8"/>
  <c r="AY146" i="8" s="1"/>
  <c r="AY151" i="8" s="1"/>
  <c r="BF145" i="8"/>
  <c r="BF146" i="8" s="1"/>
  <c r="AV178" i="8"/>
  <c r="P58" i="8"/>
  <c r="P63" i="8" s="1"/>
  <c r="BC64" i="14"/>
  <c r="BC65" i="14" s="1"/>
  <c r="R65" i="14"/>
  <c r="BF65" i="14"/>
  <c r="AU64" i="14"/>
  <c r="AU65" i="14" s="1"/>
  <c r="G108" i="8"/>
  <c r="F108" i="8"/>
  <c r="G107" i="21" s="1" a="1"/>
  <c r="G107" i="21" s="1"/>
  <c r="AP64" i="14"/>
  <c r="AP65" i="14" s="1"/>
  <c r="AD65" i="14"/>
  <c r="AV64" i="14"/>
  <c r="AV65" i="14" s="1"/>
  <c r="AL65" i="14"/>
  <c r="BG64" i="14"/>
  <c r="BG65" i="14" s="1"/>
  <c r="AW65" i="14"/>
  <c r="BL65" i="14"/>
  <c r="AT65" i="14"/>
  <c r="BB64" i="14"/>
  <c r="BB65" i="14" s="1"/>
  <c r="W64" i="14"/>
  <c r="W65" i="14" s="1"/>
  <c r="V65" i="14"/>
  <c r="E24" i="5"/>
  <c r="BD108" i="8"/>
  <c r="AN108" i="8"/>
  <c r="X108" i="8"/>
  <c r="H108" i="8"/>
  <c r="AY108" i="8"/>
  <c r="AI108" i="8"/>
  <c r="S108" i="8"/>
  <c r="Q70" i="14" s="1"/>
  <c r="BN108" i="8"/>
  <c r="AX108" i="8"/>
  <c r="AH108" i="8"/>
  <c r="R108" i="8"/>
  <c r="BI108" i="8"/>
  <c r="AS108" i="8"/>
  <c r="AC108" i="8"/>
  <c r="M108" i="8"/>
  <c r="BL108" i="8"/>
  <c r="AV108" i="8"/>
  <c r="AF108" i="8"/>
  <c r="P108" i="8"/>
  <c r="BG108" i="8"/>
  <c r="AQ108" i="8"/>
  <c r="AA108" i="8"/>
  <c r="K108" i="8"/>
  <c r="BF108" i="8"/>
  <c r="AP108" i="8"/>
  <c r="Z108" i="8"/>
  <c r="J108" i="8"/>
  <c r="BA108" i="8"/>
  <c r="AK108" i="8"/>
  <c r="U108" i="8"/>
  <c r="AJ108" i="8"/>
  <c r="BK108" i="8"/>
  <c r="AE108" i="8"/>
  <c r="BJ108" i="8"/>
  <c r="AD108" i="8"/>
  <c r="BE108" i="8"/>
  <c r="Y108" i="8"/>
  <c r="BH108" i="8"/>
  <c r="AB108" i="8"/>
  <c r="BC108" i="8"/>
  <c r="W108" i="8"/>
  <c r="BB108" i="8"/>
  <c r="V108" i="8"/>
  <c r="AW108" i="8"/>
  <c r="Q108" i="8"/>
  <c r="AZ108" i="8"/>
  <c r="T108" i="8"/>
  <c r="AU108" i="8"/>
  <c r="O108" i="8"/>
  <c r="AT108" i="8"/>
  <c r="N108" i="8"/>
  <c r="AO108" i="8"/>
  <c r="I108" i="8"/>
  <c r="AR108" i="8"/>
  <c r="AL108" i="8"/>
  <c r="L108" i="8"/>
  <c r="BM108" i="8"/>
  <c r="AM108" i="8"/>
  <c r="AG108" i="8"/>
  <c r="BH65" i="14"/>
  <c r="Y64" i="14"/>
  <c r="Y65" i="14" s="1"/>
  <c r="AS65" i="14"/>
  <c r="AY65" i="14"/>
  <c r="BE65" i="14"/>
  <c r="BK65" i="14"/>
  <c r="BI60" i="14"/>
  <c r="BI64" i="14" s="1"/>
  <c r="G20" i="5"/>
  <c r="H21" i="5" s="1"/>
  <c r="AR60" i="14"/>
  <c r="AR65" i="14" s="1"/>
  <c r="AC65" i="14"/>
  <c r="BD60" i="14"/>
  <c r="BD64" i="14" s="1"/>
  <c r="AZ60" i="14"/>
  <c r="AA60" i="14"/>
  <c r="M60" i="14"/>
  <c r="M64" i="14" s="1"/>
  <c r="H60" i="14"/>
  <c r="H64" i="14" s="1"/>
  <c r="X60" i="14"/>
  <c r="X64" i="14" s="1"/>
  <c r="S60" i="14"/>
  <c r="S64" i="14" s="1"/>
  <c r="BA55" i="14"/>
  <c r="BA59" i="14" s="1"/>
  <c r="BA60" i="14" s="1"/>
  <c r="BA64" i="14" s="1"/>
  <c r="AG60" i="14"/>
  <c r="AG64" i="14" s="1"/>
  <c r="J21" i="5"/>
  <c r="AE210" i="8"/>
  <c r="AE215" i="8" s="1"/>
  <c r="I21" i="6"/>
  <c r="K23" i="5" s="1"/>
  <c r="J20" i="6"/>
  <c r="J22" i="5" s="1"/>
  <c r="BH169" i="8"/>
  <c r="BH170" i="8" s="1"/>
  <c r="BH175" i="8" s="1"/>
  <c r="AG161" i="8"/>
  <c r="AG162" i="8" s="1"/>
  <c r="AG167" i="8" s="1"/>
  <c r="R161" i="8"/>
  <c r="R162" i="8" s="1"/>
  <c r="R167" i="8" s="1"/>
  <c r="BJ161" i="8"/>
  <c r="BJ162" i="8" s="1"/>
  <c r="BJ167" i="8" s="1"/>
  <c r="N161" i="8"/>
  <c r="N162" i="8" s="1"/>
  <c r="N167" i="8" s="1"/>
  <c r="Q161" i="8"/>
  <c r="Q162" i="8" s="1"/>
  <c r="Q167" i="8" s="1"/>
  <c r="AM153" i="8"/>
  <c r="AM154" i="8" s="1"/>
  <c r="AM159" i="8" s="1"/>
  <c r="AJ153" i="8"/>
  <c r="AJ154" i="8" s="1"/>
  <c r="AO153" i="8"/>
  <c r="AO154" i="8" s="1"/>
  <c r="AO159" i="8" s="1"/>
  <c r="AT153" i="8"/>
  <c r="V154" i="8"/>
  <c r="V159" i="8" s="1"/>
  <c r="AK153" i="8"/>
  <c r="AK154" i="8" s="1"/>
  <c r="AK159" i="8" s="1"/>
  <c r="X153" i="8"/>
  <c r="AN153" i="8"/>
  <c r="AN154" i="8" s="1"/>
  <c r="AN159" i="8" s="1"/>
  <c r="AD154" i="8"/>
  <c r="AD159" i="8" s="1"/>
  <c r="Z153" i="8"/>
  <c r="Z154" i="8" s="1"/>
  <c r="BC154" i="8"/>
  <c r="BC159" i="8" s="1"/>
  <c r="AW154" i="8"/>
  <c r="AW159" i="8" s="1"/>
  <c r="AF154" i="8"/>
  <c r="AF159" i="8" s="1"/>
  <c r="AL154" i="8"/>
  <c r="AL159" i="8" s="1"/>
  <c r="K154" i="8"/>
  <c r="K159" i="8" s="1"/>
  <c r="AB154" i="8"/>
  <c r="AB159" i="8" s="1"/>
  <c r="AQ137" i="8"/>
  <c r="AQ138" i="8" s="1"/>
  <c r="AQ143" i="8" s="1"/>
  <c r="AR121" i="8"/>
  <c r="E25" i="5"/>
  <c r="AG116" i="8"/>
  <c r="O116" i="8"/>
  <c r="BD116" i="8"/>
  <c r="O70" i="14"/>
  <c r="AB70" i="14"/>
  <c r="AE70" i="14"/>
  <c r="G70" i="14"/>
  <c r="J65" i="14"/>
  <c r="J69" i="14" s="1"/>
  <c r="AH65" i="14"/>
  <c r="AH69" i="14" s="1"/>
  <c r="L65" i="14"/>
  <c r="L69" i="14" s="1"/>
  <c r="T65" i="14"/>
  <c r="T69" i="14" s="1"/>
  <c r="N65" i="14"/>
  <c r="N69" i="14" s="1"/>
  <c r="P65" i="14"/>
  <c r="P69" i="14" s="1"/>
  <c r="E100" i="8"/>
  <c r="AI65" i="14"/>
  <c r="K65" i="14"/>
  <c r="K69" i="14" s="1"/>
  <c r="AQ65" i="14"/>
  <c r="AQ69" i="14" s="1"/>
  <c r="AJ65" i="14"/>
  <c r="AJ69" i="14" s="1"/>
  <c r="AN65" i="14"/>
  <c r="AN69" i="14" s="1"/>
  <c r="AF65" i="14"/>
  <c r="AF69" i="14" s="1"/>
  <c r="I65" i="14"/>
  <c r="I69" i="14" s="1"/>
  <c r="E93" i="8"/>
  <c r="AO59" i="14"/>
  <c r="AO60" i="14" s="1"/>
  <c r="AO64" i="14" s="1"/>
  <c r="D51" i="14"/>
  <c r="U55" i="14"/>
  <c r="U60" i="14" s="1"/>
  <c r="U65" i="14" s="1"/>
  <c r="AX54" i="14"/>
  <c r="F47" i="8" l="1"/>
  <c r="G41" i="21" a="1"/>
  <c r="G41" i="21" s="1"/>
  <c r="E35" i="14"/>
  <c r="E40" i="14" s="1"/>
  <c r="E45" i="14" s="1"/>
  <c r="E50" i="14" s="1"/>
  <c r="E55" i="14" s="1"/>
  <c r="E60" i="14" s="1"/>
  <c r="E65" i="14" s="1"/>
  <c r="D30" i="14"/>
  <c r="C107" i="21" a="1"/>
  <c r="C107" i="21" s="1"/>
  <c r="C46" i="21" a="1"/>
  <c r="C46" i="21" s="1"/>
  <c r="H49" i="8"/>
  <c r="H50" i="8" s="1"/>
  <c r="E47" i="8"/>
  <c r="AV183" i="8"/>
  <c r="AV186" i="8" s="1"/>
  <c r="AV191" i="8" s="1"/>
  <c r="AV194" i="8" s="1"/>
  <c r="AV199" i="8" s="1"/>
  <c r="BN183" i="8"/>
  <c r="BN185" i="8" s="1"/>
  <c r="BN186" i="8" s="1"/>
  <c r="BN191" i="8" s="1"/>
  <c r="BN193" i="8" s="1"/>
  <c r="BN194" i="8" s="1"/>
  <c r="BF151" i="8"/>
  <c r="BF153" i="8" s="1"/>
  <c r="BF154" i="8" s="1"/>
  <c r="BF159" i="8" s="1"/>
  <c r="BB183" i="8"/>
  <c r="BB186" i="8" s="1"/>
  <c r="BB191" i="8" s="1"/>
  <c r="BB194" i="8" s="1"/>
  <c r="BB199" i="8" s="1"/>
  <c r="Z159" i="8"/>
  <c r="Z161" i="8" s="1"/>
  <c r="Z162" i="8" s="1"/>
  <c r="Z167" i="8" s="1"/>
  <c r="Z169" i="8" s="1"/>
  <c r="AJ159" i="8"/>
  <c r="AJ162" i="8" s="1"/>
  <c r="AJ167" i="8" s="1"/>
  <c r="AZ159" i="8"/>
  <c r="AZ161" i="8" s="1"/>
  <c r="AZ162" i="8" s="1"/>
  <c r="AZ167" i="8" s="1"/>
  <c r="F66" i="14" a="1"/>
  <c r="F66" i="14" s="1"/>
  <c r="Z70" i="14"/>
  <c r="F39" i="14"/>
  <c r="D35" i="14"/>
  <c r="E66" i="14" a="1"/>
  <c r="E66" i="14" s="1"/>
  <c r="BF70" i="14"/>
  <c r="BC69" i="14"/>
  <c r="BC70" i="14" s="1"/>
  <c r="AQ145" i="8"/>
  <c r="AQ146" i="8" s="1"/>
  <c r="AQ151" i="8" s="1"/>
  <c r="BH177" i="8"/>
  <c r="BH178" i="8" s="1"/>
  <c r="R70" i="14"/>
  <c r="AD70" i="14"/>
  <c r="AY70" i="14"/>
  <c r="G124" i="8"/>
  <c r="F124" i="8"/>
  <c r="G123" i="21" s="1" a="1"/>
  <c r="G123" i="21" s="1"/>
  <c r="G116" i="8"/>
  <c r="F116" i="8"/>
  <c r="G115" i="21" s="1" a="1"/>
  <c r="G115" i="21" s="1"/>
  <c r="BE70" i="14"/>
  <c r="AL70" i="14"/>
  <c r="BL70" i="14"/>
  <c r="BG69" i="14"/>
  <c r="BG70" i="14" s="1"/>
  <c r="AP69" i="14"/>
  <c r="AP70" i="14" s="1"/>
  <c r="BH70" i="14"/>
  <c r="AR70" i="14"/>
  <c r="W69" i="14"/>
  <c r="W70" i="14" s="1"/>
  <c r="Y69" i="14"/>
  <c r="Y70" i="14" s="1"/>
  <c r="BK70" i="14"/>
  <c r="AS70" i="14"/>
  <c r="BI65" i="14"/>
  <c r="BI69" i="14" s="1"/>
  <c r="AC70" i="14"/>
  <c r="AV116" i="8"/>
  <c r="BF116" i="8"/>
  <c r="BM116" i="8"/>
  <c r="BH116" i="8"/>
  <c r="BN116" i="8"/>
  <c r="AX116" i="8"/>
  <c r="AZ116" i="8"/>
  <c r="AT116" i="8"/>
  <c r="AL116" i="8"/>
  <c r="V116" i="8"/>
  <c r="BK116" i="8"/>
  <c r="AK116" i="8"/>
  <c r="Q116" i="8"/>
  <c r="O74" i="14" s="1"/>
  <c r="O75" i="14" s="1"/>
  <c r="BA116" i="8"/>
  <c r="AF116" i="8"/>
  <c r="P116" i="8"/>
  <c r="AY116" i="8"/>
  <c r="AE116" i="8"/>
  <c r="K116" i="8"/>
  <c r="AP116" i="8"/>
  <c r="AO116" i="8"/>
  <c r="BI116" i="8"/>
  <c r="BG116" i="8"/>
  <c r="AR116" i="8"/>
  <c r="BE116" i="8"/>
  <c r="AH116" i="8"/>
  <c r="R116" i="8"/>
  <c r="BC116" i="8"/>
  <c r="AC116" i="8"/>
  <c r="M116" i="8"/>
  <c r="AS116" i="8"/>
  <c r="AB116" i="8"/>
  <c r="L116" i="8"/>
  <c r="AQ116" i="8"/>
  <c r="AA116" i="8"/>
  <c r="BL116" i="8"/>
  <c r="J116" i="8"/>
  <c r="AJ116" i="8"/>
  <c r="S116" i="8"/>
  <c r="Q74" i="14" s="1"/>
  <c r="BJ116" i="8"/>
  <c r="AW116" i="8"/>
  <c r="AD116" i="8"/>
  <c r="AB74" i="14" s="1"/>
  <c r="N116" i="8"/>
  <c r="AU116" i="8"/>
  <c r="Y116" i="8"/>
  <c r="I116" i="8"/>
  <c r="AN116" i="8"/>
  <c r="X116" i="8"/>
  <c r="H116" i="8"/>
  <c r="AM116" i="8"/>
  <c r="W116" i="8"/>
  <c r="BB116" i="8"/>
  <c r="Z116" i="8"/>
  <c r="U116" i="8"/>
  <c r="T116" i="8"/>
  <c r="AI116" i="8"/>
  <c r="AT70" i="14"/>
  <c r="AV69" i="14"/>
  <c r="AV70" i="14" s="1"/>
  <c r="BJ124" i="8"/>
  <c r="AT124" i="8"/>
  <c r="Z124" i="8"/>
  <c r="J124" i="8"/>
  <c r="AZ124" i="8"/>
  <c r="AJ124" i="8"/>
  <c r="P124" i="8"/>
  <c r="BE124" i="8"/>
  <c r="Y124" i="8"/>
  <c r="BC124" i="8"/>
  <c r="W124" i="8"/>
  <c r="AK124" i="8"/>
  <c r="BG124" i="8"/>
  <c r="AA124" i="8"/>
  <c r="BF124" i="8"/>
  <c r="AL124" i="8"/>
  <c r="V124" i="8"/>
  <c r="BL124" i="8"/>
  <c r="AV124" i="8"/>
  <c r="AF124" i="8"/>
  <c r="L124" i="8"/>
  <c r="AW124" i="8"/>
  <c r="Q124" i="8"/>
  <c r="AU124" i="8"/>
  <c r="O124" i="8"/>
  <c r="AC124" i="8"/>
  <c r="AY124" i="8"/>
  <c r="K124" i="8"/>
  <c r="BB124" i="8"/>
  <c r="AH124" i="8"/>
  <c r="R124" i="8"/>
  <c r="BH124" i="8"/>
  <c r="AR124" i="8"/>
  <c r="AB124" i="8"/>
  <c r="H124" i="8"/>
  <c r="AO124" i="8"/>
  <c r="I124" i="8"/>
  <c r="AM124" i="8"/>
  <c r="BI124" i="8"/>
  <c r="U124" i="8"/>
  <c r="AQ124" i="8"/>
  <c r="AX124" i="8"/>
  <c r="AN124" i="8"/>
  <c r="BK124" i="8"/>
  <c r="AI124" i="8"/>
  <c r="BD124" i="8"/>
  <c r="AD124" i="8"/>
  <c r="X124" i="8"/>
  <c r="AE124" i="8"/>
  <c r="AG124" i="8"/>
  <c r="N124" i="8"/>
  <c r="BM124" i="8"/>
  <c r="BA124" i="8"/>
  <c r="BN124" i="8"/>
  <c r="M124" i="8"/>
  <c r="BB69" i="14"/>
  <c r="BB70" i="14" s="1"/>
  <c r="AW70" i="14"/>
  <c r="E108" i="8"/>
  <c r="V70" i="14"/>
  <c r="AU69" i="14"/>
  <c r="AU70" i="14" s="1"/>
  <c r="AK70" i="14"/>
  <c r="G21" i="5"/>
  <c r="H22" i="5" s="1"/>
  <c r="G22" i="5" s="1"/>
  <c r="BJ64" i="14"/>
  <c r="BJ65" i="14" s="1"/>
  <c r="BJ69" i="14" s="1"/>
  <c r="AA64" i="14"/>
  <c r="AZ64" i="14"/>
  <c r="AZ65" i="14" s="1"/>
  <c r="AZ69" i="14" s="1"/>
  <c r="S65" i="14"/>
  <c r="S69" i="14" s="1"/>
  <c r="S70" i="14" s="1"/>
  <c r="M65" i="14"/>
  <c r="M69" i="14" s="1"/>
  <c r="BD65" i="14"/>
  <c r="BD69" i="14" s="1"/>
  <c r="H65" i="14"/>
  <c r="H69" i="14" s="1"/>
  <c r="BA65" i="14"/>
  <c r="BA69" i="14" s="1"/>
  <c r="X65" i="14"/>
  <c r="X69" i="14" s="1"/>
  <c r="AG65" i="14"/>
  <c r="AG69" i="14" s="1"/>
  <c r="AE218" i="8"/>
  <c r="AE223" i="8" s="1"/>
  <c r="I22" i="6"/>
  <c r="K24" i="5" s="1"/>
  <c r="J21" i="6"/>
  <c r="J23" i="5" s="1"/>
  <c r="BK169" i="8"/>
  <c r="BK170" i="8" s="1"/>
  <c r="BK175" i="8" s="1"/>
  <c r="BD169" i="8"/>
  <c r="BD170" i="8" s="1"/>
  <c r="BD175" i="8" s="1"/>
  <c r="S169" i="8"/>
  <c r="S170" i="8" s="1"/>
  <c r="S175" i="8" s="1"/>
  <c r="O169" i="8"/>
  <c r="O170" i="8" s="1"/>
  <c r="O175" i="8" s="1"/>
  <c r="BG169" i="8"/>
  <c r="BG170" i="8" s="1"/>
  <c r="BG175" i="8" s="1"/>
  <c r="BL169" i="8"/>
  <c r="BL170" i="8" s="1"/>
  <c r="BL175" i="8" s="1"/>
  <c r="AP169" i="8"/>
  <c r="AP170" i="8" s="1"/>
  <c r="AP175" i="8" s="1"/>
  <c r="T169" i="8"/>
  <c r="T170" i="8" s="1"/>
  <c r="T175" i="8" s="1"/>
  <c r="BE161" i="8"/>
  <c r="BE162" i="8" s="1"/>
  <c r="BE167" i="8" s="1"/>
  <c r="AA161" i="8"/>
  <c r="AA162" i="8" s="1"/>
  <c r="AA167" i="8" s="1"/>
  <c r="AU161" i="8"/>
  <c r="AU162" i="8" s="1"/>
  <c r="AU167" i="8" s="1"/>
  <c r="AS162" i="8"/>
  <c r="AS167" i="8" s="1"/>
  <c r="M161" i="8"/>
  <c r="M162" i="8" s="1"/>
  <c r="M167" i="8" s="1"/>
  <c r="AH161" i="8"/>
  <c r="AH162" i="8" s="1"/>
  <c r="AH167" i="8" s="1"/>
  <c r="L161" i="8"/>
  <c r="L162" i="8" s="1"/>
  <c r="L167" i="8" s="1"/>
  <c r="W161" i="8"/>
  <c r="W162" i="8" s="1"/>
  <c r="W167" i="8" s="1"/>
  <c r="BM161" i="8"/>
  <c r="BM162" i="8" s="1"/>
  <c r="BM167" i="8" s="1"/>
  <c r="U161" i="8"/>
  <c r="U162" i="8" s="1"/>
  <c r="U167" i="8" s="1"/>
  <c r="AK161" i="8"/>
  <c r="Y161" i="8"/>
  <c r="Y162" i="8" s="1"/>
  <c r="Y167" i="8" s="1"/>
  <c r="BA161" i="8"/>
  <c r="BA162" i="8" s="1"/>
  <c r="BA167" i="8" s="1"/>
  <c r="I161" i="8"/>
  <c r="I162" i="8" s="1"/>
  <c r="I167" i="8" s="1"/>
  <c r="AC161" i="8"/>
  <c r="AC162" i="8" s="1"/>
  <c r="AC167" i="8" s="1"/>
  <c r="AI161" i="8"/>
  <c r="AI162" i="8" s="1"/>
  <c r="AI167" i="8" s="1"/>
  <c r="J161" i="8"/>
  <c r="J162" i="8" s="1"/>
  <c r="J167" i="8" s="1"/>
  <c r="AX153" i="8"/>
  <c r="AX154" i="8" s="1"/>
  <c r="AX159" i="8" s="1"/>
  <c r="AY153" i="8"/>
  <c r="AY154" i="8" s="1"/>
  <c r="AY159" i="8" s="1"/>
  <c r="X154" i="8"/>
  <c r="X159" i="8" s="1"/>
  <c r="AT154" i="8"/>
  <c r="AT159" i="8" s="1"/>
  <c r="E26" i="5"/>
  <c r="AS124" i="8"/>
  <c r="S124" i="8"/>
  <c r="AP124" i="8"/>
  <c r="T124" i="8"/>
  <c r="AR122" i="8"/>
  <c r="AR127" i="8" s="1"/>
  <c r="I70" i="14"/>
  <c r="AJ70" i="14"/>
  <c r="U70" i="14"/>
  <c r="AF70" i="14"/>
  <c r="AQ70" i="14"/>
  <c r="T70" i="14"/>
  <c r="AN70" i="14"/>
  <c r="K70" i="14"/>
  <c r="P70" i="14"/>
  <c r="L70" i="14"/>
  <c r="AI70" i="14"/>
  <c r="N70" i="14"/>
  <c r="AH70" i="14"/>
  <c r="J70" i="14"/>
  <c r="AO65" i="14"/>
  <c r="AO69" i="14" s="1"/>
  <c r="E101" i="8"/>
  <c r="D56" i="14"/>
  <c r="AM60" i="14"/>
  <c r="AM64" i="14" s="1"/>
  <c r="AX55" i="14"/>
  <c r="G46" i="21" l="1" a="1"/>
  <c r="G46" i="21" s="1"/>
  <c r="F49" i="8"/>
  <c r="G48" i="21" s="1" a="1"/>
  <c r="G48" i="21" s="1"/>
  <c r="F50" i="8"/>
  <c r="C48" i="21" a="1"/>
  <c r="C48" i="21" s="1"/>
  <c r="C49" i="21" a="1"/>
  <c r="C49" i="21" s="1"/>
  <c r="H55" i="8"/>
  <c r="C123" i="21" a="1"/>
  <c r="C123" i="21" s="1"/>
  <c r="C115" i="21" a="1"/>
  <c r="C115" i="21" s="1"/>
  <c r="BN199" i="8"/>
  <c r="BN202" i="8" s="1"/>
  <c r="BH183" i="8"/>
  <c r="BH185" i="8" s="1"/>
  <c r="BH186" i="8" s="1"/>
  <c r="BH191" i="8" s="1"/>
  <c r="BH193" i="8" s="1"/>
  <c r="BH194" i="8" s="1"/>
  <c r="BH199" i="8" s="1"/>
  <c r="Z74" i="14"/>
  <c r="Z75" i="14" s="1"/>
  <c r="Z79" i="14" s="1"/>
  <c r="Z80" i="14" s="1"/>
  <c r="G74" i="14"/>
  <c r="G75" i="14" s="1"/>
  <c r="G79" i="14" s="1"/>
  <c r="F76" i="14" a="1"/>
  <c r="F76" i="14" s="1"/>
  <c r="F71" i="14" a="1"/>
  <c r="F71" i="14" s="1"/>
  <c r="F40" i="14"/>
  <c r="D39" i="14"/>
  <c r="E76" i="14" a="1"/>
  <c r="E76" i="14" s="1"/>
  <c r="BH74" i="14"/>
  <c r="BH75" i="14" s="1"/>
  <c r="BH79" i="14" s="1"/>
  <c r="BH80" i="14" s="1"/>
  <c r="BC74" i="14"/>
  <c r="BC75" i="14" s="1"/>
  <c r="BC79" i="14" s="1"/>
  <c r="BD177" i="8"/>
  <c r="BD178" i="8" s="1"/>
  <c r="S177" i="8"/>
  <c r="S178" i="8" s="1"/>
  <c r="S183" i="8" s="1"/>
  <c r="AP177" i="8"/>
  <c r="AP178" i="8" s="1"/>
  <c r="BG177" i="8"/>
  <c r="BG178" i="8" s="1"/>
  <c r="BK177" i="8"/>
  <c r="BK178" i="8" s="1"/>
  <c r="P65" i="8"/>
  <c r="BL177" i="8"/>
  <c r="BL178" i="8" s="1"/>
  <c r="T177" i="8"/>
  <c r="T178" i="8" s="1"/>
  <c r="T183" i="8" s="1"/>
  <c r="O177" i="8"/>
  <c r="O178" i="8" s="1"/>
  <c r="R74" i="14"/>
  <c r="R75" i="14" s="1"/>
  <c r="G132" i="8"/>
  <c r="F132" i="8"/>
  <c r="G131" i="21" s="1" a="1"/>
  <c r="G131" i="21" s="1"/>
  <c r="U74" i="14"/>
  <c r="U75" i="14" s="1"/>
  <c r="BE74" i="14"/>
  <c r="BE75" i="14" s="1"/>
  <c r="BE79" i="14" s="1"/>
  <c r="BE80" i="14" s="1"/>
  <c r="BL74" i="14"/>
  <c r="BL75" i="14" s="1"/>
  <c r="BL79" i="14" s="1"/>
  <c r="BK74" i="14"/>
  <c r="BK75" i="14" s="1"/>
  <c r="BG74" i="14"/>
  <c r="BG75" i="14" s="1"/>
  <c r="AU74" i="14"/>
  <c r="AU75" i="14" s="1"/>
  <c r="AU79" i="14" s="1"/>
  <c r="AR74" i="14"/>
  <c r="AR75" i="14" s="1"/>
  <c r="AR79" i="14" s="1"/>
  <c r="K74" i="14"/>
  <c r="K75" i="14" s="1"/>
  <c r="AV74" i="14"/>
  <c r="AV75" i="14" s="1"/>
  <c r="AS74" i="14"/>
  <c r="AS75" i="14" s="1"/>
  <c r="AS79" i="14" s="1"/>
  <c r="AS80" i="14" s="1"/>
  <c r="BI70" i="14"/>
  <c r="BI74" i="14" s="1"/>
  <c r="Y74" i="14"/>
  <c r="Y75" i="14" s="1"/>
  <c r="AH74" i="14"/>
  <c r="AH75" i="14" s="1"/>
  <c r="P74" i="14"/>
  <c r="P75" i="14" s="1"/>
  <c r="J74" i="14"/>
  <c r="J75" i="14" s="1"/>
  <c r="AW74" i="14"/>
  <c r="AW75" i="14" s="1"/>
  <c r="AW79" i="14" s="1"/>
  <c r="AJ74" i="14"/>
  <c r="AJ75" i="14" s="1"/>
  <c r="N74" i="14"/>
  <c r="N75" i="14" s="1"/>
  <c r="AP74" i="14"/>
  <c r="AP75" i="14" s="1"/>
  <c r="W74" i="14"/>
  <c r="W75" i="14" s="1"/>
  <c r="W79" i="14" s="1"/>
  <c r="AL74" i="14"/>
  <c r="AL75" i="14" s="1"/>
  <c r="AL79" i="14" s="1"/>
  <c r="AL80" i="14" s="1"/>
  <c r="AI74" i="14"/>
  <c r="AI75" i="14" s="1"/>
  <c r="L74" i="14"/>
  <c r="L75" i="14" s="1"/>
  <c r="E116" i="8"/>
  <c r="BB79" i="14"/>
  <c r="BB80" i="14" s="1"/>
  <c r="E117" i="8"/>
  <c r="P132" i="8"/>
  <c r="BL132" i="8"/>
  <c r="AV132" i="8"/>
  <c r="AF132" i="8"/>
  <c r="L132" i="8"/>
  <c r="BC132" i="8"/>
  <c r="AM132" i="8"/>
  <c r="W132" i="8"/>
  <c r="BJ132" i="8"/>
  <c r="AT132" i="8"/>
  <c r="BD132" i="8"/>
  <c r="AN132" i="8"/>
  <c r="X132" i="8"/>
  <c r="BK132" i="8"/>
  <c r="AU132" i="8"/>
  <c r="AE132" i="8"/>
  <c r="O132" i="8"/>
  <c r="BB132" i="8"/>
  <c r="AR132" i="8"/>
  <c r="H132" i="8"/>
  <c r="AI132" i="8"/>
  <c r="BF132" i="8"/>
  <c r="AD132" i="8"/>
  <c r="J132" i="8"/>
  <c r="I132" i="8"/>
  <c r="Q132" i="8"/>
  <c r="M132" i="8"/>
  <c r="AJ132" i="8"/>
  <c r="BG132" i="8"/>
  <c r="AA132" i="8"/>
  <c r="AX132" i="8"/>
  <c r="Z132" i="8"/>
  <c r="BE132" i="8"/>
  <c r="BA132" i="8"/>
  <c r="BM132" i="8"/>
  <c r="BI132" i="8"/>
  <c r="BH132" i="8"/>
  <c r="AB132" i="8"/>
  <c r="AY132" i="8"/>
  <c r="S132" i="8"/>
  <c r="AP132" i="8"/>
  <c r="V132" i="8"/>
  <c r="AO132" i="8"/>
  <c r="AK132" i="8"/>
  <c r="AW132" i="8"/>
  <c r="AS132" i="8"/>
  <c r="AZ132" i="8"/>
  <c r="AH132" i="8"/>
  <c r="AG132" i="8"/>
  <c r="T132" i="8"/>
  <c r="N132" i="8"/>
  <c r="AC132" i="8"/>
  <c r="AQ132" i="8"/>
  <c r="Y132" i="8"/>
  <c r="BN132" i="8"/>
  <c r="U132" i="8"/>
  <c r="AT74" i="14"/>
  <c r="AT75" i="14" s="1"/>
  <c r="AT79" i="14" s="1"/>
  <c r="AT80" i="14" s="1"/>
  <c r="BF74" i="14"/>
  <c r="BF75" i="14" s="1"/>
  <c r="BF79" i="14" s="1"/>
  <c r="BF80" i="14" s="1"/>
  <c r="Q75" i="14"/>
  <c r="AY74" i="14"/>
  <c r="AY75" i="14" s="1"/>
  <c r="AY79" i="14" s="1"/>
  <c r="AY80" i="14" s="1"/>
  <c r="AK74" i="14"/>
  <c r="AK75" i="14" s="1"/>
  <c r="AD74" i="14"/>
  <c r="AD75" i="14" s="1"/>
  <c r="AD79" i="14" s="1"/>
  <c r="AD80" i="14" s="1"/>
  <c r="V74" i="14"/>
  <c r="V75" i="14" s="1"/>
  <c r="V79" i="14" s="1"/>
  <c r="V80" i="14" s="1"/>
  <c r="V84" i="14" s="1"/>
  <c r="V85" i="14" s="1"/>
  <c r="AQ74" i="14"/>
  <c r="AQ75" i="14" s="1"/>
  <c r="I74" i="14"/>
  <c r="I75" i="14" s="1"/>
  <c r="S74" i="14"/>
  <c r="S75" i="14" s="1"/>
  <c r="E109" i="8"/>
  <c r="AC74" i="14"/>
  <c r="AC75" i="14" s="1"/>
  <c r="AC79" i="14" s="1"/>
  <c r="AC80" i="14" s="1"/>
  <c r="H23" i="5"/>
  <c r="G23" i="5" s="1"/>
  <c r="AZ70" i="14"/>
  <c r="AZ74" i="14" s="1"/>
  <c r="BB74" i="14"/>
  <c r="BB75" i="14" s="1"/>
  <c r="M70" i="14"/>
  <c r="M74" i="14" s="1"/>
  <c r="M75" i="14" s="1"/>
  <c r="M79" i="14" s="1"/>
  <c r="M80" i="14" s="1"/>
  <c r="AE74" i="14"/>
  <c r="AE75" i="14" s="1"/>
  <c r="AE79" i="14" s="1"/>
  <c r="AE80" i="14" s="1"/>
  <c r="BD70" i="14"/>
  <c r="BD74" i="14" s="1"/>
  <c r="H70" i="14"/>
  <c r="H74" i="14" s="1"/>
  <c r="BA70" i="14"/>
  <c r="BA74" i="14" s="1"/>
  <c r="X70" i="14"/>
  <c r="X74" i="14" s="1"/>
  <c r="AG70" i="14"/>
  <c r="AG74" i="14" s="1"/>
  <c r="AG75" i="14" s="1"/>
  <c r="AB75" i="14"/>
  <c r="AB79" i="14" s="1"/>
  <c r="AB80" i="14" s="1"/>
  <c r="AE226" i="8"/>
  <c r="AE231" i="8" s="1"/>
  <c r="AV202" i="8"/>
  <c r="AV207" i="8" s="1"/>
  <c r="BB202" i="8"/>
  <c r="BB207" i="8" s="1"/>
  <c r="I23" i="6"/>
  <c r="K25" i="5" s="1"/>
  <c r="J22" i="6"/>
  <c r="J24" i="5" s="1"/>
  <c r="N169" i="8"/>
  <c r="N170" i="8" s="1"/>
  <c r="N175" i="8" s="1"/>
  <c r="AZ169" i="8"/>
  <c r="AZ170" i="8" s="1"/>
  <c r="AZ175" i="8" s="1"/>
  <c r="BJ169" i="8"/>
  <c r="BJ170" i="8" s="1"/>
  <c r="BJ175" i="8" s="1"/>
  <c r="Z170" i="8"/>
  <c r="Z175" i="8" s="1"/>
  <c r="R169" i="8"/>
  <c r="R170" i="8" s="1"/>
  <c r="R175" i="8" s="1"/>
  <c r="Q170" i="8"/>
  <c r="Q175" i="8" s="1"/>
  <c r="BI169" i="8"/>
  <c r="BI170" i="8" s="1"/>
  <c r="BI175" i="8" s="1"/>
  <c r="AG169" i="8"/>
  <c r="AG170" i="8" s="1"/>
  <c r="AG175" i="8" s="1"/>
  <c r="AJ169" i="8"/>
  <c r="AJ170" i="8" s="1"/>
  <c r="AJ175" i="8" s="1"/>
  <c r="Y169" i="8"/>
  <c r="AO161" i="8"/>
  <c r="AO162" i="8" s="1"/>
  <c r="AO167" i="8" s="1"/>
  <c r="AW161" i="8"/>
  <c r="AW162" i="8" s="1"/>
  <c r="AW167" i="8" s="1"/>
  <c r="AB161" i="8"/>
  <c r="AB162" i="8" s="1"/>
  <c r="AB167" i="8" s="1"/>
  <c r="AL161" i="8"/>
  <c r="AL162" i="8" s="1"/>
  <c r="AL167" i="8" s="1"/>
  <c r="AN161" i="8"/>
  <c r="AN162" i="8" s="1"/>
  <c r="AN167" i="8" s="1"/>
  <c r="K161" i="8"/>
  <c r="K162" i="8" s="1"/>
  <c r="K167" i="8" s="1"/>
  <c r="AM161" i="8"/>
  <c r="AM162" i="8" s="1"/>
  <c r="AM167" i="8" s="1"/>
  <c r="AD161" i="8"/>
  <c r="AD162" i="8" s="1"/>
  <c r="AD167" i="8" s="1"/>
  <c r="AF161" i="8"/>
  <c r="AF162" i="8" s="1"/>
  <c r="AF167" i="8" s="1"/>
  <c r="AK162" i="8"/>
  <c r="AK167" i="8" s="1"/>
  <c r="BF161" i="8"/>
  <c r="BF162" i="8" s="1"/>
  <c r="BF167" i="8" s="1"/>
  <c r="BC161" i="8"/>
  <c r="BC162" i="8" s="1"/>
  <c r="BC167" i="8" s="1"/>
  <c r="V161" i="8"/>
  <c r="V162" i="8" s="1"/>
  <c r="V167" i="8" s="1"/>
  <c r="AY161" i="8"/>
  <c r="AQ153" i="8"/>
  <c r="AQ154" i="8" s="1"/>
  <c r="AQ159" i="8" s="1"/>
  <c r="E27" i="5"/>
  <c r="K132" i="8"/>
  <c r="AL132" i="8"/>
  <c r="R132" i="8"/>
  <c r="AR129" i="8"/>
  <c r="AR130" i="8" s="1"/>
  <c r="AR135" i="8" s="1"/>
  <c r="O79" i="14"/>
  <c r="E124" i="8"/>
  <c r="T74" i="14"/>
  <c r="AF74" i="14"/>
  <c r="AN74" i="14"/>
  <c r="AO70" i="14"/>
  <c r="AO74" i="14" s="1"/>
  <c r="BJ70" i="14"/>
  <c r="BJ74" i="14" s="1"/>
  <c r="AM65" i="14"/>
  <c r="AM69" i="14" s="1"/>
  <c r="D61" i="14"/>
  <c r="AA65" i="14"/>
  <c r="AA69" i="14" s="1"/>
  <c r="AX59" i="14"/>
  <c r="E49" i="8" l="1"/>
  <c r="F55" i="8"/>
  <c r="G49" i="21" a="1"/>
  <c r="G49" i="21" s="1"/>
  <c r="E50" i="8"/>
  <c r="C54" i="21" a="1"/>
  <c r="C54" i="21" s="1"/>
  <c r="H57" i="8"/>
  <c r="H58" i="8" s="1"/>
  <c r="E55" i="8"/>
  <c r="C131" i="21" a="1"/>
  <c r="C131" i="21" s="1"/>
  <c r="BN207" i="8"/>
  <c r="BN209" i="8" s="1"/>
  <c r="BN210" i="8" s="1"/>
  <c r="BN215" i="8" s="1"/>
  <c r="O183" i="8"/>
  <c r="O185" i="8" s="1"/>
  <c r="O186" i="8" s="1"/>
  <c r="O191" i="8" s="1"/>
  <c r="BK183" i="8"/>
  <c r="BK185" i="8" s="1"/>
  <c r="BK186" i="8" s="1"/>
  <c r="BK191" i="8" s="1"/>
  <c r="BK193" i="8" s="1"/>
  <c r="BK194" i="8" s="1"/>
  <c r="BK199" i="8" s="1"/>
  <c r="BD183" i="8"/>
  <c r="BD185" i="8" s="1"/>
  <c r="BD186" i="8" s="1"/>
  <c r="BD191" i="8" s="1"/>
  <c r="BD193" i="8" s="1"/>
  <c r="BD194" i="8" s="1"/>
  <c r="BD199" i="8" s="1"/>
  <c r="BL183" i="8"/>
  <c r="BL185" i="8" s="1"/>
  <c r="BL186" i="8" s="1"/>
  <c r="BL191" i="8" s="1"/>
  <c r="BL193" i="8" s="1"/>
  <c r="BL194" i="8" s="1"/>
  <c r="BL199" i="8" s="1"/>
  <c r="BG183" i="8"/>
  <c r="BG185" i="8" s="1"/>
  <c r="BG186" i="8" s="1"/>
  <c r="BG191" i="8" s="1"/>
  <c r="BG193" i="8" s="1"/>
  <c r="BG194" i="8" s="1"/>
  <c r="BG199" i="8" s="1"/>
  <c r="AP183" i="8"/>
  <c r="AP185" i="8" s="1"/>
  <c r="AP186" i="8" s="1"/>
  <c r="AP191" i="8" s="1"/>
  <c r="AP193" i="8" s="1"/>
  <c r="AP194" i="8" s="1"/>
  <c r="AP199" i="8" s="1"/>
  <c r="F81" i="14" a="1"/>
  <c r="F81" i="14" s="1"/>
  <c r="F44" i="14"/>
  <c r="D40" i="14"/>
  <c r="E81" i="14" a="1"/>
  <c r="E81" i="14" s="1"/>
  <c r="E71" i="14" a="1"/>
  <c r="E71" i="14" s="1"/>
  <c r="D71" i="14" s="1"/>
  <c r="N178" i="8"/>
  <c r="BI177" i="8"/>
  <c r="BI178" i="8" s="1"/>
  <c r="BJ177" i="8"/>
  <c r="BJ178" i="8" s="1"/>
  <c r="Q177" i="8"/>
  <c r="Q178" i="8" s="1"/>
  <c r="BB210" i="8"/>
  <c r="BB215" i="8" s="1"/>
  <c r="AG177" i="8"/>
  <c r="AG178" i="8" s="1"/>
  <c r="AJ177" i="8"/>
  <c r="AJ178" i="8" s="1"/>
  <c r="R177" i="8"/>
  <c r="R178" i="8" s="1"/>
  <c r="AZ177" i="8"/>
  <c r="AZ178" i="8" s="1"/>
  <c r="P66" i="8"/>
  <c r="P71" i="8" s="1"/>
  <c r="G140" i="8"/>
  <c r="F140" i="8"/>
  <c r="G139" i="21" s="1" a="1"/>
  <c r="G139" i="21" s="1"/>
  <c r="BH84" i="14"/>
  <c r="BH85" i="14" s="1"/>
  <c r="BI75" i="14"/>
  <c r="BI79" i="14" s="1"/>
  <c r="BF84" i="14"/>
  <c r="BF85" i="14" s="1"/>
  <c r="AC84" i="14"/>
  <c r="AC85" i="14" s="1"/>
  <c r="Z84" i="14"/>
  <c r="Z85" i="14" s="1"/>
  <c r="AT84" i="14"/>
  <c r="AT85" i="14" s="1"/>
  <c r="AB84" i="14"/>
  <c r="AB85" i="14" s="1"/>
  <c r="AB89" i="14" s="1"/>
  <c r="AB90" i="14" s="1"/>
  <c r="AY84" i="14"/>
  <c r="AY85" i="14" s="1"/>
  <c r="AL84" i="14"/>
  <c r="AL85" i="14" s="1"/>
  <c r="BE84" i="14"/>
  <c r="BE85" i="14" s="1"/>
  <c r="AS84" i="14"/>
  <c r="AS85" i="14" s="1"/>
  <c r="AD84" i="14"/>
  <c r="AD85" i="14" s="1"/>
  <c r="BK79" i="14"/>
  <c r="BK80" i="14" s="1"/>
  <c r="BK84" i="14" s="1"/>
  <c r="BK85" i="14" s="1"/>
  <c r="AK79" i="14"/>
  <c r="AK80" i="14" s="1"/>
  <c r="AK84" i="14" s="1"/>
  <c r="AK85" i="14" s="1"/>
  <c r="BB84" i="14"/>
  <c r="BB85" i="14" s="1"/>
  <c r="D66" i="14"/>
  <c r="E70" i="14"/>
  <c r="L140" i="8"/>
  <c r="BN140" i="8"/>
  <c r="AX140" i="8"/>
  <c r="AD140" i="8"/>
  <c r="N140" i="8"/>
  <c r="BE140" i="8"/>
  <c r="AO140" i="8"/>
  <c r="Y140" i="8"/>
  <c r="I140" i="8"/>
  <c r="AZ140" i="8"/>
  <c r="AJ140" i="8"/>
  <c r="T140" i="8"/>
  <c r="AI140" i="8"/>
  <c r="AE140" i="8"/>
  <c r="AA140" i="8"/>
  <c r="W140" i="8"/>
  <c r="BJ140" i="8"/>
  <c r="AT140" i="8"/>
  <c r="Z140" i="8"/>
  <c r="J140" i="8"/>
  <c r="BA140" i="8"/>
  <c r="AK140" i="8"/>
  <c r="U140" i="8"/>
  <c r="BL140" i="8"/>
  <c r="AV140" i="8"/>
  <c r="AF140" i="8"/>
  <c r="P140" i="8"/>
  <c r="S140" i="8"/>
  <c r="BF140" i="8"/>
  <c r="AP140" i="8"/>
  <c r="V140" i="8"/>
  <c r="BM140" i="8"/>
  <c r="AW140" i="8"/>
  <c r="AG140" i="8"/>
  <c r="Q140" i="8"/>
  <c r="BH140" i="8"/>
  <c r="AR140" i="8"/>
  <c r="AB140" i="8"/>
  <c r="H140" i="8"/>
  <c r="BK140" i="8"/>
  <c r="BG140" i="8"/>
  <c r="BC140" i="8"/>
  <c r="BB140" i="8"/>
  <c r="AS140" i="8"/>
  <c r="AN140" i="8"/>
  <c r="O140" i="8"/>
  <c r="AL140" i="8"/>
  <c r="AC140" i="8"/>
  <c r="X140" i="8"/>
  <c r="AQ140" i="8"/>
  <c r="R140" i="8"/>
  <c r="M140" i="8"/>
  <c r="AY140" i="8"/>
  <c r="K140" i="8"/>
  <c r="AM140" i="8"/>
  <c r="BI140" i="8"/>
  <c r="BD140" i="8"/>
  <c r="AU140" i="8"/>
  <c r="T185" i="8"/>
  <c r="T186" i="8" s="1"/>
  <c r="T191" i="8" s="1"/>
  <c r="S185" i="8"/>
  <c r="S186" i="8" s="1"/>
  <c r="S191" i="8" s="1"/>
  <c r="H24" i="5"/>
  <c r="G24" i="5" s="1"/>
  <c r="BA75" i="14"/>
  <c r="BA79" i="14" s="1"/>
  <c r="Q79" i="14"/>
  <c r="BD75" i="14"/>
  <c r="BD79" i="14" s="1"/>
  <c r="BL80" i="14"/>
  <c r="AZ75" i="14"/>
  <c r="AZ79" i="14" s="1"/>
  <c r="AZ80" i="14" s="1"/>
  <c r="AZ84" i="14" s="1"/>
  <c r="AZ85" i="14" s="1"/>
  <c r="AR80" i="14"/>
  <c r="AR84" i="14" s="1"/>
  <c r="AR85" i="14" s="1"/>
  <c r="BC80" i="14"/>
  <c r="BC84" i="14" s="1"/>
  <c r="BC85" i="14" s="1"/>
  <c r="O80" i="14"/>
  <c r="O84" i="14" s="1"/>
  <c r="O85" i="14" s="1"/>
  <c r="O89" i="14" s="1"/>
  <c r="AW80" i="14"/>
  <c r="AW84" i="14" s="1"/>
  <c r="AW85" i="14" s="1"/>
  <c r="AN75" i="14"/>
  <c r="AN79" i="14" s="1"/>
  <c r="AN80" i="14" s="1"/>
  <c r="AN84" i="14" s="1"/>
  <c r="AN85" i="14" s="1"/>
  <c r="X75" i="14"/>
  <c r="X79" i="14" s="1"/>
  <c r="AU80" i="14"/>
  <c r="AU84" i="14" s="1"/>
  <c r="AU85" i="14" s="1"/>
  <c r="AF75" i="14"/>
  <c r="AF79" i="14" s="1"/>
  <c r="AF80" i="14" s="1"/>
  <c r="AF84" i="14" s="1"/>
  <c r="AF85" i="14" s="1"/>
  <c r="H75" i="14"/>
  <c r="H79" i="14" s="1"/>
  <c r="T75" i="14"/>
  <c r="T79" i="14" s="1"/>
  <c r="T80" i="14" s="1"/>
  <c r="T84" i="14" s="1"/>
  <c r="T85" i="14" s="1"/>
  <c r="W80" i="14"/>
  <c r="W84" i="14" s="1"/>
  <c r="G80" i="14"/>
  <c r="G84" i="14" s="1"/>
  <c r="G85" i="14" s="1"/>
  <c r="G89" i="14" s="1"/>
  <c r="AE234" i="8"/>
  <c r="AE239" i="8" s="1"/>
  <c r="Z177" i="8"/>
  <c r="Z178" i="8" s="1"/>
  <c r="Z183" i="8" s="1"/>
  <c r="AV210" i="8"/>
  <c r="AV215" i="8" s="1"/>
  <c r="I24" i="6"/>
  <c r="K26" i="5" s="1"/>
  <c r="J23" i="6"/>
  <c r="J25" i="5" s="1"/>
  <c r="BE169" i="8"/>
  <c r="BE170" i="8" s="1"/>
  <c r="BE175" i="8" s="1"/>
  <c r="L169" i="8"/>
  <c r="L170" i="8" s="1"/>
  <c r="L175" i="8" s="1"/>
  <c r="J169" i="8"/>
  <c r="J170" i="8" s="1"/>
  <c r="J175" i="8" s="1"/>
  <c r="W169" i="8"/>
  <c r="W170" i="8" s="1"/>
  <c r="W175" i="8" s="1"/>
  <c r="AC169" i="8"/>
  <c r="AC170" i="8" s="1"/>
  <c r="AC175" i="8" s="1"/>
  <c r="AH169" i="8"/>
  <c r="AH170" i="8" s="1"/>
  <c r="AH175" i="8" s="1"/>
  <c r="Y170" i="8"/>
  <c r="Y175" i="8" s="1"/>
  <c r="U169" i="8"/>
  <c r="U170" i="8" s="1"/>
  <c r="U175" i="8" s="1"/>
  <c r="AI169" i="8"/>
  <c r="AI170" i="8" s="1"/>
  <c r="AI175" i="8" s="1"/>
  <c r="I170" i="8"/>
  <c r="I175" i="8" s="1"/>
  <c r="AA170" i="8"/>
  <c r="AA175" i="8" s="1"/>
  <c r="M169" i="8"/>
  <c r="M170" i="8" s="1"/>
  <c r="M175" i="8" s="1"/>
  <c r="AU169" i="8"/>
  <c r="AU170" i="8" s="1"/>
  <c r="AU175" i="8" s="1"/>
  <c r="BM169" i="8"/>
  <c r="BM170" i="8" s="1"/>
  <c r="BM175" i="8" s="1"/>
  <c r="AS169" i="8"/>
  <c r="AS170" i="8" s="1"/>
  <c r="AS175" i="8" s="1"/>
  <c r="BA169" i="8"/>
  <c r="BA170" i="8" s="1"/>
  <c r="BA175" i="8" s="1"/>
  <c r="AY162" i="8"/>
  <c r="AY167" i="8" s="1"/>
  <c r="X161" i="8"/>
  <c r="X162" i="8" s="1"/>
  <c r="X167" i="8" s="1"/>
  <c r="AT161" i="8"/>
  <c r="AT162" i="8" s="1"/>
  <c r="AT167" i="8" s="1"/>
  <c r="AX161" i="8"/>
  <c r="AX162" i="8" s="1"/>
  <c r="AX167" i="8" s="1"/>
  <c r="E28" i="5"/>
  <c r="AH140" i="8"/>
  <c r="M84" i="14"/>
  <c r="M85" i="14" s="1"/>
  <c r="AE84" i="14"/>
  <c r="AE85" i="14" s="1"/>
  <c r="E132" i="8"/>
  <c r="E125" i="8"/>
  <c r="BG79" i="14"/>
  <c r="N79" i="14"/>
  <c r="P79" i="14"/>
  <c r="AP79" i="14"/>
  <c r="AH79" i="14"/>
  <c r="AG79" i="14"/>
  <c r="AI79" i="14"/>
  <c r="AJ79" i="14"/>
  <c r="J79" i="14"/>
  <c r="AQ79" i="14"/>
  <c r="U79" i="14"/>
  <c r="L79" i="14"/>
  <c r="S79" i="14"/>
  <c r="Y79" i="14"/>
  <c r="AV79" i="14"/>
  <c r="I79" i="14"/>
  <c r="K79" i="14"/>
  <c r="AO75" i="14"/>
  <c r="BJ75" i="14"/>
  <c r="AM70" i="14"/>
  <c r="AX60" i="14"/>
  <c r="AX64" i="14" s="1"/>
  <c r="C139" i="21" l="1" a="1"/>
  <c r="C139" i="21" s="1"/>
  <c r="G54" i="21" a="1"/>
  <c r="G54" i="21" s="1"/>
  <c r="F57" i="8"/>
  <c r="G56" i="21" s="1" a="1"/>
  <c r="G56" i="21" s="1"/>
  <c r="C57" i="21" a="1"/>
  <c r="C57" i="21" s="1"/>
  <c r="H63" i="8"/>
  <c r="C56" i="21" a="1"/>
  <c r="C56" i="21" s="1"/>
  <c r="BN217" i="8"/>
  <c r="BN218" i="8" s="1"/>
  <c r="BN223" i="8" s="1"/>
  <c r="BN225" i="8" s="1"/>
  <c r="BN226" i="8" s="1"/>
  <c r="BN231" i="8" s="1"/>
  <c r="AJ183" i="8"/>
  <c r="AJ185" i="8" s="1"/>
  <c r="AJ186" i="8" s="1"/>
  <c r="AJ191" i="8" s="1"/>
  <c r="AJ193" i="8" s="1"/>
  <c r="AJ194" i="8" s="1"/>
  <c r="AJ199" i="8" s="1"/>
  <c r="BJ183" i="8"/>
  <c r="BJ185" i="8" s="1"/>
  <c r="BJ186" i="8" s="1"/>
  <c r="BJ191" i="8" s="1"/>
  <c r="BJ193" i="8" s="1"/>
  <c r="BJ194" i="8" s="1"/>
  <c r="BJ199" i="8" s="1"/>
  <c r="R183" i="8"/>
  <c r="R185" i="8" s="1"/>
  <c r="R186" i="8" s="1"/>
  <c r="R191" i="8" s="1"/>
  <c r="AG183" i="8"/>
  <c r="AG185" i="8" s="1"/>
  <c r="AG186" i="8" s="1"/>
  <c r="AG191" i="8" s="1"/>
  <c r="AG193" i="8" s="1"/>
  <c r="AG194" i="8" s="1"/>
  <c r="AG199" i="8" s="1"/>
  <c r="BI183" i="8"/>
  <c r="BI185" i="8" s="1"/>
  <c r="BI186" i="8" s="1"/>
  <c r="BI191" i="8" s="1"/>
  <c r="BI193" i="8" s="1"/>
  <c r="BI194" i="8" s="1"/>
  <c r="BI199" i="8" s="1"/>
  <c r="Q183" i="8"/>
  <c r="Q185" i="8" s="1"/>
  <c r="Q186" i="8" s="1"/>
  <c r="Q191" i="8" s="1"/>
  <c r="Q193" i="8" s="1"/>
  <c r="Q194" i="8" s="1"/>
  <c r="Q199" i="8" s="1"/>
  <c r="AZ183" i="8"/>
  <c r="AZ185" i="8" s="1"/>
  <c r="AZ186" i="8" s="1"/>
  <c r="AZ191" i="8" s="1"/>
  <c r="AZ193" i="8" s="1"/>
  <c r="AZ194" i="8" s="1"/>
  <c r="AZ199" i="8" s="1"/>
  <c r="N183" i="8"/>
  <c r="N185" i="8" s="1"/>
  <c r="N186" i="8" s="1"/>
  <c r="N191" i="8" s="1"/>
  <c r="N193" i="8" s="1"/>
  <c r="N194" i="8" s="1"/>
  <c r="N199" i="8" s="1"/>
  <c r="F86" i="14" a="1"/>
  <c r="F86" i="14" s="1"/>
  <c r="F45" i="14"/>
  <c r="D44" i="14"/>
  <c r="E86" i="14" a="1"/>
  <c r="E86" i="14" s="1"/>
  <c r="BL84" i="14"/>
  <c r="BL85" i="14" s="1"/>
  <c r="BL89" i="14" s="1"/>
  <c r="BL90" i="14" s="1"/>
  <c r="BH89" i="14"/>
  <c r="BH90" i="14" s="1"/>
  <c r="BE89" i="14"/>
  <c r="BE90" i="14" s="1"/>
  <c r="BB89" i="14"/>
  <c r="BB90" i="14" s="1"/>
  <c r="AA177" i="8"/>
  <c r="AA178" i="8" s="1"/>
  <c r="BF89" i="14"/>
  <c r="BF90" i="14" s="1"/>
  <c r="AS177" i="8"/>
  <c r="AS178" i="8" s="1"/>
  <c r="J177" i="8"/>
  <c r="J178" i="8" s="1"/>
  <c r="T193" i="8"/>
  <c r="T194" i="8" s="1"/>
  <c r="BA177" i="8"/>
  <c r="BA178" i="8" s="1"/>
  <c r="U177" i="8"/>
  <c r="U178" i="8" s="1"/>
  <c r="U183" i="8" s="1"/>
  <c r="W177" i="8"/>
  <c r="W178" i="8" s="1"/>
  <c r="W183" i="8" s="1"/>
  <c r="BM177" i="8"/>
  <c r="BM178" i="8" s="1"/>
  <c r="AH177" i="8"/>
  <c r="AH178" i="8" s="1"/>
  <c r="L177" i="8"/>
  <c r="L178" i="8" s="1"/>
  <c r="Z185" i="8"/>
  <c r="Z186" i="8" s="1"/>
  <c r="Z191" i="8" s="1"/>
  <c r="M177" i="8"/>
  <c r="M178" i="8" s="1"/>
  <c r="AU177" i="8"/>
  <c r="AU178" i="8" s="1"/>
  <c r="AI177" i="8"/>
  <c r="AI178" i="8" s="1"/>
  <c r="AC177" i="8"/>
  <c r="AC178" i="8" s="1"/>
  <c r="BE177" i="8"/>
  <c r="BE178" i="8" s="1"/>
  <c r="G148" i="8"/>
  <c r="F148" i="8"/>
  <c r="G147" i="21" s="1" a="1"/>
  <c r="G147" i="21" s="1"/>
  <c r="AC89" i="14"/>
  <c r="AC90" i="14" s="1"/>
  <c r="AU89" i="14"/>
  <c r="AU90" i="14" s="1"/>
  <c r="BC89" i="14"/>
  <c r="BC90" i="14" s="1"/>
  <c r="M89" i="14"/>
  <c r="M90" i="14" s="1"/>
  <c r="Z89" i="14"/>
  <c r="Z90" i="14" s="1"/>
  <c r="AL89" i="14"/>
  <c r="AL90" i="14" s="1"/>
  <c r="AR89" i="14"/>
  <c r="AR90" i="14" s="1"/>
  <c r="AY89" i="14"/>
  <c r="AY90" i="14" s="1"/>
  <c r="E74" i="14"/>
  <c r="E75" i="14" s="1"/>
  <c r="E79" i="14" s="1"/>
  <c r="E80" i="14" s="1"/>
  <c r="E84" i="14" s="1"/>
  <c r="V89" i="14"/>
  <c r="V90" i="14" s="1"/>
  <c r="AD89" i="14"/>
  <c r="AD90" i="14" s="1"/>
  <c r="AK89" i="14"/>
  <c r="AK90" i="14" s="1"/>
  <c r="BK89" i="14"/>
  <c r="BK90" i="14" s="1"/>
  <c r="AS89" i="14"/>
  <c r="AS90" i="14" s="1"/>
  <c r="AZ148" i="8"/>
  <c r="AX91" i="14" s="1"/>
  <c r="AJ148" i="8"/>
  <c r="T148" i="8"/>
  <c r="R91" i="14" s="1"/>
  <c r="BK148" i="8"/>
  <c r="BI91" i="14" s="1"/>
  <c r="AU148" i="8"/>
  <c r="AS91" i="14" s="1"/>
  <c r="AE148" i="8"/>
  <c r="AC91" i="14" s="1"/>
  <c r="O148" i="8"/>
  <c r="M91" i="14" s="1"/>
  <c r="BF148" i="8"/>
  <c r="BD91" i="14" s="1"/>
  <c r="AP148" i="8"/>
  <c r="AN91" i="14" s="1"/>
  <c r="R148" i="8"/>
  <c r="P91" i="14" s="1"/>
  <c r="AW148" i="8"/>
  <c r="AU91" i="14" s="1"/>
  <c r="AS148" i="8"/>
  <c r="AQ91" i="14" s="1"/>
  <c r="AO148" i="8"/>
  <c r="AM91" i="14" s="1"/>
  <c r="AK148" i="8"/>
  <c r="AI91" i="14" s="1"/>
  <c r="BH148" i="8"/>
  <c r="BF91" i="14" s="1"/>
  <c r="AR148" i="8"/>
  <c r="AP91" i="14" s="1"/>
  <c r="AB148" i="8"/>
  <c r="Z91" i="14" s="1"/>
  <c r="L148" i="8"/>
  <c r="J91" i="14" s="1"/>
  <c r="BC148" i="8"/>
  <c r="BA91" i="14" s="1"/>
  <c r="AM148" i="8"/>
  <c r="AK91" i="14" s="1"/>
  <c r="W148" i="8"/>
  <c r="U91" i="14" s="1"/>
  <c r="AX148" i="8"/>
  <c r="AV91" i="14" s="1"/>
  <c r="AH148" i="8"/>
  <c r="AF91" i="14" s="1"/>
  <c r="J148" i="8"/>
  <c r="H91" i="14" s="1"/>
  <c r="Q148" i="8"/>
  <c r="M148" i="8"/>
  <c r="I148" i="8"/>
  <c r="G91" i="14" s="1"/>
  <c r="BD148" i="8"/>
  <c r="BB91" i="14" s="1"/>
  <c r="X148" i="8"/>
  <c r="V91" i="14" s="1"/>
  <c r="AY148" i="8"/>
  <c r="AW91" i="14" s="1"/>
  <c r="S148" i="8"/>
  <c r="Q91" i="14" s="1"/>
  <c r="AT148" i="8"/>
  <c r="AR91" i="14" s="1"/>
  <c r="BM148" i="8"/>
  <c r="BK91" i="14" s="1"/>
  <c r="BE148" i="8"/>
  <c r="BC91" i="14" s="1"/>
  <c r="AF148" i="8"/>
  <c r="AD91" i="14" s="1"/>
  <c r="BB148" i="8"/>
  <c r="AZ91" i="14" s="1"/>
  <c r="AC148" i="8"/>
  <c r="AA91" i="14" s="1"/>
  <c r="AV148" i="8"/>
  <c r="AT91" i="14" s="1"/>
  <c r="P148" i="8"/>
  <c r="N91" i="14" s="1"/>
  <c r="AQ148" i="8"/>
  <c r="AO91" i="14" s="1"/>
  <c r="K148" i="8"/>
  <c r="AL148" i="8"/>
  <c r="AJ91" i="14" s="1"/>
  <c r="AG148" i="8"/>
  <c r="AE91" i="14" s="1"/>
  <c r="Y148" i="8"/>
  <c r="W91" i="14" s="1"/>
  <c r="AA148" i="8"/>
  <c r="Y91" i="14" s="1"/>
  <c r="AN148" i="8"/>
  <c r="AL91" i="14" s="1"/>
  <c r="H148" i="8"/>
  <c r="AI148" i="8"/>
  <c r="AG91" i="14" s="1"/>
  <c r="BJ148" i="8"/>
  <c r="BH91" i="14" s="1"/>
  <c r="Z148" i="8"/>
  <c r="BI148" i="8"/>
  <c r="BG91" i="14" s="1"/>
  <c r="BA148" i="8"/>
  <c r="AY91" i="14" s="1"/>
  <c r="BL148" i="8"/>
  <c r="BJ91" i="14" s="1"/>
  <c r="BG148" i="8"/>
  <c r="BE91" i="14" s="1"/>
  <c r="N148" i="8"/>
  <c r="AT89" i="14"/>
  <c r="AT90" i="14" s="1"/>
  <c r="S193" i="8"/>
  <c r="S194" i="8" s="1"/>
  <c r="S199" i="8" s="1"/>
  <c r="H25" i="5"/>
  <c r="G25" i="5" s="1"/>
  <c r="R79" i="14"/>
  <c r="R80" i="14" s="1"/>
  <c r="R84" i="14" s="1"/>
  <c r="R85" i="14" s="1"/>
  <c r="R89" i="14" s="1"/>
  <c r="R90" i="14" s="1"/>
  <c r="D76" i="14"/>
  <c r="AE242" i="8"/>
  <c r="AE247" i="8" s="1"/>
  <c r="X80" i="14"/>
  <c r="X84" i="14" s="1"/>
  <c r="X85" i="14" s="1"/>
  <c r="X89" i="14" s="1"/>
  <c r="X90" i="14" s="1"/>
  <c r="X94" i="14" s="1"/>
  <c r="X95" i="14" s="1"/>
  <c r="W85" i="14"/>
  <c r="W89" i="14" s="1"/>
  <c r="W90" i="14" s="1"/>
  <c r="H80" i="14"/>
  <c r="H84" i="14" s="1"/>
  <c r="H85" i="14" s="1"/>
  <c r="H89" i="14" s="1"/>
  <c r="AP80" i="14"/>
  <c r="AP84" i="14" s="1"/>
  <c r="AP85" i="14" s="1"/>
  <c r="AP89" i="14" s="1"/>
  <c r="AP90" i="14" s="1"/>
  <c r="Q80" i="14"/>
  <c r="Q84" i="14" s="1"/>
  <c r="Q85" i="14" s="1"/>
  <c r="Q89" i="14" s="1"/>
  <c r="Q90" i="14" s="1"/>
  <c r="Y80" i="14"/>
  <c r="Y84" i="14" s="1"/>
  <c r="Y85" i="14" s="1"/>
  <c r="J80" i="14"/>
  <c r="J84" i="14" s="1"/>
  <c r="J85" i="14" s="1"/>
  <c r="J89" i="14" s="1"/>
  <c r="J90" i="14" s="1"/>
  <c r="S80" i="14"/>
  <c r="S84" i="14" s="1"/>
  <c r="S85" i="14" s="1"/>
  <c r="I80" i="14"/>
  <c r="BA80" i="14"/>
  <c r="BA84" i="14" s="1"/>
  <c r="AG80" i="14"/>
  <c r="AG84" i="14" s="1"/>
  <c r="AG85" i="14" s="1"/>
  <c r="N80" i="14"/>
  <c r="N84" i="14" s="1"/>
  <c r="N85" i="14" s="1"/>
  <c r="N89" i="14" s="1"/>
  <c r="L80" i="14"/>
  <c r="L84" i="14" s="1"/>
  <c r="L85" i="14" s="1"/>
  <c r="L89" i="14" s="1"/>
  <c r="AJ80" i="14"/>
  <c r="AJ84" i="14" s="1"/>
  <c r="AJ85" i="14" s="1"/>
  <c r="AJ89" i="14" s="1"/>
  <c r="AJ90" i="14" s="1"/>
  <c r="K80" i="14"/>
  <c r="K84" i="14" s="1"/>
  <c r="K85" i="14" s="1"/>
  <c r="K89" i="14" s="1"/>
  <c r="U80" i="14"/>
  <c r="U84" i="14" s="1"/>
  <c r="U85" i="14" s="1"/>
  <c r="AI80" i="14"/>
  <c r="AI84" i="14" s="1"/>
  <c r="AI85" i="14" s="1"/>
  <c r="P80" i="14"/>
  <c r="P84" i="14" s="1"/>
  <c r="P85" i="14" s="1"/>
  <c r="P89" i="14" s="1"/>
  <c r="P90" i="14" s="1"/>
  <c r="AV80" i="14"/>
  <c r="AV84" i="14" s="1"/>
  <c r="AV85" i="14" s="1"/>
  <c r="AV89" i="14" s="1"/>
  <c r="AV90" i="14" s="1"/>
  <c r="AQ80" i="14"/>
  <c r="AQ84" i="14" s="1"/>
  <c r="AQ85" i="14" s="1"/>
  <c r="AQ89" i="14" s="1"/>
  <c r="AQ90" i="14" s="1"/>
  <c r="BI80" i="14"/>
  <c r="BI84" i="14" s="1"/>
  <c r="BI85" i="14" s="1"/>
  <c r="BI89" i="14" s="1"/>
  <c r="BI90" i="14" s="1"/>
  <c r="BD80" i="14"/>
  <c r="BD84" i="14" s="1"/>
  <c r="BD85" i="14" s="1"/>
  <c r="BD89" i="14" s="1"/>
  <c r="BD90" i="14" s="1"/>
  <c r="AH80" i="14"/>
  <c r="AH84" i="14" s="1"/>
  <c r="AH85" i="14" s="1"/>
  <c r="AH89" i="14" s="1"/>
  <c r="AH90" i="14" s="1"/>
  <c r="BG80" i="14"/>
  <c r="BG84" i="14" s="1"/>
  <c r="BG85" i="14" s="1"/>
  <c r="BG89" i="14" s="1"/>
  <c r="BG90" i="14" s="1"/>
  <c r="BG201" i="8"/>
  <c r="BG202" i="8" s="1"/>
  <c r="BG207" i="8" s="1"/>
  <c r="BL201" i="8"/>
  <c r="BL202" i="8" s="1"/>
  <c r="BL207" i="8" s="1"/>
  <c r="AV218" i="8"/>
  <c r="AV223" i="8" s="1"/>
  <c r="BH201" i="8"/>
  <c r="BH202" i="8" s="1"/>
  <c r="BH207" i="8" s="1"/>
  <c r="Y177" i="8"/>
  <c r="Y178" i="8" s="1"/>
  <c r="Y183" i="8" s="1"/>
  <c r="I25" i="6"/>
  <c r="K27" i="5" s="1"/>
  <c r="J24" i="6"/>
  <c r="J26" i="5" s="1"/>
  <c r="O193" i="8"/>
  <c r="O194" i="8" s="1"/>
  <c r="O199" i="8" s="1"/>
  <c r="I177" i="8"/>
  <c r="I178" i="8" s="1"/>
  <c r="I183" i="8" s="1"/>
  <c r="AM169" i="8"/>
  <c r="AM170" i="8" s="1"/>
  <c r="AM175" i="8" s="1"/>
  <c r="AL169" i="8"/>
  <c r="AL170" i="8" s="1"/>
  <c r="AL175" i="8" s="1"/>
  <c r="AB169" i="8"/>
  <c r="AB170" i="8" s="1"/>
  <c r="AB175" i="8" s="1"/>
  <c r="AK169" i="8"/>
  <c r="AK170" i="8" s="1"/>
  <c r="AK175" i="8" s="1"/>
  <c r="AW169" i="8"/>
  <c r="AW170" i="8" s="1"/>
  <c r="AW175" i="8" s="1"/>
  <c r="BC169" i="8"/>
  <c r="BC170" i="8" s="1"/>
  <c r="BC175" i="8" s="1"/>
  <c r="K169" i="8"/>
  <c r="K170" i="8" s="1"/>
  <c r="K175" i="8" s="1"/>
  <c r="V169" i="8"/>
  <c r="V170" i="8" s="1"/>
  <c r="V175" i="8" s="1"/>
  <c r="AN169" i="8"/>
  <c r="AN170" i="8" s="1"/>
  <c r="AN175" i="8" s="1"/>
  <c r="AD169" i="8"/>
  <c r="AD170" i="8" s="1"/>
  <c r="AD175" i="8" s="1"/>
  <c r="AO169" i="8"/>
  <c r="AO170" i="8" s="1"/>
  <c r="AO175" i="8" s="1"/>
  <c r="AF169" i="8"/>
  <c r="AF170" i="8" s="1"/>
  <c r="AF175" i="8" s="1"/>
  <c r="BF169" i="8"/>
  <c r="BF170" i="8" s="1"/>
  <c r="BF175" i="8" s="1"/>
  <c r="AQ161" i="8"/>
  <c r="AQ162" i="8" s="1"/>
  <c r="AQ167" i="8" s="1"/>
  <c r="E29" i="5"/>
  <c r="AD148" i="8"/>
  <c r="U148" i="8"/>
  <c r="V148" i="8"/>
  <c r="BN148" i="8"/>
  <c r="T89" i="14"/>
  <c r="T90" i="14" s="1"/>
  <c r="AE89" i="14"/>
  <c r="AE90" i="14" s="1"/>
  <c r="AW89" i="14"/>
  <c r="AW90" i="14" s="1"/>
  <c r="E140" i="8"/>
  <c r="AZ89" i="14"/>
  <c r="AN89" i="14"/>
  <c r="AN90" i="14" s="1"/>
  <c r="O90" i="14"/>
  <c r="O94" i="14" s="1"/>
  <c r="O95" i="14" s="1"/>
  <c r="G90" i="14"/>
  <c r="AR137" i="8"/>
  <c r="AR138" i="8" s="1"/>
  <c r="AR143" i="8" s="1"/>
  <c r="E133" i="8"/>
  <c r="BJ79" i="14"/>
  <c r="AO79" i="14"/>
  <c r="AM74" i="14"/>
  <c r="AA70" i="14"/>
  <c r="AA74" i="14" s="1"/>
  <c r="E57" i="8" l="1"/>
  <c r="F58" i="8"/>
  <c r="E58" i="8" s="1"/>
  <c r="G57" i="21" a="1"/>
  <c r="G57" i="21" s="1"/>
  <c r="G94" i="14"/>
  <c r="G95" i="14" s="1"/>
  <c r="C62" i="21" a="1"/>
  <c r="C62" i="21" s="1"/>
  <c r="H65" i="8"/>
  <c r="H66" i="8"/>
  <c r="C147" i="21" a="1"/>
  <c r="C147" i="21" s="1"/>
  <c r="AC183" i="8"/>
  <c r="AC185" i="8" s="1"/>
  <c r="AC186" i="8" s="1"/>
  <c r="AC191" i="8" s="1"/>
  <c r="AC193" i="8" s="1"/>
  <c r="AC194" i="8" s="1"/>
  <c r="AC199" i="8" s="1"/>
  <c r="T199" i="8"/>
  <c r="T201" i="8" s="1"/>
  <c r="T202" i="8" s="1"/>
  <c r="T207" i="8" s="1"/>
  <c r="T209" i="8" s="1"/>
  <c r="T210" i="8" s="1"/>
  <c r="T215" i="8" s="1"/>
  <c r="AA183" i="8"/>
  <c r="AA185" i="8" s="1"/>
  <c r="AA186" i="8" s="1"/>
  <c r="AA191" i="8" s="1"/>
  <c r="AA193" i="8" s="1"/>
  <c r="AA194" i="8" s="1"/>
  <c r="AA199" i="8" s="1"/>
  <c r="AI183" i="8"/>
  <c r="AI185" i="8" s="1"/>
  <c r="AI186" i="8" s="1"/>
  <c r="AI191" i="8" s="1"/>
  <c r="AI193" i="8" s="1"/>
  <c r="AI194" i="8" s="1"/>
  <c r="AI199" i="8" s="1"/>
  <c r="L183" i="8"/>
  <c r="L185" i="8" s="1"/>
  <c r="L186" i="8" s="1"/>
  <c r="L191" i="8" s="1"/>
  <c r="L193" i="8" s="1"/>
  <c r="L194" i="8" s="1"/>
  <c r="L199" i="8" s="1"/>
  <c r="AU183" i="8"/>
  <c r="AU185" i="8" s="1"/>
  <c r="AU186" i="8" s="1"/>
  <c r="AU191" i="8" s="1"/>
  <c r="AU193" i="8" s="1"/>
  <c r="AU194" i="8" s="1"/>
  <c r="AU199" i="8" s="1"/>
  <c r="AH183" i="8"/>
  <c r="AH185" i="8" s="1"/>
  <c r="AH186" i="8" s="1"/>
  <c r="AH191" i="8" s="1"/>
  <c r="AH193" i="8" s="1"/>
  <c r="AH194" i="8" s="1"/>
  <c r="AH199" i="8" s="1"/>
  <c r="BA183" i="8"/>
  <c r="BA185" i="8" s="1"/>
  <c r="BA186" i="8" s="1"/>
  <c r="BA191" i="8" s="1"/>
  <c r="BA193" i="8" s="1"/>
  <c r="BA194" i="8" s="1"/>
  <c r="BA199" i="8" s="1"/>
  <c r="AS183" i="8"/>
  <c r="AS185" i="8" s="1"/>
  <c r="AS186" i="8" s="1"/>
  <c r="AS191" i="8" s="1"/>
  <c r="AS193" i="8" s="1"/>
  <c r="AS194" i="8" s="1"/>
  <c r="AS199" i="8" s="1"/>
  <c r="BE183" i="8"/>
  <c r="BE185" i="8" s="1"/>
  <c r="BE186" i="8" s="1"/>
  <c r="BE191" i="8" s="1"/>
  <c r="BE193" i="8" s="1"/>
  <c r="BE194" i="8" s="1"/>
  <c r="BE199" i="8" s="1"/>
  <c r="M183" i="8"/>
  <c r="M185" i="8" s="1"/>
  <c r="M186" i="8" s="1"/>
  <c r="M191" i="8" s="1"/>
  <c r="M193" i="8" s="1"/>
  <c r="M194" i="8" s="1"/>
  <c r="M199" i="8" s="1"/>
  <c r="BM183" i="8"/>
  <c r="BM185" i="8" s="1"/>
  <c r="BM186" i="8" s="1"/>
  <c r="BM191" i="8" s="1"/>
  <c r="BM193" i="8" s="1"/>
  <c r="BM194" i="8" s="1"/>
  <c r="BM199" i="8" s="1"/>
  <c r="I91" i="14"/>
  <c r="J183" i="8"/>
  <c r="J186" i="8" s="1"/>
  <c r="J191" i="8" s="1"/>
  <c r="J193" i="8" s="1"/>
  <c r="J194" i="8" s="1"/>
  <c r="J199" i="8" s="1"/>
  <c r="F91" i="14"/>
  <c r="BI94" i="14"/>
  <c r="BI95" i="14" s="1"/>
  <c r="W94" i="14"/>
  <c r="W95" i="14" s="1"/>
  <c r="BB94" i="14"/>
  <c r="BB95" i="14" s="1"/>
  <c r="Q94" i="14"/>
  <c r="Q95" i="14" s="1"/>
  <c r="E141" i="8"/>
  <c r="F49" i="14"/>
  <c r="D45" i="14"/>
  <c r="BH94" i="14"/>
  <c r="BH95" i="14" s="1"/>
  <c r="E91" i="14" a="1"/>
  <c r="E91" i="14" s="1"/>
  <c r="BE94" i="14"/>
  <c r="BE95" i="14" s="1"/>
  <c r="BC94" i="14"/>
  <c r="BC95" i="14" s="1"/>
  <c r="BF94" i="14"/>
  <c r="BF95" i="14" s="1"/>
  <c r="BC177" i="8"/>
  <c r="BC178" i="8" s="1"/>
  <c r="BF177" i="8"/>
  <c r="BF178" i="8" s="1"/>
  <c r="AW177" i="8"/>
  <c r="AW178" i="8" s="1"/>
  <c r="AL177" i="8"/>
  <c r="AL178" i="8" s="1"/>
  <c r="S201" i="8"/>
  <c r="S202" i="8" s="1"/>
  <c r="P73" i="8"/>
  <c r="AD177" i="8"/>
  <c r="AD178" i="8" s="1"/>
  <c r="AN177" i="8"/>
  <c r="AN178" i="8" s="1"/>
  <c r="AF177" i="8"/>
  <c r="AF178" i="8" s="1"/>
  <c r="V177" i="8"/>
  <c r="V178" i="8" s="1"/>
  <c r="V183" i="8" s="1"/>
  <c r="AM177" i="8"/>
  <c r="AM178" i="8" s="1"/>
  <c r="AB177" i="8"/>
  <c r="AB178" i="8" s="1"/>
  <c r="AO177" i="8"/>
  <c r="AO178" i="8" s="1"/>
  <c r="K177" i="8"/>
  <c r="K178" i="8" s="1"/>
  <c r="AK177" i="8"/>
  <c r="AK178" i="8" s="1"/>
  <c r="AC94" i="14"/>
  <c r="AC95" i="14" s="1"/>
  <c r="AU94" i="14"/>
  <c r="AU95" i="14" s="1"/>
  <c r="G156" i="8"/>
  <c r="F156" i="8"/>
  <c r="G155" i="21" s="1" a="1"/>
  <c r="G155" i="21" s="1"/>
  <c r="Z94" i="14"/>
  <c r="Z95" i="14" s="1"/>
  <c r="AN94" i="14"/>
  <c r="AN95" i="14" s="1"/>
  <c r="AL94" i="14"/>
  <c r="AL95" i="14" s="1"/>
  <c r="AR94" i="14"/>
  <c r="AR95" i="14" s="1"/>
  <c r="M94" i="14"/>
  <c r="M95" i="14" s="1"/>
  <c r="AW94" i="14"/>
  <c r="AW95" i="14" s="1"/>
  <c r="AV94" i="14"/>
  <c r="AV95" i="14" s="1"/>
  <c r="AJ94" i="14"/>
  <c r="AJ95" i="14" s="1"/>
  <c r="AT94" i="14"/>
  <c r="AT95" i="14" s="1"/>
  <c r="R94" i="14"/>
  <c r="R95" i="14" s="1"/>
  <c r="BG94" i="14"/>
  <c r="BG95" i="14" s="1"/>
  <c r="AQ94" i="14"/>
  <c r="AQ95" i="14" s="1"/>
  <c r="AP94" i="14"/>
  <c r="AP95" i="14" s="1"/>
  <c r="AE94" i="14"/>
  <c r="AE95" i="14" s="1"/>
  <c r="BD94" i="14"/>
  <c r="BD95" i="14" s="1"/>
  <c r="AD94" i="14"/>
  <c r="AD95" i="14" s="1"/>
  <c r="AS94" i="14"/>
  <c r="AS95" i="14" s="1"/>
  <c r="V94" i="14"/>
  <c r="V95" i="14" s="1"/>
  <c r="AY94" i="14"/>
  <c r="AY95" i="14" s="1"/>
  <c r="BK94" i="14"/>
  <c r="BK95" i="14" s="1"/>
  <c r="BB156" i="8"/>
  <c r="AZ96" i="14" s="1"/>
  <c r="AL156" i="8"/>
  <c r="AJ96" i="14" s="1"/>
  <c r="R156" i="8"/>
  <c r="P96" i="14" s="1"/>
  <c r="BI156" i="8"/>
  <c r="BG96" i="14" s="1"/>
  <c r="AS156" i="8"/>
  <c r="AQ96" i="14" s="1"/>
  <c r="AC156" i="8"/>
  <c r="AA96" i="14" s="1"/>
  <c r="M156" i="8"/>
  <c r="BD156" i="8"/>
  <c r="BB96" i="14" s="1"/>
  <c r="AN156" i="8"/>
  <c r="AL96" i="14" s="1"/>
  <c r="T156" i="8"/>
  <c r="R96" i="14" s="1"/>
  <c r="BG156" i="8"/>
  <c r="BE96" i="14" s="1"/>
  <c r="BC156" i="8"/>
  <c r="BA96" i="14" s="1"/>
  <c r="AY156" i="8"/>
  <c r="AW96" i="14" s="1"/>
  <c r="AU156" i="8"/>
  <c r="AS96" i="14" s="1"/>
  <c r="BN156" i="8"/>
  <c r="BL96" i="14" s="1"/>
  <c r="AX156" i="8"/>
  <c r="AV96" i="14" s="1"/>
  <c r="AH156" i="8"/>
  <c r="AF96" i="14" s="1"/>
  <c r="N156" i="8"/>
  <c r="BE156" i="8"/>
  <c r="BC96" i="14" s="1"/>
  <c r="AO156" i="8"/>
  <c r="AM96" i="14" s="1"/>
  <c r="Y156" i="8"/>
  <c r="W96" i="14" s="1"/>
  <c r="W99" i="14" s="1"/>
  <c r="W100" i="14" s="1"/>
  <c r="I156" i="8"/>
  <c r="G96" i="14" s="1"/>
  <c r="AZ156" i="8"/>
  <c r="AX96" i="14" s="1"/>
  <c r="AF156" i="8"/>
  <c r="AD96" i="14" s="1"/>
  <c r="P156" i="8"/>
  <c r="N96" i="14" s="1"/>
  <c r="AQ156" i="8"/>
  <c r="AO96" i="14" s="1"/>
  <c r="AM156" i="8"/>
  <c r="AK96" i="14" s="1"/>
  <c r="AI156" i="8"/>
  <c r="AG96" i="14" s="1"/>
  <c r="AE156" i="8"/>
  <c r="AC96" i="14" s="1"/>
  <c r="BJ156" i="8"/>
  <c r="BH96" i="14" s="1"/>
  <c r="AT156" i="8"/>
  <c r="AR96" i="14" s="1"/>
  <c r="AD156" i="8"/>
  <c r="AB96" i="14" s="1"/>
  <c r="J156" i="8"/>
  <c r="H96" i="14" s="1"/>
  <c r="BA156" i="8"/>
  <c r="AY96" i="14" s="1"/>
  <c r="AK156" i="8"/>
  <c r="AI96" i="14" s="1"/>
  <c r="U156" i="8"/>
  <c r="S96" i="14" s="1"/>
  <c r="BL156" i="8"/>
  <c r="BJ96" i="14" s="1"/>
  <c r="AV156" i="8"/>
  <c r="AT96" i="14" s="1"/>
  <c r="AB156" i="8"/>
  <c r="Z96" i="14" s="1"/>
  <c r="L156" i="8"/>
  <c r="J96" i="14" s="1"/>
  <c r="AA156" i="8"/>
  <c r="Y96" i="14" s="1"/>
  <c r="W156" i="8"/>
  <c r="U96" i="14" s="1"/>
  <c r="S156" i="8"/>
  <c r="Q96" i="14" s="1"/>
  <c r="O156" i="8"/>
  <c r="M96" i="14" s="1"/>
  <c r="BM156" i="8"/>
  <c r="BK96" i="14" s="1"/>
  <c r="BH156" i="8"/>
  <c r="BF96" i="14" s="1"/>
  <c r="K156" i="8"/>
  <c r="H156" i="8"/>
  <c r="BF156" i="8"/>
  <c r="BD96" i="14" s="1"/>
  <c r="AW156" i="8"/>
  <c r="AU96" i="14" s="1"/>
  <c r="AR156" i="8"/>
  <c r="AP96" i="14" s="1"/>
  <c r="AP156" i="8"/>
  <c r="AN96" i="14" s="1"/>
  <c r="AG156" i="8"/>
  <c r="AE96" i="14" s="1"/>
  <c r="X156" i="8"/>
  <c r="V96" i="14" s="1"/>
  <c r="BK156" i="8"/>
  <c r="BI96" i="14" s="1"/>
  <c r="V156" i="8"/>
  <c r="T96" i="14" s="1"/>
  <c r="Q156" i="8"/>
  <c r="P94" i="14"/>
  <c r="P95" i="14" s="1"/>
  <c r="AK94" i="14"/>
  <c r="AK95" i="14" s="1"/>
  <c r="W185" i="8"/>
  <c r="W186" i="8" s="1"/>
  <c r="W191" i="8" s="1"/>
  <c r="U185" i="8"/>
  <c r="U186" i="8" s="1"/>
  <c r="U191" i="8" s="1"/>
  <c r="H26" i="5"/>
  <c r="G26" i="5" s="1"/>
  <c r="AF89" i="14"/>
  <c r="AF90" i="14" s="1"/>
  <c r="AF94" i="14" s="1"/>
  <c r="AF95" i="14" s="1"/>
  <c r="D86" i="14"/>
  <c r="AE250" i="8"/>
  <c r="AE255" i="8" s="1"/>
  <c r="E85" i="14"/>
  <c r="E89" i="14" s="1"/>
  <c r="L90" i="14"/>
  <c r="L94" i="14" s="1"/>
  <c r="L95" i="14" s="1"/>
  <c r="L99" i="14" s="1"/>
  <c r="L100" i="14" s="1"/>
  <c r="L104" i="14" s="1"/>
  <c r="L105" i="14" s="1"/>
  <c r="H90" i="14"/>
  <c r="H94" i="14" s="1"/>
  <c r="H95" i="14" s="1"/>
  <c r="BA85" i="14"/>
  <c r="BA89" i="14" s="1"/>
  <c r="BA90" i="14" s="1"/>
  <c r="BA94" i="14" s="1"/>
  <c r="BA95" i="14" s="1"/>
  <c r="D81" i="14"/>
  <c r="AM75" i="14"/>
  <c r="AM79" i="14" s="1"/>
  <c r="AM80" i="14" s="1"/>
  <c r="AM84" i="14" s="1"/>
  <c r="AM85" i="14" s="1"/>
  <c r="AO80" i="14"/>
  <c r="AO84" i="14" s="1"/>
  <c r="AO85" i="14" s="1"/>
  <c r="BJ80" i="14"/>
  <c r="BJ84" i="14" s="1"/>
  <c r="BJ85" i="14" s="1"/>
  <c r="BJ89" i="14" s="1"/>
  <c r="BJ90" i="14" s="1"/>
  <c r="N90" i="14"/>
  <c r="N94" i="14" s="1"/>
  <c r="N95" i="14" s="1"/>
  <c r="AZ90" i="14"/>
  <c r="AZ94" i="14" s="1"/>
  <c r="AZ95" i="14" s="1"/>
  <c r="BN233" i="8"/>
  <c r="BN234" i="8" s="1"/>
  <c r="BN239" i="8" s="1"/>
  <c r="AV226" i="8"/>
  <c r="AV231" i="8" s="1"/>
  <c r="BJ201" i="8"/>
  <c r="BJ202" i="8" s="1"/>
  <c r="BJ207" i="8" s="1"/>
  <c r="O201" i="8"/>
  <c r="O202" i="8" s="1"/>
  <c r="O207" i="8" s="1"/>
  <c r="BI201" i="8"/>
  <c r="BI202" i="8" s="1"/>
  <c r="BI207" i="8" s="1"/>
  <c r="BL209" i="8"/>
  <c r="BL210" i="8" s="1"/>
  <c r="BL215" i="8" s="1"/>
  <c r="BH209" i="8"/>
  <c r="BH210" i="8" s="1"/>
  <c r="BH215" i="8" s="1"/>
  <c r="BG209" i="8"/>
  <c r="BG210" i="8" s="1"/>
  <c r="BG215" i="8" s="1"/>
  <c r="BB218" i="8"/>
  <c r="BB223" i="8" s="1"/>
  <c r="AP201" i="8"/>
  <c r="AP202" i="8" s="1"/>
  <c r="AP207" i="8" s="1"/>
  <c r="BD201" i="8"/>
  <c r="BD202" i="8" s="1"/>
  <c r="BD207" i="8" s="1"/>
  <c r="BK201" i="8"/>
  <c r="BK202" i="8" s="1"/>
  <c r="BK207" i="8" s="1"/>
  <c r="R193" i="8"/>
  <c r="I26" i="6"/>
  <c r="K28" i="5" s="1"/>
  <c r="J25" i="6"/>
  <c r="J27" i="5" s="1"/>
  <c r="I185" i="8"/>
  <c r="I186" i="8" s="1"/>
  <c r="I191" i="8" s="1"/>
  <c r="X169" i="8"/>
  <c r="X170" i="8" s="1"/>
  <c r="X175" i="8" s="1"/>
  <c r="AY169" i="8"/>
  <c r="AY170" i="8" s="1"/>
  <c r="AY175" i="8" s="1"/>
  <c r="AX169" i="8"/>
  <c r="AX170" i="8" s="1"/>
  <c r="AX175" i="8" s="1"/>
  <c r="AT169" i="8"/>
  <c r="AT170" i="8" s="1"/>
  <c r="AT175" i="8" s="1"/>
  <c r="E30" i="5"/>
  <c r="AJ156" i="8"/>
  <c r="Z156" i="8"/>
  <c r="O99" i="14"/>
  <c r="O100" i="14" s="1"/>
  <c r="AH94" i="14"/>
  <c r="J94" i="14"/>
  <c r="J95" i="14" s="1"/>
  <c r="E148" i="8"/>
  <c r="AI89" i="14"/>
  <c r="AI90" i="14" s="1"/>
  <c r="AI94" i="14" s="1"/>
  <c r="AI95" i="14" s="1"/>
  <c r="Y89" i="14"/>
  <c r="Y90" i="14" s="1"/>
  <c r="Y94" i="14" s="1"/>
  <c r="Y95" i="14" s="1"/>
  <c r="S89" i="14"/>
  <c r="S90" i="14" s="1"/>
  <c r="AG89" i="14"/>
  <c r="AG90" i="14" s="1"/>
  <c r="AG94" i="14" s="1"/>
  <c r="AG95" i="14" s="1"/>
  <c r="U89" i="14"/>
  <c r="U90" i="14" s="1"/>
  <c r="U94" i="14" s="1"/>
  <c r="U95" i="14" s="1"/>
  <c r="K90" i="14"/>
  <c r="K94" i="14" s="1"/>
  <c r="AR145" i="8"/>
  <c r="AR146" i="8" s="1"/>
  <c r="AR151" i="8" s="1"/>
  <c r="I84" i="14"/>
  <c r="AX65" i="14"/>
  <c r="F63" i="8" l="1"/>
  <c r="E63" i="8" s="1"/>
  <c r="F65" i="8"/>
  <c r="G64" i="21" s="1" a="1"/>
  <c r="G64" i="21" s="1"/>
  <c r="G62" i="21" a="1"/>
  <c r="G62" i="21" s="1"/>
  <c r="G99" i="14"/>
  <c r="G100" i="14" s="1"/>
  <c r="C155" i="21" a="1"/>
  <c r="C155" i="21" s="1"/>
  <c r="C65" i="21" a="1"/>
  <c r="C65" i="21" s="1"/>
  <c r="H71" i="8"/>
  <c r="C64" i="21" a="1"/>
  <c r="C64" i="21" s="1"/>
  <c r="E65" i="8"/>
  <c r="AK183" i="8"/>
  <c r="AK185" i="8" s="1"/>
  <c r="AK186" i="8" s="1"/>
  <c r="AK191" i="8" s="1"/>
  <c r="AK193" i="8" s="1"/>
  <c r="AK194" i="8" s="1"/>
  <c r="AK199" i="8" s="1"/>
  <c r="AM183" i="8"/>
  <c r="AM185" i="8" s="1"/>
  <c r="AM186" i="8" s="1"/>
  <c r="AM191" i="8" s="1"/>
  <c r="AM193" i="8" s="1"/>
  <c r="AM194" i="8" s="1"/>
  <c r="AM199" i="8" s="1"/>
  <c r="AD183" i="8"/>
  <c r="AD185" i="8" s="1"/>
  <c r="AD186" i="8" s="1"/>
  <c r="AD191" i="8" s="1"/>
  <c r="AD193" i="8" s="1"/>
  <c r="AD194" i="8" s="1"/>
  <c r="AD199" i="8" s="1"/>
  <c r="AL183" i="8"/>
  <c r="AL185" i="8" s="1"/>
  <c r="AL186" i="8" s="1"/>
  <c r="AL191" i="8" s="1"/>
  <c r="AL193" i="8" s="1"/>
  <c r="AL194" i="8" s="1"/>
  <c r="AL199" i="8" s="1"/>
  <c r="AW183" i="8"/>
  <c r="AW185" i="8" s="1"/>
  <c r="AW186" i="8" s="1"/>
  <c r="AW191" i="8" s="1"/>
  <c r="AW193" i="8" s="1"/>
  <c r="AW194" i="8" s="1"/>
  <c r="AW199" i="8" s="1"/>
  <c r="AO183" i="8"/>
  <c r="AO185" i="8" s="1"/>
  <c r="AO186" i="8" s="1"/>
  <c r="AO191" i="8" s="1"/>
  <c r="AO193" i="8" s="1"/>
  <c r="AO194" i="8" s="1"/>
  <c r="AO199" i="8" s="1"/>
  <c r="AF183" i="8"/>
  <c r="AF185" i="8" s="1"/>
  <c r="AF186" i="8" s="1"/>
  <c r="AF191" i="8" s="1"/>
  <c r="AF193" i="8" s="1"/>
  <c r="AF194" i="8" s="1"/>
  <c r="AF199" i="8" s="1"/>
  <c r="BF183" i="8"/>
  <c r="BF185" i="8" s="1"/>
  <c r="BF186" i="8" s="1"/>
  <c r="BF191" i="8" s="1"/>
  <c r="BF193" i="8" s="1"/>
  <c r="BF194" i="8" s="1"/>
  <c r="BF199" i="8" s="1"/>
  <c r="AB183" i="8"/>
  <c r="AB185" i="8" s="1"/>
  <c r="AB186" i="8" s="1"/>
  <c r="AB191" i="8" s="1"/>
  <c r="AB193" i="8" s="1"/>
  <c r="AB194" i="8" s="1"/>
  <c r="AB199" i="8" s="1"/>
  <c r="AN183" i="8"/>
  <c r="AN185" i="8" s="1"/>
  <c r="AN186" i="8" s="1"/>
  <c r="AN191" i="8" s="1"/>
  <c r="AN193" i="8" s="1"/>
  <c r="AN194" i="8" s="1"/>
  <c r="AN199" i="8" s="1"/>
  <c r="S207" i="8"/>
  <c r="S209" i="8" s="1"/>
  <c r="S210" i="8" s="1"/>
  <c r="S215" i="8" s="1"/>
  <c r="S217" i="8" s="1"/>
  <c r="BC183" i="8"/>
  <c r="BC185" i="8" s="1"/>
  <c r="BC186" i="8" s="1"/>
  <c r="BC191" i="8" s="1"/>
  <c r="BC193" i="8" s="1"/>
  <c r="BC194" i="8" s="1"/>
  <c r="BC199" i="8" s="1"/>
  <c r="I96" i="14"/>
  <c r="K183" i="8"/>
  <c r="K185" i="8" s="1"/>
  <c r="K186" i="8" s="1"/>
  <c r="K191" i="8" s="1"/>
  <c r="K193" i="8" s="1"/>
  <c r="K194" i="8" s="1"/>
  <c r="K199" i="8" s="1"/>
  <c r="H99" i="14"/>
  <c r="H100" i="14" s="1"/>
  <c r="H104" i="14" s="1"/>
  <c r="H105" i="14" s="1"/>
  <c r="BB99" i="14"/>
  <c r="BB100" i="14" s="1"/>
  <c r="F96" i="14"/>
  <c r="BI99" i="14"/>
  <c r="BI100" i="14" s="1"/>
  <c r="Q99" i="14"/>
  <c r="Q100" i="14" s="1"/>
  <c r="BE99" i="14"/>
  <c r="BE100" i="14" s="1"/>
  <c r="BC99" i="14"/>
  <c r="BC100" i="14" s="1"/>
  <c r="AW99" i="14"/>
  <c r="AW100" i="14" s="1"/>
  <c r="F50" i="14"/>
  <c r="D49" i="14"/>
  <c r="E96" i="14" a="1"/>
  <c r="E96" i="14" s="1"/>
  <c r="BF99" i="14"/>
  <c r="BF100" i="14" s="1"/>
  <c r="Z99" i="14"/>
  <c r="Z100" i="14" s="1"/>
  <c r="AC99" i="14"/>
  <c r="AC100" i="14" s="1"/>
  <c r="AE258" i="8"/>
  <c r="AE263" i="8" s="1"/>
  <c r="AL99" i="14"/>
  <c r="AL100" i="14" s="1"/>
  <c r="AN99" i="14"/>
  <c r="AN100" i="14" s="1"/>
  <c r="AY177" i="8"/>
  <c r="AY178" i="8" s="1"/>
  <c r="X177" i="8"/>
  <c r="X178" i="8" s="1"/>
  <c r="X183" i="8" s="1"/>
  <c r="W193" i="8"/>
  <c r="W194" i="8" s="1"/>
  <c r="W199" i="8" s="1"/>
  <c r="Y185" i="8"/>
  <c r="Y186" i="8" s="1"/>
  <c r="Y191" i="8" s="1"/>
  <c r="AT177" i="8"/>
  <c r="AT178" i="8" s="1"/>
  <c r="U193" i="8"/>
  <c r="U194" i="8" s="1"/>
  <c r="AX177" i="8"/>
  <c r="AX178" i="8" s="1"/>
  <c r="P74" i="8"/>
  <c r="P79" i="8" s="1"/>
  <c r="AE99" i="14"/>
  <c r="AE100" i="14" s="1"/>
  <c r="P99" i="14"/>
  <c r="P100" i="14" s="1"/>
  <c r="P104" i="14" s="1"/>
  <c r="P105" i="14" s="1"/>
  <c r="AZ99" i="14"/>
  <c r="AZ100" i="14" s="1"/>
  <c r="AD99" i="14"/>
  <c r="AD100" i="14" s="1"/>
  <c r="R99" i="14"/>
  <c r="R100" i="14" s="1"/>
  <c r="AQ99" i="14"/>
  <c r="AQ100" i="14" s="1"/>
  <c r="AV99" i="14"/>
  <c r="AV100" i="14" s="1"/>
  <c r="BD99" i="14"/>
  <c r="BD100" i="14" s="1"/>
  <c r="AP99" i="14"/>
  <c r="AP100" i="14" s="1"/>
  <c r="AK99" i="14"/>
  <c r="AK100" i="14" s="1"/>
  <c r="BG99" i="14"/>
  <c r="BG100" i="14" s="1"/>
  <c r="AF99" i="14"/>
  <c r="AF100" i="14" s="1"/>
  <c r="BK99" i="14"/>
  <c r="BK100" i="14" s="1"/>
  <c r="M99" i="14"/>
  <c r="M100" i="14" s="1"/>
  <c r="AS99" i="14"/>
  <c r="AS100" i="14" s="1"/>
  <c r="AU99" i="14"/>
  <c r="AU100" i="14" s="1"/>
  <c r="AJ99" i="14"/>
  <c r="AJ100" i="14" s="1"/>
  <c r="AT99" i="14"/>
  <c r="AT100" i="14" s="1"/>
  <c r="AR99" i="14"/>
  <c r="AR100" i="14" s="1"/>
  <c r="BH99" i="14"/>
  <c r="BH100" i="14" s="1"/>
  <c r="AY99" i="14"/>
  <c r="AY100" i="14" s="1"/>
  <c r="Y101" i="14"/>
  <c r="BF101" i="14"/>
  <c r="AP101" i="14"/>
  <c r="Z101" i="14"/>
  <c r="J101" i="14"/>
  <c r="BA101" i="14"/>
  <c r="AK101" i="14"/>
  <c r="Q101" i="14"/>
  <c r="BL101" i="14"/>
  <c r="AV101" i="14"/>
  <c r="AF101" i="14"/>
  <c r="BG101" i="14"/>
  <c r="W101" i="14"/>
  <c r="W104" i="14" s="1"/>
  <c r="W105" i="14" s="1"/>
  <c r="AE101" i="14"/>
  <c r="BB101" i="14"/>
  <c r="AL101" i="14"/>
  <c r="V101" i="14"/>
  <c r="AX101" i="14"/>
  <c r="AH101" i="14"/>
  <c r="R101" i="14"/>
  <c r="BI101" i="14"/>
  <c r="AS101" i="14"/>
  <c r="AC101" i="14"/>
  <c r="I101" i="14"/>
  <c r="BD101" i="14"/>
  <c r="AN101" i="14"/>
  <c r="X101" i="14"/>
  <c r="AY101" i="14"/>
  <c r="S101" i="14"/>
  <c r="AA101" i="14"/>
  <c r="BJ101" i="14"/>
  <c r="F101" i="14"/>
  <c r="AG101" i="14"/>
  <c r="BH101" i="14"/>
  <c r="AB101" i="14"/>
  <c r="BC101" i="14"/>
  <c r="AQ101" i="14"/>
  <c r="AT101" i="14"/>
  <c r="BE101" i="14"/>
  <c r="U101" i="14"/>
  <c r="AZ101" i="14"/>
  <c r="T101" i="14"/>
  <c r="AM101" i="14"/>
  <c r="AD101" i="14"/>
  <c r="AW101" i="14"/>
  <c r="M101" i="14"/>
  <c r="AR101" i="14"/>
  <c r="AI101" i="14"/>
  <c r="AJ101" i="14"/>
  <c r="N101" i="14"/>
  <c r="BK101" i="14"/>
  <c r="AO101" i="14"/>
  <c r="AU101" i="14"/>
  <c r="V99" i="14"/>
  <c r="V100" i="14" s="1"/>
  <c r="V185" i="8"/>
  <c r="V186" i="8" s="1"/>
  <c r="V191" i="8" s="1"/>
  <c r="H27" i="5"/>
  <c r="G27" i="5" s="1"/>
  <c r="T91" i="14"/>
  <c r="T94" i="14" s="1"/>
  <c r="BL91" i="14"/>
  <c r="BL94" i="14" s="1"/>
  <c r="AB91" i="14"/>
  <c r="AB94" i="14" s="1"/>
  <c r="BN241" i="8"/>
  <c r="BN242" i="8" s="1"/>
  <c r="BN247" i="8" s="1"/>
  <c r="AH95" i="14"/>
  <c r="E90" i="14"/>
  <c r="E94" i="14" s="1"/>
  <c r="I85" i="14"/>
  <c r="I89" i="14" s="1"/>
  <c r="K95" i="14"/>
  <c r="K99" i="14" s="1"/>
  <c r="K100" i="14" s="1"/>
  <c r="K104" i="14" s="1"/>
  <c r="K105" i="14" s="1"/>
  <c r="K109" i="14" s="1"/>
  <c r="K110" i="14" s="1"/>
  <c r="AV234" i="8"/>
  <c r="AV239" i="8" s="1"/>
  <c r="Z193" i="8"/>
  <c r="Z194" i="8" s="1"/>
  <c r="Z199" i="8" s="1"/>
  <c r="BB226" i="8"/>
  <c r="BB231" i="8" s="1"/>
  <c r="BA201" i="8"/>
  <c r="BA202" i="8" s="1"/>
  <c r="BA207" i="8" s="1"/>
  <c r="AC201" i="8"/>
  <c r="AC202" i="8" s="1"/>
  <c r="AC207" i="8" s="1"/>
  <c r="BM201" i="8"/>
  <c r="BM202" i="8" s="1"/>
  <c r="BM207" i="8" s="1"/>
  <c r="AU201" i="8"/>
  <c r="AU202" i="8" s="1"/>
  <c r="AU207" i="8" s="1"/>
  <c r="J201" i="8"/>
  <c r="J202" i="8" s="1"/>
  <c r="J207" i="8" s="1"/>
  <c r="L201" i="8"/>
  <c r="L202" i="8" s="1"/>
  <c r="L207" i="8" s="1"/>
  <c r="M201" i="8"/>
  <c r="M202" i="8" s="1"/>
  <c r="M207" i="8" s="1"/>
  <c r="BH217" i="8"/>
  <c r="BH218" i="8" s="1"/>
  <c r="BH223" i="8" s="1"/>
  <c r="O209" i="8"/>
  <c r="O210" i="8" s="1"/>
  <c r="O215" i="8" s="1"/>
  <c r="AP209" i="8"/>
  <c r="AP210" i="8" s="1"/>
  <c r="AP215" i="8" s="1"/>
  <c r="BL217" i="8"/>
  <c r="T217" i="8"/>
  <c r="BJ209" i="8"/>
  <c r="BJ210" i="8" s="1"/>
  <c r="BJ215" i="8" s="1"/>
  <c r="AI201" i="8"/>
  <c r="AI202" i="8" s="1"/>
  <c r="AI207" i="8" s="1"/>
  <c r="BG217" i="8"/>
  <c r="BI209" i="8"/>
  <c r="BI210" i="8" s="1"/>
  <c r="BI215" i="8" s="1"/>
  <c r="BK209" i="8"/>
  <c r="BK210" i="8" s="1"/>
  <c r="BK215" i="8" s="1"/>
  <c r="AG201" i="8"/>
  <c r="AG202" i="8" s="1"/>
  <c r="AG207" i="8" s="1"/>
  <c r="Q201" i="8"/>
  <c r="Q202" i="8" s="1"/>
  <c r="Q207" i="8" s="1"/>
  <c r="AZ201" i="8"/>
  <c r="AZ202" i="8" s="1"/>
  <c r="AZ207" i="8" s="1"/>
  <c r="AJ201" i="8"/>
  <c r="AJ202" i="8" s="1"/>
  <c r="AJ207" i="8" s="1"/>
  <c r="N201" i="8"/>
  <c r="N202" i="8" s="1"/>
  <c r="N207" i="8" s="1"/>
  <c r="R194" i="8"/>
  <c r="R199" i="8" s="1"/>
  <c r="I27" i="6"/>
  <c r="K29" i="5" s="1"/>
  <c r="J26" i="6"/>
  <c r="J28" i="5" s="1"/>
  <c r="I193" i="8"/>
  <c r="I194" i="8" s="1"/>
  <c r="I199" i="8" s="1"/>
  <c r="AQ169" i="8"/>
  <c r="AQ170" i="8" s="1"/>
  <c r="AQ175" i="8" s="1"/>
  <c r="E31" i="5"/>
  <c r="E156" i="8"/>
  <c r="Y99" i="14"/>
  <c r="Y100" i="14" s="1"/>
  <c r="BA99" i="14"/>
  <c r="BA100" i="14" s="1"/>
  <c r="AI99" i="14"/>
  <c r="AI100" i="14" s="1"/>
  <c r="AG99" i="14"/>
  <c r="AG100" i="14" s="1"/>
  <c r="N99" i="14"/>
  <c r="N100" i="14" s="1"/>
  <c r="U99" i="14"/>
  <c r="U100" i="14" s="1"/>
  <c r="J99" i="14"/>
  <c r="J100" i="14" s="1"/>
  <c r="E149" i="8"/>
  <c r="S91" i="14"/>
  <c r="BJ94" i="14"/>
  <c r="BJ95" i="14" s="1"/>
  <c r="AO89" i="14"/>
  <c r="AO90" i="14" s="1"/>
  <c r="AO94" i="14" s="1"/>
  <c r="AO95" i="14" s="1"/>
  <c r="AM89" i="14"/>
  <c r="AM90" i="14" s="1"/>
  <c r="AM94" i="14" s="1"/>
  <c r="AM95" i="14" s="1"/>
  <c r="AR153" i="8"/>
  <c r="AA75" i="14"/>
  <c r="AX69" i="14"/>
  <c r="F66" i="8" l="1"/>
  <c r="E66" i="8" s="1"/>
  <c r="F71" i="8"/>
  <c r="G65" i="21" a="1"/>
  <c r="G65" i="21" s="1"/>
  <c r="C70" i="21" a="1"/>
  <c r="C70" i="21" s="1"/>
  <c r="H73" i="8"/>
  <c r="H74" i="8" s="1"/>
  <c r="E71" i="8"/>
  <c r="BB104" i="14"/>
  <c r="BB105" i="14" s="1"/>
  <c r="AX183" i="8"/>
  <c r="AX185" i="8" s="1"/>
  <c r="AX186" i="8" s="1"/>
  <c r="AX191" i="8" s="1"/>
  <c r="AX193" i="8" s="1"/>
  <c r="AX194" i="8" s="1"/>
  <c r="AX199" i="8" s="1"/>
  <c r="U199" i="8"/>
  <c r="U201" i="8" s="1"/>
  <c r="U202" i="8" s="1"/>
  <c r="U207" i="8" s="1"/>
  <c r="U209" i="8" s="1"/>
  <c r="U210" i="8" s="1"/>
  <c r="U215" i="8" s="1"/>
  <c r="AT183" i="8"/>
  <c r="AT185" i="8" s="1"/>
  <c r="AT186" i="8" s="1"/>
  <c r="AT191" i="8" s="1"/>
  <c r="AT193" i="8" s="1"/>
  <c r="AT194" i="8" s="1"/>
  <c r="AT199" i="8" s="1"/>
  <c r="AY183" i="8"/>
  <c r="AY185" i="8" s="1"/>
  <c r="AY186" i="8" s="1"/>
  <c r="AY191" i="8" s="1"/>
  <c r="AY193" i="8" s="1"/>
  <c r="AY194" i="8" s="1"/>
  <c r="AY199" i="8" s="1"/>
  <c r="Q104" i="14"/>
  <c r="Q105" i="14" s="1"/>
  <c r="BE104" i="14"/>
  <c r="BE105" i="14" s="1"/>
  <c r="F54" i="14"/>
  <c r="D50" i="14"/>
  <c r="AN104" i="14"/>
  <c r="AN105" i="14" s="1"/>
  <c r="E101" i="14" a="1"/>
  <c r="E101" i="14" s="1"/>
  <c r="AC104" i="14"/>
  <c r="AC105" i="14" s="1"/>
  <c r="BD104" i="14"/>
  <c r="BD105" i="14" s="1"/>
  <c r="Z104" i="14"/>
  <c r="Z105" i="14" s="1"/>
  <c r="AL104" i="14"/>
  <c r="AL105" i="14" s="1"/>
  <c r="AE265" i="8"/>
  <c r="AE266" i="8" s="1"/>
  <c r="V193" i="8"/>
  <c r="V194" i="8" s="1"/>
  <c r="V199" i="8" s="1"/>
  <c r="AQ177" i="8"/>
  <c r="AQ178" i="8" s="1"/>
  <c r="J104" i="14"/>
  <c r="J105" i="14" s="1"/>
  <c r="G172" i="8"/>
  <c r="F172" i="8"/>
  <c r="G171" i="21" s="1" a="1"/>
  <c r="G171" i="21" s="1"/>
  <c r="BA104" i="14"/>
  <c r="BA105" i="14" s="1"/>
  <c r="AD104" i="14"/>
  <c r="AD105" i="14" s="1"/>
  <c r="U104" i="14"/>
  <c r="U105" i="14" s="1"/>
  <c r="AG104" i="14"/>
  <c r="AG105" i="14" s="1"/>
  <c r="AF104" i="14"/>
  <c r="AF105" i="14" s="1"/>
  <c r="AY104" i="14"/>
  <c r="AY105" i="14" s="1"/>
  <c r="AQ104" i="14"/>
  <c r="AQ105" i="14" s="1"/>
  <c r="AK104" i="14"/>
  <c r="AK105" i="14" s="1"/>
  <c r="N104" i="14"/>
  <c r="N105" i="14" s="1"/>
  <c r="AT104" i="14"/>
  <c r="AT105" i="14" s="1"/>
  <c r="M104" i="14"/>
  <c r="M105" i="14" s="1"/>
  <c r="BI104" i="14"/>
  <c r="BI105" i="14" s="1"/>
  <c r="AU104" i="14"/>
  <c r="AU105" i="14" s="1"/>
  <c r="BC104" i="14"/>
  <c r="BC105" i="14" s="1"/>
  <c r="BH104" i="14"/>
  <c r="BH105" i="14" s="1"/>
  <c r="V104" i="14"/>
  <c r="V105" i="14" s="1"/>
  <c r="AW104" i="14"/>
  <c r="AW105" i="14" s="1"/>
  <c r="AR104" i="14"/>
  <c r="AR105" i="14" s="1"/>
  <c r="AS104" i="14"/>
  <c r="AS105" i="14" s="1"/>
  <c r="AZ104" i="14"/>
  <c r="AZ105" i="14" s="1"/>
  <c r="R104" i="14"/>
  <c r="R105" i="14" s="1"/>
  <c r="AE104" i="14"/>
  <c r="AE105" i="14" s="1"/>
  <c r="BK104" i="14"/>
  <c r="BK105" i="14" s="1"/>
  <c r="BF172" i="8"/>
  <c r="BD106" i="14" s="1"/>
  <c r="AP172" i="8"/>
  <c r="AN106" i="14" s="1"/>
  <c r="Z172" i="8"/>
  <c r="X106" i="14" s="1"/>
  <c r="BI172" i="8"/>
  <c r="BG106" i="14" s="1"/>
  <c r="AS172" i="8"/>
  <c r="AQ106" i="14" s="1"/>
  <c r="AC172" i="8"/>
  <c r="AA106" i="14" s="1"/>
  <c r="M172" i="8"/>
  <c r="BD172" i="8"/>
  <c r="BB106" i="14" s="1"/>
  <c r="AN172" i="8"/>
  <c r="AL106" i="14" s="1"/>
  <c r="X172" i="8"/>
  <c r="V106" i="14" s="1"/>
  <c r="H172" i="8"/>
  <c r="AY172" i="8"/>
  <c r="AW106" i="14" s="1"/>
  <c r="AI172" i="8"/>
  <c r="AG106" i="14" s="1"/>
  <c r="S172" i="8"/>
  <c r="Q106" i="14" s="1"/>
  <c r="BB172" i="8"/>
  <c r="AZ106" i="14" s="1"/>
  <c r="AL172" i="8"/>
  <c r="AJ106" i="14" s="1"/>
  <c r="V172" i="8"/>
  <c r="T106" i="14" s="1"/>
  <c r="BE172" i="8"/>
  <c r="BC106" i="14" s="1"/>
  <c r="AO172" i="8"/>
  <c r="AM106" i="14" s="1"/>
  <c r="Y172" i="8"/>
  <c r="W106" i="14" s="1"/>
  <c r="I172" i="8"/>
  <c r="AZ172" i="8"/>
  <c r="AX106" i="14" s="1"/>
  <c r="AJ172" i="8"/>
  <c r="AH106" i="14" s="1"/>
  <c r="T172" i="8"/>
  <c r="R106" i="14" s="1"/>
  <c r="BK172" i="8"/>
  <c r="BI106" i="14" s="1"/>
  <c r="AU172" i="8"/>
  <c r="AS106" i="14" s="1"/>
  <c r="AE172" i="8"/>
  <c r="AC106" i="14" s="1"/>
  <c r="O172" i="8"/>
  <c r="M106" i="14" s="1"/>
  <c r="BN172" i="8"/>
  <c r="BL106" i="14" s="1"/>
  <c r="AX172" i="8"/>
  <c r="AV106" i="14" s="1"/>
  <c r="AH172" i="8"/>
  <c r="AF106" i="14" s="1"/>
  <c r="J172" i="8"/>
  <c r="H106" i="14" s="1"/>
  <c r="H109" i="14" s="1"/>
  <c r="H110" i="14" s="1"/>
  <c r="BA172" i="8"/>
  <c r="AY106" i="14" s="1"/>
  <c r="AK172" i="8"/>
  <c r="AI106" i="14" s="1"/>
  <c r="U172" i="8"/>
  <c r="S106" i="14" s="1"/>
  <c r="BL172" i="8"/>
  <c r="BJ106" i="14" s="1"/>
  <c r="AV172" i="8"/>
  <c r="AT106" i="14" s="1"/>
  <c r="AF172" i="8"/>
  <c r="AD106" i="14" s="1"/>
  <c r="P172" i="8"/>
  <c r="N106" i="14" s="1"/>
  <c r="BG172" i="8"/>
  <c r="BE106" i="14" s="1"/>
  <c r="BE109" i="14" s="1"/>
  <c r="BE110" i="14" s="1"/>
  <c r="AQ172" i="8"/>
  <c r="AO106" i="14" s="1"/>
  <c r="AA172" i="8"/>
  <c r="Y106" i="14" s="1"/>
  <c r="K172" i="8"/>
  <c r="BM172" i="8"/>
  <c r="BK106" i="14" s="1"/>
  <c r="BH172" i="8"/>
  <c r="BF106" i="14" s="1"/>
  <c r="BC172" i="8"/>
  <c r="BA106" i="14" s="1"/>
  <c r="BJ172" i="8"/>
  <c r="BH106" i="14" s="1"/>
  <c r="AW172" i="8"/>
  <c r="AU106" i="14" s="1"/>
  <c r="AR172" i="8"/>
  <c r="AP106" i="14" s="1"/>
  <c r="AM172" i="8"/>
  <c r="AK106" i="14" s="1"/>
  <c r="AT172" i="8"/>
  <c r="AR106" i="14" s="1"/>
  <c r="AG172" i="8"/>
  <c r="AE106" i="14" s="1"/>
  <c r="AB172" i="8"/>
  <c r="Z106" i="14" s="1"/>
  <c r="W172" i="8"/>
  <c r="U106" i="14" s="1"/>
  <c r="AD172" i="8"/>
  <c r="AB106" i="14" s="1"/>
  <c r="Q172" i="8"/>
  <c r="O106" i="14" s="1"/>
  <c r="L172" i="8"/>
  <c r="J106" i="14" s="1"/>
  <c r="AI104" i="14"/>
  <c r="AI105" i="14" s="1"/>
  <c r="AJ104" i="14"/>
  <c r="AJ105" i="14" s="1"/>
  <c r="BF104" i="14"/>
  <c r="BF105" i="14" s="1"/>
  <c r="AV104" i="14"/>
  <c r="AV105" i="14" s="1"/>
  <c r="BG104" i="14"/>
  <c r="BG105" i="14" s="1"/>
  <c r="BD209" i="8"/>
  <c r="BD210" i="8" s="1"/>
  <c r="BD215" i="8" s="1"/>
  <c r="X185" i="8"/>
  <c r="X186" i="8" s="1"/>
  <c r="X191" i="8" s="1"/>
  <c r="BN249" i="8"/>
  <c r="BN250" i="8" s="1"/>
  <c r="BN255" i="8" s="1"/>
  <c r="H28" i="5"/>
  <c r="G28" i="5" s="1"/>
  <c r="AH96" i="14"/>
  <c r="Y104" i="14"/>
  <c r="Y105" i="14" s="1"/>
  <c r="O101" i="14"/>
  <c r="O104" i="14" s="1"/>
  <c r="AV242" i="8"/>
  <c r="AV247" i="8" s="1"/>
  <c r="I90" i="14"/>
  <c r="I94" i="14" s="1"/>
  <c r="I95" i="14" s="1"/>
  <c r="I99" i="14" s="1"/>
  <c r="I100" i="14" s="1"/>
  <c r="I104" i="14" s="1"/>
  <c r="I105" i="14" s="1"/>
  <c r="D91" i="14"/>
  <c r="AB95" i="14"/>
  <c r="AB99" i="14" s="1"/>
  <c r="AB100" i="14" s="1"/>
  <c r="AB104" i="14" s="1"/>
  <c r="AB105" i="14" s="1"/>
  <c r="T95" i="14"/>
  <c r="T99" i="14" s="1"/>
  <c r="T100" i="14" s="1"/>
  <c r="T104" i="14" s="1"/>
  <c r="T105" i="14" s="1"/>
  <c r="BL95" i="14"/>
  <c r="BL99" i="14" s="1"/>
  <c r="BL100" i="14" s="1"/>
  <c r="BL104" i="14" s="1"/>
  <c r="BL105" i="14" s="1"/>
  <c r="BB234" i="8"/>
  <c r="BB239" i="8" s="1"/>
  <c r="BL218" i="8"/>
  <c r="BL223" i="8" s="1"/>
  <c r="O217" i="8"/>
  <c r="BH225" i="8"/>
  <c r="BH226" i="8" s="1"/>
  <c r="BH231" i="8" s="1"/>
  <c r="AO201" i="8"/>
  <c r="AO202" i="8" s="1"/>
  <c r="AO207" i="8" s="1"/>
  <c r="AK201" i="8"/>
  <c r="AK202" i="8" s="1"/>
  <c r="AK207" i="8" s="1"/>
  <c r="K201" i="8"/>
  <c r="K202" i="8" s="1"/>
  <c r="K207" i="8" s="1"/>
  <c r="AL201" i="8"/>
  <c r="AL202" i="8" s="1"/>
  <c r="AL207" i="8" s="1"/>
  <c r="BF201" i="8"/>
  <c r="BF202" i="8" s="1"/>
  <c r="BF207" i="8" s="1"/>
  <c r="AB201" i="8"/>
  <c r="AB202" i="8" s="1"/>
  <c r="AB207" i="8" s="1"/>
  <c r="AW201" i="8"/>
  <c r="AW202" i="8" s="1"/>
  <c r="AW207" i="8" s="1"/>
  <c r="BG218" i="8"/>
  <c r="BG223" i="8" s="1"/>
  <c r="T218" i="8"/>
  <c r="T223" i="8" s="1"/>
  <c r="S218" i="8"/>
  <c r="S223" i="8" s="1"/>
  <c r="BI217" i="8"/>
  <c r="BI218" i="8" s="1"/>
  <c r="BI223" i="8" s="1"/>
  <c r="AI209" i="8"/>
  <c r="AI210" i="8" s="1"/>
  <c r="AI215" i="8" s="1"/>
  <c r="AG209" i="8"/>
  <c r="AG210" i="8" s="1"/>
  <c r="AG215" i="8" s="1"/>
  <c r="N209" i="8"/>
  <c r="N210" i="8" s="1"/>
  <c r="N215" i="8" s="1"/>
  <c r="AC209" i="8"/>
  <c r="AC210" i="8" s="1"/>
  <c r="AC215" i="8" s="1"/>
  <c r="R201" i="8"/>
  <c r="R202" i="8" s="1"/>
  <c r="R207" i="8" s="1"/>
  <c r="AJ209" i="8"/>
  <c r="AJ210" i="8" s="1"/>
  <c r="AJ215" i="8" s="1"/>
  <c r="M209" i="8"/>
  <c r="M210" i="8" s="1"/>
  <c r="M215" i="8" s="1"/>
  <c r="BJ217" i="8"/>
  <c r="BM209" i="8"/>
  <c r="BM210" i="8" s="1"/>
  <c r="BM215" i="8" s="1"/>
  <c r="Q209" i="8"/>
  <c r="Q210" i="8" s="1"/>
  <c r="Q215" i="8" s="1"/>
  <c r="J209" i="8"/>
  <c r="J210" i="8" s="1"/>
  <c r="J215" i="8" s="1"/>
  <c r="L209" i="8"/>
  <c r="L210" i="8" s="1"/>
  <c r="L215" i="8" s="1"/>
  <c r="AU209" i="8"/>
  <c r="AU210" i="8" s="1"/>
  <c r="AU215" i="8" s="1"/>
  <c r="AZ209" i="8"/>
  <c r="AZ210" i="8" s="1"/>
  <c r="AZ215" i="8" s="1"/>
  <c r="BA209" i="8"/>
  <c r="BA210" i="8" s="1"/>
  <c r="BA215" i="8" s="1"/>
  <c r="AA201" i="8"/>
  <c r="AA202" i="8" s="1"/>
  <c r="AA207" i="8" s="1"/>
  <c r="BE201" i="8"/>
  <c r="BE202" i="8" s="1"/>
  <c r="BE207" i="8" s="1"/>
  <c r="W201" i="8"/>
  <c r="W202" i="8" s="1"/>
  <c r="W207" i="8" s="1"/>
  <c r="AS201" i="8"/>
  <c r="AS202" i="8" s="1"/>
  <c r="AS207" i="8" s="1"/>
  <c r="AH201" i="8"/>
  <c r="AH202" i="8" s="1"/>
  <c r="AH207" i="8" s="1"/>
  <c r="Y193" i="8"/>
  <c r="Y194" i="8" s="1"/>
  <c r="Y199" i="8" s="1"/>
  <c r="I28" i="6"/>
  <c r="K30" i="5" s="1"/>
  <c r="J27" i="6"/>
  <c r="J29" i="5" s="1"/>
  <c r="K114" i="14"/>
  <c r="K115" i="14" s="1"/>
  <c r="G101" i="14"/>
  <c r="E165" i="8"/>
  <c r="E164" i="8"/>
  <c r="E32" i="5"/>
  <c r="N172" i="8"/>
  <c r="R172" i="8"/>
  <c r="X96" i="14"/>
  <c r="E157" i="8"/>
  <c r="AO99" i="14"/>
  <c r="AO100" i="14" s="1"/>
  <c r="AO104" i="14" s="1"/>
  <c r="AO105" i="14" s="1"/>
  <c r="AM99" i="14"/>
  <c r="AM100" i="14" s="1"/>
  <c r="AM104" i="14" s="1"/>
  <c r="AM105" i="14" s="1"/>
  <c r="BJ99" i="14"/>
  <c r="BJ100" i="14" s="1"/>
  <c r="BJ104" i="14" s="1"/>
  <c r="BJ105" i="14" s="1"/>
  <c r="S94" i="14"/>
  <c r="E95" i="14"/>
  <c r="AR154" i="8"/>
  <c r="AR159" i="8" s="1"/>
  <c r="AA79" i="14"/>
  <c r="AX70" i="14"/>
  <c r="AX74" i="14" s="1"/>
  <c r="F73" i="8" l="1"/>
  <c r="G70" i="21" a="1"/>
  <c r="G70" i="21" s="1"/>
  <c r="C73" i="21" a="1"/>
  <c r="C73" i="21" s="1"/>
  <c r="H79" i="8"/>
  <c r="C72" i="21" a="1"/>
  <c r="C72" i="21" s="1"/>
  <c r="E73" i="8"/>
  <c r="C171" i="21" a="1"/>
  <c r="C171" i="21" s="1"/>
  <c r="AE271" i="8"/>
  <c r="AE273" i="8" s="1"/>
  <c r="AE274" i="8" s="1"/>
  <c r="AQ183" i="8"/>
  <c r="AQ185" i="8" s="1"/>
  <c r="AQ186" i="8" s="1"/>
  <c r="AQ191" i="8" s="1"/>
  <c r="AQ193" i="8" s="1"/>
  <c r="AQ194" i="8" s="1"/>
  <c r="AQ199" i="8" s="1"/>
  <c r="I106" i="14"/>
  <c r="I109" i="14" s="1"/>
  <c r="I110" i="14" s="1"/>
  <c r="G106" i="14"/>
  <c r="F106" i="14"/>
  <c r="Q109" i="14"/>
  <c r="Q110" i="14" s="1"/>
  <c r="AC109" i="14"/>
  <c r="AC110" i="14" s="1"/>
  <c r="F55" i="14"/>
  <c r="D54" i="14"/>
  <c r="AN109" i="14"/>
  <c r="AN110" i="14" s="1"/>
  <c r="E106" i="14" a="1"/>
  <c r="E106" i="14" s="1"/>
  <c r="AB109" i="14"/>
  <c r="AB110" i="14" s="1"/>
  <c r="BG109" i="14"/>
  <c r="BG110" i="14" s="1"/>
  <c r="BN257" i="8"/>
  <c r="BN258" i="8" s="1"/>
  <c r="BD217" i="8"/>
  <c r="BD218" i="8" s="1"/>
  <c r="P81" i="8"/>
  <c r="X193" i="8"/>
  <c r="X194" i="8" s="1"/>
  <c r="AD109" i="14"/>
  <c r="AD110" i="14" s="1"/>
  <c r="AJ109" i="14"/>
  <c r="AJ110" i="14" s="1"/>
  <c r="T109" i="14"/>
  <c r="T110" i="14" s="1"/>
  <c r="BF109" i="14"/>
  <c r="BF110" i="14" s="1"/>
  <c r="G180" i="8"/>
  <c r="F180" i="8"/>
  <c r="G179" i="21" s="1" a="1"/>
  <c r="G179" i="21" s="1"/>
  <c r="BL109" i="14"/>
  <c r="BL110" i="14" s="1"/>
  <c r="AO109" i="14"/>
  <c r="AO110" i="14" s="1"/>
  <c r="AQ109" i="14"/>
  <c r="AQ110" i="14" s="1"/>
  <c r="N109" i="14"/>
  <c r="N110" i="14" s="1"/>
  <c r="Y109" i="14"/>
  <c r="Y110" i="14" s="1"/>
  <c r="AS109" i="14"/>
  <c r="AS110" i="14" s="1"/>
  <c r="AV109" i="14"/>
  <c r="AV110" i="14" s="1"/>
  <c r="AI109" i="14"/>
  <c r="AI110" i="14" s="1"/>
  <c r="BI109" i="14"/>
  <c r="BI110" i="14" s="1"/>
  <c r="V109" i="14"/>
  <c r="V110" i="14" s="1"/>
  <c r="AL109" i="14"/>
  <c r="AL110" i="14" s="1"/>
  <c r="BH109" i="14"/>
  <c r="BH110" i="14" s="1"/>
  <c r="AM109" i="14"/>
  <c r="AM110" i="14" s="1"/>
  <c r="AE109" i="14"/>
  <c r="AE110" i="14" s="1"/>
  <c r="AR109" i="14"/>
  <c r="AR110" i="14" s="1"/>
  <c r="BD109" i="14"/>
  <c r="BD110" i="14" s="1"/>
  <c r="Z109" i="14"/>
  <c r="Z110" i="14" s="1"/>
  <c r="BB109" i="14"/>
  <c r="BB110" i="14" s="1"/>
  <c r="AY109" i="14"/>
  <c r="W109" i="14"/>
  <c r="W110" i="14" s="1"/>
  <c r="R109" i="14"/>
  <c r="R110" i="14" s="1"/>
  <c r="AW109" i="14"/>
  <c r="AW110" i="14" s="1"/>
  <c r="BA109" i="14"/>
  <c r="BA110" i="14" s="1"/>
  <c r="AK109" i="14"/>
  <c r="AK110" i="14" s="1"/>
  <c r="BK109" i="14"/>
  <c r="BK110" i="14" s="1"/>
  <c r="AU109" i="14"/>
  <c r="AU110" i="14" s="1"/>
  <c r="AC180" i="8"/>
  <c r="AA111" i="14" s="1"/>
  <c r="Z180" i="8"/>
  <c r="X111" i="14" s="1"/>
  <c r="AP180" i="8"/>
  <c r="AN111" i="14" s="1"/>
  <c r="BF180" i="8"/>
  <c r="BD111" i="14" s="1"/>
  <c r="T180" i="8"/>
  <c r="R111" i="14" s="1"/>
  <c r="AZ180" i="8"/>
  <c r="AX111" i="14" s="1"/>
  <c r="AK180" i="8"/>
  <c r="AI111" i="14" s="1"/>
  <c r="W180" i="8"/>
  <c r="U111" i="14" s="1"/>
  <c r="AM180" i="8"/>
  <c r="AK111" i="14" s="1"/>
  <c r="BC180" i="8"/>
  <c r="BA111" i="14" s="1"/>
  <c r="P180" i="8"/>
  <c r="N111" i="14" s="1"/>
  <c r="AV180" i="8"/>
  <c r="AT111" i="14" s="1"/>
  <c r="Q180" i="8"/>
  <c r="O111" i="14" s="1"/>
  <c r="AW180" i="8"/>
  <c r="AU111" i="14" s="1"/>
  <c r="N180" i="8"/>
  <c r="L111" i="14" s="1"/>
  <c r="AD180" i="8"/>
  <c r="AB111" i="14" s="1"/>
  <c r="AT180" i="8"/>
  <c r="AR111" i="14" s="1"/>
  <c r="BJ180" i="8"/>
  <c r="BH111" i="14" s="1"/>
  <c r="AB180" i="8"/>
  <c r="Z111" i="14" s="1"/>
  <c r="BH180" i="8"/>
  <c r="BF111" i="14" s="1"/>
  <c r="AS180" i="8"/>
  <c r="AQ111" i="14" s="1"/>
  <c r="K180" i="8"/>
  <c r="AA180" i="8"/>
  <c r="Y111" i="14" s="1"/>
  <c r="AQ180" i="8"/>
  <c r="AO111" i="14" s="1"/>
  <c r="BG180" i="8"/>
  <c r="BE111" i="14" s="1"/>
  <c r="X180" i="8"/>
  <c r="V111" i="14" s="1"/>
  <c r="BD180" i="8"/>
  <c r="BB111" i="14" s="1"/>
  <c r="Y180" i="8"/>
  <c r="W111" i="14" s="1"/>
  <c r="BE180" i="8"/>
  <c r="BC111" i="14" s="1"/>
  <c r="R180" i="8"/>
  <c r="P111" i="14" s="1"/>
  <c r="AH180" i="8"/>
  <c r="AF111" i="14" s="1"/>
  <c r="AX180" i="8"/>
  <c r="AV111" i="14" s="1"/>
  <c r="BN180" i="8"/>
  <c r="BL111" i="14" s="1"/>
  <c r="AJ180" i="8"/>
  <c r="AH111" i="14" s="1"/>
  <c r="M180" i="8"/>
  <c r="BA180" i="8"/>
  <c r="AY111" i="14" s="1"/>
  <c r="O180" i="8"/>
  <c r="M111" i="14" s="1"/>
  <c r="AE180" i="8"/>
  <c r="AC111" i="14" s="1"/>
  <c r="AU180" i="8"/>
  <c r="AS111" i="14" s="1"/>
  <c r="BK180" i="8"/>
  <c r="BI111" i="14" s="1"/>
  <c r="AF180" i="8"/>
  <c r="AD111" i="14" s="1"/>
  <c r="BL180" i="8"/>
  <c r="BJ111" i="14" s="1"/>
  <c r="AG180" i="8"/>
  <c r="AE111" i="14" s="1"/>
  <c r="BM180" i="8"/>
  <c r="BK111" i="14" s="1"/>
  <c r="AL180" i="8"/>
  <c r="AJ111" i="14" s="1"/>
  <c r="U180" i="8"/>
  <c r="S111" i="14" s="1"/>
  <c r="AY180" i="8"/>
  <c r="AW111" i="14" s="1"/>
  <c r="AO180" i="8"/>
  <c r="AM111" i="14" s="1"/>
  <c r="BB180" i="8"/>
  <c r="AZ111" i="14" s="1"/>
  <c r="BI180" i="8"/>
  <c r="BG111" i="14" s="1"/>
  <c r="L180" i="8"/>
  <c r="J111" i="14" s="1"/>
  <c r="H180" i="8"/>
  <c r="S180" i="8"/>
  <c r="Q111" i="14" s="1"/>
  <c r="AN180" i="8"/>
  <c r="AL111" i="14" s="1"/>
  <c r="AI180" i="8"/>
  <c r="AG111" i="14" s="1"/>
  <c r="I180" i="8"/>
  <c r="V180" i="8"/>
  <c r="T111" i="14" s="1"/>
  <c r="AR180" i="8"/>
  <c r="AP111" i="14" s="1"/>
  <c r="U109" i="14"/>
  <c r="U110" i="14" s="1"/>
  <c r="AG109" i="14"/>
  <c r="AG110" i="14" s="1"/>
  <c r="AZ109" i="14"/>
  <c r="AZ110" i="14" s="1"/>
  <c r="J109" i="14"/>
  <c r="J110" i="14" s="1"/>
  <c r="BC109" i="14"/>
  <c r="M109" i="14"/>
  <c r="M110" i="14" s="1"/>
  <c r="AT109" i="14"/>
  <c r="AF109" i="14"/>
  <c r="AF110" i="14" s="1"/>
  <c r="H29" i="5"/>
  <c r="G29" i="5" s="1"/>
  <c r="AH99" i="14"/>
  <c r="AH100" i="14" s="1"/>
  <c r="AH104" i="14" s="1"/>
  <c r="AH105" i="14" s="1"/>
  <c r="AH109" i="14" s="1"/>
  <c r="AH110" i="14" s="1"/>
  <c r="P106" i="14"/>
  <c r="AV250" i="8"/>
  <c r="AV255" i="8" s="1"/>
  <c r="BB242" i="8"/>
  <c r="BB247" i="8" s="1"/>
  <c r="BL225" i="8"/>
  <c r="BL226" i="8" s="1"/>
  <c r="BL231" i="8" s="1"/>
  <c r="S95" i="14"/>
  <c r="S99" i="14" s="1"/>
  <c r="S100" i="14" s="1"/>
  <c r="S104" i="14" s="1"/>
  <c r="S105" i="14" s="1"/>
  <c r="S109" i="14" s="1"/>
  <c r="S110" i="14" s="1"/>
  <c r="O105" i="14"/>
  <c r="O109" i="14" s="1"/>
  <c r="O110" i="14" s="1"/>
  <c r="AA80" i="14"/>
  <c r="AA84" i="14" s="1"/>
  <c r="G104" i="14"/>
  <c r="BH233" i="8"/>
  <c r="BH234" i="8" s="1"/>
  <c r="BH239" i="8" s="1"/>
  <c r="AC217" i="8"/>
  <c r="O218" i="8"/>
  <c r="O223" i="8" s="1"/>
  <c r="AU217" i="8"/>
  <c r="BM217" i="8"/>
  <c r="L217" i="8"/>
  <c r="Z201" i="8"/>
  <c r="Z202" i="8" s="1"/>
  <c r="Z207" i="8" s="1"/>
  <c r="BJ218" i="8"/>
  <c r="BJ223" i="8" s="1"/>
  <c r="BI225" i="8"/>
  <c r="BI226" i="8" s="1"/>
  <c r="BI231" i="8" s="1"/>
  <c r="BG225" i="8"/>
  <c r="BG226" i="8" s="1"/>
  <c r="BG231" i="8" s="1"/>
  <c r="S225" i="8"/>
  <c r="S226" i="8" s="1"/>
  <c r="S231" i="8" s="1"/>
  <c r="T225" i="8"/>
  <c r="T226" i="8" s="1"/>
  <c r="T231" i="8" s="1"/>
  <c r="AX201" i="8"/>
  <c r="AX202" i="8" s="1"/>
  <c r="AX207" i="8" s="1"/>
  <c r="AY201" i="8"/>
  <c r="AY202" i="8" s="1"/>
  <c r="AY207" i="8" s="1"/>
  <c r="AT201" i="8"/>
  <c r="AT202" i="8" s="1"/>
  <c r="AT207" i="8" s="1"/>
  <c r="AI217" i="8"/>
  <c r="U217" i="8"/>
  <c r="AS209" i="8"/>
  <c r="AS210" i="8" s="1"/>
  <c r="AS215" i="8" s="1"/>
  <c r="AH209" i="8"/>
  <c r="AH210" i="8" s="1"/>
  <c r="AH215" i="8" s="1"/>
  <c r="J217" i="8"/>
  <c r="AA209" i="8"/>
  <c r="AA210" i="8" s="1"/>
  <c r="AA215" i="8" s="1"/>
  <c r="K209" i="8"/>
  <c r="K210" i="8" s="1"/>
  <c r="K215" i="8" s="1"/>
  <c r="AJ217" i="8"/>
  <c r="AJ218" i="8" s="1"/>
  <c r="AJ223" i="8" s="1"/>
  <c r="W209" i="8"/>
  <c r="W210" i="8" s="1"/>
  <c r="W215" i="8" s="1"/>
  <c r="AK209" i="8"/>
  <c r="AK210" i="8" s="1"/>
  <c r="AK215" i="8" s="1"/>
  <c r="AG217" i="8"/>
  <c r="AG218" i="8" s="1"/>
  <c r="AG223" i="8" s="1"/>
  <c r="AP217" i="8"/>
  <c r="AP218" i="8" s="1"/>
  <c r="AP223" i="8" s="1"/>
  <c r="Y201" i="8"/>
  <c r="Y202" i="8" s="1"/>
  <c r="Y207" i="8" s="1"/>
  <c r="AB209" i="8"/>
  <c r="AB210" i="8" s="1"/>
  <c r="AB215" i="8" s="1"/>
  <c r="AL209" i="8"/>
  <c r="AL210" i="8" s="1"/>
  <c r="AL215" i="8" s="1"/>
  <c r="BF209" i="8"/>
  <c r="BF210" i="8" s="1"/>
  <c r="BF215" i="8" s="1"/>
  <c r="AW209" i="8"/>
  <c r="AW210" i="8" s="1"/>
  <c r="AW215" i="8" s="1"/>
  <c r="AO209" i="8"/>
  <c r="AO210" i="8" s="1"/>
  <c r="AO215" i="8" s="1"/>
  <c r="R210" i="8"/>
  <c r="R215" i="8" s="1"/>
  <c r="BK217" i="8"/>
  <c r="BK218" i="8" s="1"/>
  <c r="BK223" i="8" s="1"/>
  <c r="BE209" i="8"/>
  <c r="BE210" i="8" s="1"/>
  <c r="BE215" i="8" s="1"/>
  <c r="BA217" i="8"/>
  <c r="BC201" i="8"/>
  <c r="BC202" i="8" s="1"/>
  <c r="BC207" i="8" s="1"/>
  <c r="AD201" i="8"/>
  <c r="AD202" i="8" s="1"/>
  <c r="AD207" i="8" s="1"/>
  <c r="V201" i="8"/>
  <c r="V202" i="8" s="1"/>
  <c r="V207" i="8" s="1"/>
  <c r="I201" i="8"/>
  <c r="I202" i="8" s="1"/>
  <c r="I207" i="8" s="1"/>
  <c r="AM201" i="8"/>
  <c r="AM202" i="8" s="1"/>
  <c r="AM207" i="8" s="1"/>
  <c r="AN201" i="8"/>
  <c r="AN202" i="8" s="1"/>
  <c r="AN207" i="8" s="1"/>
  <c r="AF201" i="8"/>
  <c r="AF202" i="8" s="1"/>
  <c r="AF207" i="8" s="1"/>
  <c r="I29" i="6"/>
  <c r="K31" i="5" s="1"/>
  <c r="J28" i="6"/>
  <c r="J30" i="5" s="1"/>
  <c r="E33" i="5"/>
  <c r="J180" i="8"/>
  <c r="K119" i="14"/>
  <c r="K120" i="14" s="1"/>
  <c r="L106" i="14"/>
  <c r="BJ109" i="14"/>
  <c r="E172" i="8"/>
  <c r="D96" i="14"/>
  <c r="X99" i="14"/>
  <c r="E99" i="14"/>
  <c r="F74" i="8" l="1"/>
  <c r="G72" i="21" a="1"/>
  <c r="G72" i="21" s="1"/>
  <c r="C78" i="21" a="1"/>
  <c r="C78" i="21" s="1"/>
  <c r="H81" i="8"/>
  <c r="C179" i="21" a="1"/>
  <c r="C179" i="21" s="1"/>
  <c r="BD223" i="8"/>
  <c r="BD225" i="8" s="1"/>
  <c r="BD226" i="8" s="1"/>
  <c r="BD231" i="8" s="1"/>
  <c r="BD233" i="8" s="1"/>
  <c r="BD234" i="8" s="1"/>
  <c r="BD239" i="8" s="1"/>
  <c r="X199" i="8"/>
  <c r="X201" i="8" s="1"/>
  <c r="X202" i="8" s="1"/>
  <c r="X207" i="8" s="1"/>
  <c r="X209" i="8" s="1"/>
  <c r="X210" i="8" s="1"/>
  <c r="X215" i="8" s="1"/>
  <c r="BN263" i="8"/>
  <c r="BN265" i="8" s="1"/>
  <c r="BN266" i="8" s="1"/>
  <c r="BN271" i="8" s="1"/>
  <c r="BN273" i="8" s="1"/>
  <c r="BN274" i="8" s="1"/>
  <c r="I111" i="14"/>
  <c r="I114" i="14" s="1"/>
  <c r="I115" i="14" s="1"/>
  <c r="G111" i="14"/>
  <c r="F111" i="14"/>
  <c r="E173" i="8"/>
  <c r="AB114" i="14"/>
  <c r="AB115" i="14" s="1"/>
  <c r="F59" i="14"/>
  <c r="D55" i="14"/>
  <c r="E111" i="14" a="1"/>
  <c r="E111" i="14" s="1"/>
  <c r="BG114" i="14"/>
  <c r="BG115" i="14" s="1"/>
  <c r="AV258" i="8"/>
  <c r="O225" i="8"/>
  <c r="O226" i="8" s="1"/>
  <c r="BJ225" i="8"/>
  <c r="BJ226" i="8" s="1"/>
  <c r="P82" i="8"/>
  <c r="P87" i="8" s="1"/>
  <c r="AO114" i="14"/>
  <c r="AO115" i="14" s="1"/>
  <c r="AQ114" i="14"/>
  <c r="AQ115" i="14" s="1"/>
  <c r="U114" i="14"/>
  <c r="U115" i="14" s="1"/>
  <c r="G188" i="8"/>
  <c r="F188" i="8"/>
  <c r="G187" i="21" s="1" a="1"/>
  <c r="G187" i="21" s="1"/>
  <c r="BL114" i="14"/>
  <c r="BL115" i="14" s="1"/>
  <c r="AC114" i="14"/>
  <c r="AC115" i="14" s="1"/>
  <c r="AH114" i="14"/>
  <c r="AH115" i="14" s="1"/>
  <c r="N114" i="14"/>
  <c r="N115" i="14" s="1"/>
  <c r="AF114" i="14"/>
  <c r="AF115" i="14" s="1"/>
  <c r="J114" i="14"/>
  <c r="J115" i="14" s="1"/>
  <c r="AM114" i="14"/>
  <c r="AM115" i="14" s="1"/>
  <c r="AU114" i="14"/>
  <c r="AU115" i="14" s="1"/>
  <c r="AS114" i="14"/>
  <c r="AS115" i="14" s="1"/>
  <c r="BA114" i="14"/>
  <c r="BA115" i="14" s="1"/>
  <c r="AL114" i="14"/>
  <c r="AL115" i="14" s="1"/>
  <c r="AI114" i="14"/>
  <c r="AI115" i="14" s="1"/>
  <c r="BK114" i="14"/>
  <c r="BK115" i="14" s="1"/>
  <c r="BB114" i="14"/>
  <c r="BB115" i="14" s="1"/>
  <c r="BD114" i="14"/>
  <c r="BD115" i="14" s="1"/>
  <c r="AG114" i="14"/>
  <c r="AG115" i="14" s="1"/>
  <c r="AR114" i="14"/>
  <c r="AR115" i="14" s="1"/>
  <c r="BH114" i="14"/>
  <c r="BH115" i="14" s="1"/>
  <c r="E34" i="5"/>
  <c r="BB188" i="8"/>
  <c r="AZ116" i="14" s="1"/>
  <c r="AL188" i="8"/>
  <c r="AJ116" i="14" s="1"/>
  <c r="V188" i="8"/>
  <c r="T116" i="14" s="1"/>
  <c r="BM188" i="8"/>
  <c r="BK116" i="14" s="1"/>
  <c r="AW188" i="8"/>
  <c r="AU116" i="14" s="1"/>
  <c r="AG188" i="8"/>
  <c r="AE116" i="14" s="1"/>
  <c r="Q188" i="8"/>
  <c r="O116" i="14" s="1"/>
  <c r="BH188" i="8"/>
  <c r="BF116" i="14" s="1"/>
  <c r="AR188" i="8"/>
  <c r="AP116" i="14" s="1"/>
  <c r="AB188" i="8"/>
  <c r="Z116" i="14" s="1"/>
  <c r="L188" i="8"/>
  <c r="J116" i="14" s="1"/>
  <c r="BC188" i="8"/>
  <c r="BA116" i="14" s="1"/>
  <c r="AM188" i="8"/>
  <c r="AK116" i="14" s="1"/>
  <c r="W188" i="8"/>
  <c r="U116" i="14" s="1"/>
  <c r="BN188" i="8"/>
  <c r="BL116" i="14" s="1"/>
  <c r="AX188" i="8"/>
  <c r="AV116" i="14" s="1"/>
  <c r="AH188" i="8"/>
  <c r="AF116" i="14" s="1"/>
  <c r="R188" i="8"/>
  <c r="P116" i="14" s="1"/>
  <c r="BI188" i="8"/>
  <c r="BG116" i="14" s="1"/>
  <c r="AS188" i="8"/>
  <c r="AQ116" i="14" s="1"/>
  <c r="AC188" i="8"/>
  <c r="AA116" i="14" s="1"/>
  <c r="M188" i="8"/>
  <c r="BD188" i="8"/>
  <c r="BB116" i="14" s="1"/>
  <c r="AN188" i="8"/>
  <c r="AL116" i="14" s="1"/>
  <c r="X188" i="8"/>
  <c r="V116" i="14" s="1"/>
  <c r="H188" i="8"/>
  <c r="AY188" i="8"/>
  <c r="AW116" i="14" s="1"/>
  <c r="AI188" i="8"/>
  <c r="AG116" i="14" s="1"/>
  <c r="S188" i="8"/>
  <c r="Q116" i="14" s="1"/>
  <c r="BJ188" i="8"/>
  <c r="BH116" i="14" s="1"/>
  <c r="AT188" i="8"/>
  <c r="AR116" i="14" s="1"/>
  <c r="AD188" i="8"/>
  <c r="AB116" i="14" s="1"/>
  <c r="N188" i="8"/>
  <c r="L116" i="14" s="1"/>
  <c r="BE188" i="8"/>
  <c r="BC116" i="14" s="1"/>
  <c r="AO188" i="8"/>
  <c r="AM116" i="14" s="1"/>
  <c r="Y188" i="8"/>
  <c r="W116" i="14" s="1"/>
  <c r="I188" i="8"/>
  <c r="AZ188" i="8"/>
  <c r="AX116" i="14" s="1"/>
  <c r="AJ188" i="8"/>
  <c r="AH116" i="14" s="1"/>
  <c r="T188" i="8"/>
  <c r="R116" i="14" s="1"/>
  <c r="BK188" i="8"/>
  <c r="BI116" i="14" s="1"/>
  <c r="AU188" i="8"/>
  <c r="AS116" i="14" s="1"/>
  <c r="AE188" i="8"/>
  <c r="AC116" i="14" s="1"/>
  <c r="O188" i="8"/>
  <c r="M116" i="14" s="1"/>
  <c r="Z188" i="8"/>
  <c r="X116" i="14" s="1"/>
  <c r="U188" i="8"/>
  <c r="S116" i="14" s="1"/>
  <c r="P188" i="8"/>
  <c r="N116" i="14" s="1"/>
  <c r="K188" i="8"/>
  <c r="AK188" i="8"/>
  <c r="AI116" i="14" s="1"/>
  <c r="J188" i="8"/>
  <c r="BL188" i="8"/>
  <c r="BJ116" i="14" s="1"/>
  <c r="BG188" i="8"/>
  <c r="BE116" i="14" s="1"/>
  <c r="AF188" i="8"/>
  <c r="AD116" i="14" s="1"/>
  <c r="BF188" i="8"/>
  <c r="BD116" i="14" s="1"/>
  <c r="BA188" i="8"/>
  <c r="AY116" i="14" s="1"/>
  <c r="AV188" i="8"/>
  <c r="AT116" i="14" s="1"/>
  <c r="AQ188" i="8"/>
  <c r="AO116" i="14" s="1"/>
  <c r="AP188" i="8"/>
  <c r="AN116" i="14" s="1"/>
  <c r="AA188" i="8"/>
  <c r="Y116" i="14" s="1"/>
  <c r="O114" i="14"/>
  <c r="O115" i="14" s="1"/>
  <c r="AT110" i="14"/>
  <c r="AT114" i="14" s="1"/>
  <c r="AT115" i="14" s="1"/>
  <c r="AZ114" i="14"/>
  <c r="AZ115" i="14" s="1"/>
  <c r="AV114" i="14"/>
  <c r="AV115" i="14" s="1"/>
  <c r="AW114" i="14"/>
  <c r="AW115" i="14" s="1"/>
  <c r="BI114" i="14"/>
  <c r="BI115" i="14" s="1"/>
  <c r="AK114" i="14"/>
  <c r="AK115" i="14" s="1"/>
  <c r="T114" i="14"/>
  <c r="T115" i="14" s="1"/>
  <c r="BE114" i="14"/>
  <c r="BE115" i="14" s="1"/>
  <c r="M114" i="14"/>
  <c r="M115" i="14" s="1"/>
  <c r="R114" i="14"/>
  <c r="R115" i="14" s="1"/>
  <c r="AN114" i="14"/>
  <c r="AN115" i="14" s="1"/>
  <c r="W114" i="14"/>
  <c r="W115" i="14" s="1"/>
  <c r="Z114" i="14"/>
  <c r="Z115" i="14" s="1"/>
  <c r="AE114" i="14"/>
  <c r="AE115" i="14" s="1"/>
  <c r="AJ114" i="14"/>
  <c r="AJ115" i="14" s="1"/>
  <c r="V114" i="14"/>
  <c r="V115" i="14" s="1"/>
  <c r="Q114" i="14"/>
  <c r="Q115" i="14" s="1"/>
  <c r="AD114" i="14"/>
  <c r="AD115" i="14" s="1"/>
  <c r="BC110" i="14"/>
  <c r="BC114" i="14" s="1"/>
  <c r="BC115" i="14" s="1"/>
  <c r="BF114" i="14"/>
  <c r="AY110" i="14"/>
  <c r="Y114" i="14"/>
  <c r="Y115" i="14" s="1"/>
  <c r="H30" i="5"/>
  <c r="G30" i="5" s="1"/>
  <c r="P109" i="14"/>
  <c r="P110" i="14" s="1"/>
  <c r="P114" i="14" s="1"/>
  <c r="P115" i="14" s="1"/>
  <c r="BL233" i="8"/>
  <c r="BL234" i="8" s="1"/>
  <c r="BL239" i="8" s="1"/>
  <c r="BB249" i="8"/>
  <c r="BB250" i="8" s="1"/>
  <c r="BB255" i="8" s="1"/>
  <c r="BH241" i="8"/>
  <c r="BH242" i="8" s="1"/>
  <c r="BH247" i="8" s="1"/>
  <c r="BJ110" i="14"/>
  <c r="BJ114" i="14" s="1"/>
  <c r="BJ115" i="14" s="1"/>
  <c r="X100" i="14"/>
  <c r="X104" i="14" s="1"/>
  <c r="X105" i="14" s="1"/>
  <c r="X109" i="14" s="1"/>
  <c r="X110" i="14" s="1"/>
  <c r="X114" i="14" s="1"/>
  <c r="X115" i="14" s="1"/>
  <c r="G105" i="14"/>
  <c r="G109" i="14" s="1"/>
  <c r="G110" i="14" s="1"/>
  <c r="L109" i="14"/>
  <c r="T233" i="8"/>
  <c r="T234" i="8" s="1"/>
  <c r="T239" i="8" s="1"/>
  <c r="BI233" i="8"/>
  <c r="BI234" i="8" s="1"/>
  <c r="BI239" i="8" s="1"/>
  <c r="S233" i="8"/>
  <c r="S234" i="8" s="1"/>
  <c r="S239" i="8" s="1"/>
  <c r="BG233" i="8"/>
  <c r="BG234" i="8" s="1"/>
  <c r="BG239" i="8" s="1"/>
  <c r="AC218" i="8"/>
  <c r="AC223" i="8" s="1"/>
  <c r="AU218" i="8"/>
  <c r="AU223" i="8" s="1"/>
  <c r="L218" i="8"/>
  <c r="L223" i="8" s="1"/>
  <c r="BM218" i="8"/>
  <c r="BM223" i="8" s="1"/>
  <c r="AI218" i="8"/>
  <c r="AI223" i="8" s="1"/>
  <c r="AK217" i="8"/>
  <c r="AJ225" i="8"/>
  <c r="AJ226" i="8" s="1"/>
  <c r="AJ231" i="8" s="1"/>
  <c r="AP225" i="8"/>
  <c r="AP226" i="8" s="1"/>
  <c r="AP231" i="8" s="1"/>
  <c r="BK225" i="8"/>
  <c r="BK226" i="8" s="1"/>
  <c r="BK231" i="8" s="1"/>
  <c r="AG225" i="8"/>
  <c r="AG226" i="8" s="1"/>
  <c r="AG231" i="8" s="1"/>
  <c r="U218" i="8"/>
  <c r="U223" i="8" s="1"/>
  <c r="AQ201" i="8"/>
  <c r="AQ202" i="8" s="1"/>
  <c r="AQ207" i="8" s="1"/>
  <c r="BF217" i="8"/>
  <c r="J218" i="8"/>
  <c r="J223" i="8" s="1"/>
  <c r="AO217" i="8"/>
  <c r="AL217" i="8"/>
  <c r="M218" i="8"/>
  <c r="M223" i="8" s="1"/>
  <c r="R217" i="8"/>
  <c r="R218" i="8" s="1"/>
  <c r="R223" i="8" s="1"/>
  <c r="BC209" i="8"/>
  <c r="BC210" i="8" s="1"/>
  <c r="BC215" i="8" s="1"/>
  <c r="AB217" i="8"/>
  <c r="W217" i="8"/>
  <c r="K217" i="8"/>
  <c r="AS217" i="8"/>
  <c r="AS218" i="8" s="1"/>
  <c r="AS223" i="8" s="1"/>
  <c r="AY209" i="8"/>
  <c r="AY210" i="8" s="1"/>
  <c r="AY215" i="8" s="1"/>
  <c r="K124" i="14"/>
  <c r="K125" i="14" s="1"/>
  <c r="Q217" i="8"/>
  <c r="Q218" i="8" s="1"/>
  <c r="Q223" i="8" s="1"/>
  <c r="V209" i="8"/>
  <c r="V210" i="8" s="1"/>
  <c r="V215" i="8" s="1"/>
  <c r="I209" i="8"/>
  <c r="I210" i="8" s="1"/>
  <c r="I215" i="8" s="1"/>
  <c r="N217" i="8"/>
  <c r="N218" i="8" s="1"/>
  <c r="N223" i="8" s="1"/>
  <c r="AW217" i="8"/>
  <c r="AF209" i="8"/>
  <c r="AF210" i="8" s="1"/>
  <c r="AF215" i="8" s="1"/>
  <c r="AM209" i="8"/>
  <c r="AM210" i="8" s="1"/>
  <c r="AM215" i="8" s="1"/>
  <c r="AT209" i="8"/>
  <c r="AT210" i="8" s="1"/>
  <c r="AT215" i="8" s="1"/>
  <c r="AD209" i="8"/>
  <c r="AD210" i="8" s="1"/>
  <c r="AD215" i="8" s="1"/>
  <c r="BE217" i="8"/>
  <c r="AZ217" i="8"/>
  <c r="AZ218" i="8" s="1"/>
  <c r="AZ223" i="8" s="1"/>
  <c r="BA218" i="8"/>
  <c r="BA223" i="8" s="1"/>
  <c r="AN209" i="8"/>
  <c r="AN210" i="8" s="1"/>
  <c r="AN215" i="8" s="1"/>
  <c r="I30" i="6"/>
  <c r="K32" i="5" s="1"/>
  <c r="J29" i="6"/>
  <c r="J31" i="5" s="1"/>
  <c r="E180" i="8"/>
  <c r="S114" i="14"/>
  <c r="S115" i="14" s="1"/>
  <c r="E100" i="14"/>
  <c r="AR161" i="8"/>
  <c r="AR162" i="8" s="1"/>
  <c r="AR167" i="8" s="1"/>
  <c r="AA85" i="14"/>
  <c r="AX75" i="14"/>
  <c r="F79" i="8" l="1"/>
  <c r="G73" i="21" a="1"/>
  <c r="G73" i="21" s="1"/>
  <c r="E74" i="8"/>
  <c r="C80" i="21" a="1"/>
  <c r="C80" i="21" s="1"/>
  <c r="H82" i="8"/>
  <c r="C187" i="21" a="1"/>
  <c r="C187" i="21" s="1"/>
  <c r="BJ231" i="8"/>
  <c r="BJ233" i="8" s="1"/>
  <c r="BJ234" i="8" s="1"/>
  <c r="BJ239" i="8" s="1"/>
  <c r="BJ241" i="8" s="1"/>
  <c r="BJ242" i="8" s="1"/>
  <c r="BJ247" i="8" s="1"/>
  <c r="O231" i="8"/>
  <c r="O233" i="8" s="1"/>
  <c r="O234" i="8" s="1"/>
  <c r="O239" i="8" s="1"/>
  <c r="O241" i="8" s="1"/>
  <c r="O242" i="8" s="1"/>
  <c r="O247" i="8" s="1"/>
  <c r="AV263" i="8"/>
  <c r="AV265" i="8" s="1"/>
  <c r="AV266" i="8" s="1"/>
  <c r="AV271" i="8" s="1"/>
  <c r="AV273" i="8" s="1"/>
  <c r="AV274" i="8" s="1"/>
  <c r="I116" i="14"/>
  <c r="I119" i="14" s="1"/>
  <c r="I120" i="14" s="1"/>
  <c r="H116" i="14"/>
  <c r="G116" i="14"/>
  <c r="G114" i="14"/>
  <c r="G115" i="14" s="1"/>
  <c r="F116" i="14"/>
  <c r="AB119" i="14"/>
  <c r="AB120" i="14" s="1"/>
  <c r="AQ119" i="14"/>
  <c r="AQ120" i="14" s="1"/>
  <c r="F60" i="14"/>
  <c r="D59" i="14"/>
  <c r="E116" i="14" a="1"/>
  <c r="E116" i="14" s="1"/>
  <c r="BG119" i="14"/>
  <c r="BG120" i="14" s="1"/>
  <c r="AH119" i="14"/>
  <c r="AH120" i="14" s="1"/>
  <c r="AC119" i="14"/>
  <c r="AC120" i="14" s="1"/>
  <c r="U119" i="14"/>
  <c r="U120" i="14" s="1"/>
  <c r="BB257" i="8"/>
  <c r="BB258" i="8" s="1"/>
  <c r="BB263" i="8" s="1"/>
  <c r="BH119" i="14"/>
  <c r="BH120" i="14" s="1"/>
  <c r="E35" i="5"/>
  <c r="G196" i="8"/>
  <c r="F196" i="8"/>
  <c r="G195" i="21" s="1" a="1"/>
  <c r="G195" i="21" s="1"/>
  <c r="N119" i="14"/>
  <c r="N120" i="14" s="1"/>
  <c r="AM119" i="14"/>
  <c r="AM120" i="14" s="1"/>
  <c r="P119" i="14"/>
  <c r="P120" i="14" s="1"/>
  <c r="BL119" i="14"/>
  <c r="BL120" i="14" s="1"/>
  <c r="BE119" i="14"/>
  <c r="BE120" i="14" s="1"/>
  <c r="AU119" i="14"/>
  <c r="AU120" i="14" s="1"/>
  <c r="R119" i="14"/>
  <c r="R120" i="14" s="1"/>
  <c r="AV119" i="14"/>
  <c r="AV120" i="14" s="1"/>
  <c r="M119" i="14"/>
  <c r="M120" i="14" s="1"/>
  <c r="AK119" i="14"/>
  <c r="AK120" i="14" s="1"/>
  <c r="AZ119" i="14"/>
  <c r="AZ120" i="14" s="1"/>
  <c r="W119" i="14"/>
  <c r="W120" i="14" s="1"/>
  <c r="S119" i="14"/>
  <c r="S120" i="14" s="1"/>
  <c r="AN119" i="14"/>
  <c r="AN120" i="14" s="1"/>
  <c r="O119" i="14"/>
  <c r="O120" i="14" s="1"/>
  <c r="BC119" i="14"/>
  <c r="BC120" i="14" s="1"/>
  <c r="T119" i="14"/>
  <c r="T120" i="14" s="1"/>
  <c r="BB119" i="14"/>
  <c r="BB120" i="14" s="1"/>
  <c r="AS119" i="14"/>
  <c r="AS120" i="14" s="1"/>
  <c r="AR119" i="14"/>
  <c r="AR120" i="14" s="1"/>
  <c r="BA119" i="14"/>
  <c r="BA120" i="14" s="1"/>
  <c r="AT119" i="14"/>
  <c r="AT120" i="14" s="1"/>
  <c r="Y119" i="14"/>
  <c r="Y120" i="14" s="1"/>
  <c r="AL119" i="14"/>
  <c r="AL120" i="14" s="1"/>
  <c r="AW119" i="14"/>
  <c r="AW120" i="14" s="1"/>
  <c r="BD119" i="14"/>
  <c r="BD120" i="14" s="1"/>
  <c r="AI119" i="14"/>
  <c r="AI120" i="14" s="1"/>
  <c r="AG119" i="14"/>
  <c r="AG120" i="14" s="1"/>
  <c r="AD119" i="14"/>
  <c r="AD120" i="14" s="1"/>
  <c r="AE119" i="14"/>
  <c r="AE120" i="14" s="1"/>
  <c r="Q119" i="14"/>
  <c r="Q120" i="14" s="1"/>
  <c r="Z119" i="14"/>
  <c r="Z120" i="14" s="1"/>
  <c r="BF115" i="14"/>
  <c r="BF119" i="14" s="1"/>
  <c r="BF120" i="14" s="1"/>
  <c r="V119" i="14"/>
  <c r="V120" i="14" s="1"/>
  <c r="AF119" i="14"/>
  <c r="AF120" i="14" s="1"/>
  <c r="J119" i="14"/>
  <c r="J120" i="14" s="1"/>
  <c r="AO119" i="14"/>
  <c r="AO120" i="14" s="1"/>
  <c r="E36" i="5"/>
  <c r="BC204" i="8"/>
  <c r="BA126" i="14" s="1"/>
  <c r="AM204" i="8"/>
  <c r="AK126" i="14" s="1"/>
  <c r="W204" i="8"/>
  <c r="U126" i="14" s="1"/>
  <c r="BB204" i="8"/>
  <c r="AZ126" i="14" s="1"/>
  <c r="AL204" i="8"/>
  <c r="AJ126" i="14" s="1"/>
  <c r="V204" i="8"/>
  <c r="T126" i="14" s="1"/>
  <c r="BM204" i="8"/>
  <c r="BK126" i="14" s="1"/>
  <c r="AW204" i="8"/>
  <c r="AU126" i="14" s="1"/>
  <c r="AG204" i="8"/>
  <c r="AE126" i="14" s="1"/>
  <c r="Q204" i="8"/>
  <c r="O126" i="14" s="1"/>
  <c r="BH204" i="8"/>
  <c r="BF126" i="14" s="1"/>
  <c r="AR204" i="8"/>
  <c r="AP126" i="14" s="1"/>
  <c r="AB204" i="8"/>
  <c r="Z126" i="14" s="1"/>
  <c r="L204" i="8"/>
  <c r="J126" i="14" s="1"/>
  <c r="AY204" i="8"/>
  <c r="AW126" i="14" s="1"/>
  <c r="AI204" i="8"/>
  <c r="AG126" i="14" s="1"/>
  <c r="S204" i="8"/>
  <c r="Q126" i="14" s="1"/>
  <c r="BN204" i="8"/>
  <c r="BL126" i="14" s="1"/>
  <c r="AX204" i="8"/>
  <c r="AV126" i="14" s="1"/>
  <c r="AH204" i="8"/>
  <c r="AF126" i="14" s="1"/>
  <c r="R204" i="8"/>
  <c r="P126" i="14" s="1"/>
  <c r="BI204" i="8"/>
  <c r="BG126" i="14" s="1"/>
  <c r="AS204" i="8"/>
  <c r="AQ126" i="14" s="1"/>
  <c r="AC204" i="8"/>
  <c r="AA126" i="14" s="1"/>
  <c r="M204" i="8"/>
  <c r="BD204" i="8"/>
  <c r="BB126" i="14" s="1"/>
  <c r="AN204" i="8"/>
  <c r="AL126" i="14" s="1"/>
  <c r="X204" i="8"/>
  <c r="V126" i="14" s="1"/>
  <c r="BK204" i="8"/>
  <c r="BI126" i="14" s="1"/>
  <c r="AU204" i="8"/>
  <c r="AS126" i="14" s="1"/>
  <c r="AE204" i="8"/>
  <c r="AC126" i="14" s="1"/>
  <c r="O204" i="8"/>
  <c r="M126" i="14" s="1"/>
  <c r="BJ204" i="8"/>
  <c r="BH126" i="14" s="1"/>
  <c r="AT204" i="8"/>
  <c r="AR126" i="14" s="1"/>
  <c r="AD204" i="8"/>
  <c r="AB126" i="14" s="1"/>
  <c r="N204" i="8"/>
  <c r="L126" i="14" s="1"/>
  <c r="BE204" i="8"/>
  <c r="BC126" i="14" s="1"/>
  <c r="AO204" i="8"/>
  <c r="AM126" i="14" s="1"/>
  <c r="Y204" i="8"/>
  <c r="W126" i="14" s="1"/>
  <c r="AA204" i="8"/>
  <c r="Y126" i="14" s="1"/>
  <c r="Z204" i="8"/>
  <c r="X126" i="14" s="1"/>
  <c r="U204" i="8"/>
  <c r="S126" i="14" s="1"/>
  <c r="AV204" i="8"/>
  <c r="AT126" i="14" s="1"/>
  <c r="P204" i="8"/>
  <c r="N126" i="14" s="1"/>
  <c r="K204" i="8"/>
  <c r="J204" i="8"/>
  <c r="I204" i="8"/>
  <c r="AJ204" i="8"/>
  <c r="AH126" i="14" s="1"/>
  <c r="H204" i="8"/>
  <c r="BG204" i="8"/>
  <c r="BE126" i="14" s="1"/>
  <c r="BF204" i="8"/>
  <c r="BD126" i="14" s="1"/>
  <c r="BA204" i="8"/>
  <c r="AY126" i="14" s="1"/>
  <c r="BL204" i="8"/>
  <c r="BJ126" i="14" s="1"/>
  <c r="AF204" i="8"/>
  <c r="AD126" i="14" s="1"/>
  <c r="AZ204" i="8"/>
  <c r="AX126" i="14" s="1"/>
  <c r="AQ204" i="8"/>
  <c r="AO126" i="14" s="1"/>
  <c r="T204" i="8"/>
  <c r="R126" i="14" s="1"/>
  <c r="AP204" i="8"/>
  <c r="AN126" i="14" s="1"/>
  <c r="AK204" i="8"/>
  <c r="AI126" i="14" s="1"/>
  <c r="X119" i="14"/>
  <c r="X120" i="14" s="1"/>
  <c r="AY114" i="14"/>
  <c r="AJ119" i="14"/>
  <c r="AJ120" i="14" s="1"/>
  <c r="BI119" i="14"/>
  <c r="BN196" i="8"/>
  <c r="BL121" i="14" s="1"/>
  <c r="BE196" i="8"/>
  <c r="BC121" i="14" s="1"/>
  <c r="AO196" i="8"/>
  <c r="AM121" i="14" s="1"/>
  <c r="Y196" i="8"/>
  <c r="W121" i="14" s="1"/>
  <c r="I196" i="8"/>
  <c r="BL196" i="8"/>
  <c r="BJ121" i="14" s="1"/>
  <c r="AV196" i="8"/>
  <c r="AT121" i="14" s="1"/>
  <c r="AF196" i="8"/>
  <c r="AD121" i="14" s="1"/>
  <c r="P196" i="8"/>
  <c r="N121" i="14" s="1"/>
  <c r="AL196" i="8"/>
  <c r="AJ121" i="14" s="1"/>
  <c r="BA196" i="8"/>
  <c r="AY121" i="14" s="1"/>
  <c r="AG196" i="8"/>
  <c r="AE121" i="14" s="1"/>
  <c r="M196" i="8"/>
  <c r="BH196" i="8"/>
  <c r="BF121" i="14" s="1"/>
  <c r="AN196" i="8"/>
  <c r="AL121" i="14" s="1"/>
  <c r="T196" i="8"/>
  <c r="R121" i="14" s="1"/>
  <c r="V196" i="8"/>
  <c r="T121" i="14" s="1"/>
  <c r="AY196" i="8"/>
  <c r="AW121" i="14" s="1"/>
  <c r="AI196" i="8"/>
  <c r="AG121" i="14" s="1"/>
  <c r="S196" i="8"/>
  <c r="Q121" i="14" s="1"/>
  <c r="BJ196" i="8"/>
  <c r="BH121" i="14" s="1"/>
  <c r="BF196" i="8"/>
  <c r="BD121" i="14" s="1"/>
  <c r="AW196" i="8"/>
  <c r="AU121" i="14" s="1"/>
  <c r="AC196" i="8"/>
  <c r="AA121" i="14" s="1"/>
  <c r="AX196" i="8"/>
  <c r="AV121" i="14" s="1"/>
  <c r="BD196" i="8"/>
  <c r="BB121" i="14" s="1"/>
  <c r="AJ196" i="8"/>
  <c r="AH121" i="14" s="1"/>
  <c r="L196" i="8"/>
  <c r="J121" i="14" s="1"/>
  <c r="BK196" i="8"/>
  <c r="BI121" i="14" s="1"/>
  <c r="AU196" i="8"/>
  <c r="AS121" i="14" s="1"/>
  <c r="AE196" i="8"/>
  <c r="AC121" i="14" s="1"/>
  <c r="O196" i="8"/>
  <c r="M121" i="14" s="1"/>
  <c r="AP196" i="8"/>
  <c r="AN121" i="14" s="1"/>
  <c r="AT196" i="8"/>
  <c r="AR121" i="14" s="1"/>
  <c r="BM196" i="8"/>
  <c r="BK121" i="14" s="1"/>
  <c r="AS196" i="8"/>
  <c r="AQ121" i="14" s="1"/>
  <c r="U196" i="8"/>
  <c r="S121" i="14" s="1"/>
  <c r="Z196" i="8"/>
  <c r="X121" i="14" s="1"/>
  <c r="AZ196" i="8"/>
  <c r="AX121" i="14" s="1"/>
  <c r="AB196" i="8"/>
  <c r="Z121" i="14" s="1"/>
  <c r="H196" i="8"/>
  <c r="BG196" i="8"/>
  <c r="BE121" i="14" s="1"/>
  <c r="AQ196" i="8"/>
  <c r="AO121" i="14" s="1"/>
  <c r="AA196" i="8"/>
  <c r="Y121" i="14" s="1"/>
  <c r="K196" i="8"/>
  <c r="AD196" i="8"/>
  <c r="AB121" i="14" s="1"/>
  <c r="AH196" i="8"/>
  <c r="AF121" i="14" s="1"/>
  <c r="Q196" i="8"/>
  <c r="O121" i="14" s="1"/>
  <c r="BB196" i="8"/>
  <c r="AZ121" i="14" s="1"/>
  <c r="N196" i="8"/>
  <c r="L121" i="14" s="1"/>
  <c r="BC196" i="8"/>
  <c r="BA121" i="14" s="1"/>
  <c r="R196" i="8"/>
  <c r="P121" i="14" s="1"/>
  <c r="BI196" i="8"/>
  <c r="BG121" i="14" s="1"/>
  <c r="AR196" i="8"/>
  <c r="AP121" i="14" s="1"/>
  <c r="AM196" i="8"/>
  <c r="AK121" i="14" s="1"/>
  <c r="J196" i="8"/>
  <c r="X196" i="8"/>
  <c r="V121" i="14" s="1"/>
  <c r="W196" i="8"/>
  <c r="U121" i="14" s="1"/>
  <c r="AK196" i="8"/>
  <c r="AI121" i="14" s="1"/>
  <c r="E188" i="8"/>
  <c r="BK119" i="14"/>
  <c r="BL241" i="8"/>
  <c r="BL242" i="8" s="1"/>
  <c r="BL247" i="8" s="1"/>
  <c r="H31" i="5"/>
  <c r="G31" i="5" s="1"/>
  <c r="BH249" i="8"/>
  <c r="BH250" i="8" s="1"/>
  <c r="BH255" i="8" s="1"/>
  <c r="S241" i="8"/>
  <c r="S242" i="8" s="1"/>
  <c r="S247" i="8" s="1"/>
  <c r="T241" i="8"/>
  <c r="T242" i="8" s="1"/>
  <c r="T247" i="8" s="1"/>
  <c r="AC225" i="8"/>
  <c r="AC226" i="8" s="1"/>
  <c r="AC231" i="8" s="1"/>
  <c r="BG241" i="8"/>
  <c r="BG242" i="8" s="1"/>
  <c r="BG247" i="8" s="1"/>
  <c r="BD241" i="8"/>
  <c r="BD242" i="8" s="1"/>
  <c r="BD247" i="8" s="1"/>
  <c r="BM225" i="8"/>
  <c r="BM226" i="8" s="1"/>
  <c r="BM231" i="8" s="1"/>
  <c r="AI225" i="8"/>
  <c r="AI226" i="8" s="1"/>
  <c r="AI231" i="8" s="1"/>
  <c r="L110" i="14"/>
  <c r="L114" i="14" s="1"/>
  <c r="L115" i="14" s="1"/>
  <c r="L119" i="14" s="1"/>
  <c r="L120" i="14" s="1"/>
  <c r="AJ233" i="8"/>
  <c r="AJ234" i="8" s="1"/>
  <c r="AJ239" i="8" s="1"/>
  <c r="BK233" i="8"/>
  <c r="BK234" i="8" s="1"/>
  <c r="BK239" i="8" s="1"/>
  <c r="AP233" i="8"/>
  <c r="AP234" i="8" s="1"/>
  <c r="AP239" i="8" s="1"/>
  <c r="L225" i="8"/>
  <c r="L226" i="8" s="1"/>
  <c r="L231" i="8" s="1"/>
  <c r="AU225" i="8"/>
  <c r="AU226" i="8" s="1"/>
  <c r="AU231" i="8" s="1"/>
  <c r="AK218" i="8"/>
  <c r="AK223" i="8" s="1"/>
  <c r="E37" i="5"/>
  <c r="Z209" i="8"/>
  <c r="Z210" i="8" s="1"/>
  <c r="Z215" i="8" s="1"/>
  <c r="AO218" i="8"/>
  <c r="AO223" i="8" s="1"/>
  <c r="AW218" i="8"/>
  <c r="AW223" i="8" s="1"/>
  <c r="N225" i="8"/>
  <c r="N226" i="8" s="1"/>
  <c r="N231" i="8" s="1"/>
  <c r="AS225" i="8"/>
  <c r="AS226" i="8" s="1"/>
  <c r="AS231" i="8" s="1"/>
  <c r="AL218" i="8"/>
  <c r="AL223" i="8" s="1"/>
  <c r="BA225" i="8"/>
  <c r="BA226" i="8" s="1"/>
  <c r="BA231" i="8" s="1"/>
  <c r="R225" i="8"/>
  <c r="R226" i="8" s="1"/>
  <c r="R231" i="8" s="1"/>
  <c r="AZ225" i="8"/>
  <c r="AZ226" i="8" s="1"/>
  <c r="AZ231" i="8" s="1"/>
  <c r="Q225" i="8"/>
  <c r="Q226" i="8" s="1"/>
  <c r="Q231" i="8" s="1"/>
  <c r="J225" i="8"/>
  <c r="J226" i="8" s="1"/>
  <c r="J231" i="8" s="1"/>
  <c r="U225" i="8"/>
  <c r="U226" i="8" s="1"/>
  <c r="U231" i="8" s="1"/>
  <c r="M226" i="8"/>
  <c r="M231" i="8" s="1"/>
  <c r="BF218" i="8"/>
  <c r="BF223" i="8" s="1"/>
  <c r="K218" i="8"/>
  <c r="K223" i="8" s="1"/>
  <c r="AB218" i="8"/>
  <c r="AB223" i="8" s="1"/>
  <c r="W218" i="8"/>
  <c r="W223" i="8" s="1"/>
  <c r="BE218" i="8"/>
  <c r="BE223" i="8" s="1"/>
  <c r="AX209" i="8"/>
  <c r="AX210" i="8" s="1"/>
  <c r="AX215" i="8" s="1"/>
  <c r="I217" i="8"/>
  <c r="I218" i="8" s="1"/>
  <c r="I223" i="8" s="1"/>
  <c r="AF217" i="8"/>
  <c r="AF218" i="8" s="1"/>
  <c r="AF223" i="8" s="1"/>
  <c r="K129" i="14"/>
  <c r="K130" i="14" s="1"/>
  <c r="AQ209" i="8"/>
  <c r="AQ210" i="8" s="1"/>
  <c r="AQ215" i="8" s="1"/>
  <c r="BC217" i="8"/>
  <c r="BC218" i="8" s="1"/>
  <c r="BC223" i="8" s="1"/>
  <c r="AA217" i="8"/>
  <c r="AA218" i="8" s="1"/>
  <c r="AA223" i="8" s="1"/>
  <c r="X217" i="8"/>
  <c r="AH217" i="8"/>
  <c r="AH218" i="8" s="1"/>
  <c r="AH223" i="8" s="1"/>
  <c r="Y209" i="8"/>
  <c r="Y210" i="8" s="1"/>
  <c r="Y215" i="8" s="1"/>
  <c r="AN217" i="8"/>
  <c r="AN218" i="8" s="1"/>
  <c r="AN223" i="8" s="1"/>
  <c r="I31" i="6"/>
  <c r="K33" i="5" s="1"/>
  <c r="J30" i="6"/>
  <c r="J32" i="5" s="1"/>
  <c r="H111" i="14"/>
  <c r="E181" i="8"/>
  <c r="BJ119" i="14"/>
  <c r="BJ120" i="14" s="1"/>
  <c r="AP104" i="14"/>
  <c r="AR169" i="8"/>
  <c r="AA89" i="14"/>
  <c r="AX79" i="14"/>
  <c r="G78" i="21" l="1" a="1"/>
  <c r="G78" i="21" s="1"/>
  <c r="F81" i="8"/>
  <c r="E79" i="8"/>
  <c r="C81" i="21" a="1"/>
  <c r="C81" i="21" s="1"/>
  <c r="H87" i="8"/>
  <c r="C195" i="21" a="1"/>
  <c r="C195" i="21" s="1"/>
  <c r="AB124" i="14"/>
  <c r="AB125" i="14" s="1"/>
  <c r="AB129" i="14" s="1"/>
  <c r="AB130" i="14" s="1"/>
  <c r="G119" i="14"/>
  <c r="G120" i="14" s="1"/>
  <c r="G124" i="14" s="1"/>
  <c r="G125" i="14" s="1"/>
  <c r="I126" i="14"/>
  <c r="I121" i="14"/>
  <c r="I124" i="14" s="1"/>
  <c r="I125" i="14" s="1"/>
  <c r="H121" i="14"/>
  <c r="H126" i="14"/>
  <c r="G126" i="14"/>
  <c r="G121" i="14"/>
  <c r="F126" i="14"/>
  <c r="F121" i="14"/>
  <c r="AQ124" i="14"/>
  <c r="F64" i="14"/>
  <c r="D60" i="14"/>
  <c r="BG124" i="14"/>
  <c r="BG125" i="14" s="1"/>
  <c r="BG129" i="14" s="1"/>
  <c r="BG130" i="14" s="1"/>
  <c r="U124" i="14"/>
  <c r="U125" i="14" s="1"/>
  <c r="U129" i="14" s="1"/>
  <c r="U130" i="14" s="1"/>
  <c r="AM124" i="14"/>
  <c r="AM125" i="14" s="1"/>
  <c r="AM129" i="14" s="1"/>
  <c r="AM130" i="14" s="1"/>
  <c r="AZ124" i="14"/>
  <c r="AZ125" i="14" s="1"/>
  <c r="AZ129" i="14" s="1"/>
  <c r="AZ130" i="14" s="1"/>
  <c r="AN124" i="14"/>
  <c r="AN125" i="14" s="1"/>
  <c r="AN129" i="14" s="1"/>
  <c r="AN130" i="14" s="1"/>
  <c r="AW225" i="8"/>
  <c r="AW226" i="8" s="1"/>
  <c r="BH257" i="8"/>
  <c r="BH258" i="8" s="1"/>
  <c r="BH263" i="8" s="1"/>
  <c r="P89" i="8"/>
  <c r="R124" i="14"/>
  <c r="R125" i="14" s="1"/>
  <c r="R129" i="14" s="1"/>
  <c r="R130" i="14" s="1"/>
  <c r="N124" i="14"/>
  <c r="N125" i="14" s="1"/>
  <c r="N129" i="14" s="1"/>
  <c r="N130" i="14" s="1"/>
  <c r="BE124" i="14"/>
  <c r="BE125" i="14" s="1"/>
  <c r="BE129" i="14" s="1"/>
  <c r="BE130" i="14" s="1"/>
  <c r="G212" i="8"/>
  <c r="F212" i="8"/>
  <c r="G211" i="21" s="1" a="1"/>
  <c r="G211" i="21" s="1"/>
  <c r="G220" i="8"/>
  <c r="F220" i="8"/>
  <c r="G219" i="21" s="1" a="1"/>
  <c r="G219" i="21" s="1"/>
  <c r="G204" i="8"/>
  <c r="C203" i="21" s="1" a="1"/>
  <c r="C203" i="21" s="1"/>
  <c r="F204" i="8"/>
  <c r="G203" i="21" s="1" a="1"/>
  <c r="G203" i="21" s="1"/>
  <c r="BB124" i="14"/>
  <c r="BB125" i="14" s="1"/>
  <c r="BB129" i="14" s="1"/>
  <c r="BB130" i="14" s="1"/>
  <c r="L124" i="14"/>
  <c r="L125" i="14" s="1"/>
  <c r="L129" i="14" s="1"/>
  <c r="L130" i="14" s="1"/>
  <c r="O124" i="14"/>
  <c r="O125" i="14" s="1"/>
  <c r="O129" i="14" s="1"/>
  <c r="O130" i="14" s="1"/>
  <c r="AK124" i="14"/>
  <c r="AK125" i="14" s="1"/>
  <c r="AK129" i="14" s="1"/>
  <c r="AK130" i="14" s="1"/>
  <c r="AV124" i="14"/>
  <c r="AV125" i="14" s="1"/>
  <c r="AV129" i="14" s="1"/>
  <c r="AV130" i="14" s="1"/>
  <c r="S124" i="14"/>
  <c r="S125" i="14" s="1"/>
  <c r="S129" i="14" s="1"/>
  <c r="S130" i="14" s="1"/>
  <c r="T124" i="14"/>
  <c r="T125" i="14" s="1"/>
  <c r="T129" i="14" s="1"/>
  <c r="T130" i="14" s="1"/>
  <c r="AD124" i="14"/>
  <c r="AD125" i="14" s="1"/>
  <c r="AD129" i="14" s="1"/>
  <c r="AD130" i="14" s="1"/>
  <c r="AL124" i="14"/>
  <c r="AL125" i="14" s="1"/>
  <c r="AL129" i="14" s="1"/>
  <c r="BA124" i="14"/>
  <c r="BA125" i="14" s="1"/>
  <c r="BA129" i="14" s="1"/>
  <c r="BA130" i="14" s="1"/>
  <c r="AI124" i="14"/>
  <c r="AI125" i="14" s="1"/>
  <c r="AI129" i="14" s="1"/>
  <c r="AI130" i="14" s="1"/>
  <c r="BD124" i="14"/>
  <c r="BD125" i="14" s="1"/>
  <c r="BD129" i="14" s="1"/>
  <c r="BD130" i="14" s="1"/>
  <c r="AT124" i="14"/>
  <c r="AT125" i="14" s="1"/>
  <c r="AT129" i="14" s="1"/>
  <c r="AT130" i="14" s="1"/>
  <c r="X124" i="14"/>
  <c r="X125" i="14" s="1"/>
  <c r="X129" i="14" s="1"/>
  <c r="X130" i="14" s="1"/>
  <c r="AE124" i="14"/>
  <c r="AE125" i="14" s="1"/>
  <c r="AE129" i="14" s="1"/>
  <c r="AE130" i="14" s="1"/>
  <c r="Y124" i="14"/>
  <c r="Y125" i="14" s="1"/>
  <c r="Y129" i="14" s="1"/>
  <c r="Y130" i="14" s="1"/>
  <c r="AW124" i="14"/>
  <c r="AW125" i="14" s="1"/>
  <c r="AW129" i="14" s="1"/>
  <c r="AW130" i="14" s="1"/>
  <c r="AO124" i="14"/>
  <c r="AO125" i="14" s="1"/>
  <c r="AO129" i="14" s="1"/>
  <c r="AO130" i="14" s="1"/>
  <c r="AJ124" i="14"/>
  <c r="AJ125" i="14" s="1"/>
  <c r="AJ129" i="14" s="1"/>
  <c r="AJ130" i="14" s="1"/>
  <c r="AQ125" i="14"/>
  <c r="AQ129" i="14" s="1"/>
  <c r="AQ130" i="14" s="1"/>
  <c r="BK120" i="14"/>
  <c r="BK124" i="14" s="1"/>
  <c r="BK125" i="14" s="1"/>
  <c r="BK129" i="14" s="1"/>
  <c r="BK130" i="14" s="1"/>
  <c r="BD212" i="8"/>
  <c r="BB131" i="14" s="1"/>
  <c r="AN212" i="8"/>
  <c r="AL131" i="14" s="1"/>
  <c r="X212" i="8"/>
  <c r="V131" i="14" s="1"/>
  <c r="H212" i="8"/>
  <c r="AY212" i="8"/>
  <c r="AW131" i="14" s="1"/>
  <c r="AI212" i="8"/>
  <c r="AG131" i="14" s="1"/>
  <c r="S212" i="8"/>
  <c r="Q131" i="14" s="1"/>
  <c r="BN212" i="8"/>
  <c r="BL131" i="14" s="1"/>
  <c r="AX212" i="8"/>
  <c r="AV131" i="14" s="1"/>
  <c r="AH212" i="8"/>
  <c r="AF131" i="14" s="1"/>
  <c r="R212" i="8"/>
  <c r="P131" i="14" s="1"/>
  <c r="AS212" i="8"/>
  <c r="AQ131" i="14" s="1"/>
  <c r="Y212" i="8"/>
  <c r="W131" i="14" s="1"/>
  <c r="U212" i="8"/>
  <c r="S131" i="14" s="1"/>
  <c r="Q212" i="8"/>
  <c r="O131" i="14" s="1"/>
  <c r="BL212" i="8"/>
  <c r="BJ131" i="14" s="1"/>
  <c r="AV212" i="8"/>
  <c r="AT131" i="14" s="1"/>
  <c r="AF212" i="8"/>
  <c r="AD131" i="14" s="1"/>
  <c r="P212" i="8"/>
  <c r="N131" i="14" s="1"/>
  <c r="BG212" i="8"/>
  <c r="BE131" i="14" s="1"/>
  <c r="AQ212" i="8"/>
  <c r="AO131" i="14" s="1"/>
  <c r="AA212" i="8"/>
  <c r="Y131" i="14" s="1"/>
  <c r="K212" i="8"/>
  <c r="BF212" i="8"/>
  <c r="BD131" i="14" s="1"/>
  <c r="AP212" i="8"/>
  <c r="AN131" i="14" s="1"/>
  <c r="Z212" i="8"/>
  <c r="X131" i="14" s="1"/>
  <c r="J212" i="8"/>
  <c r="BE212" i="8"/>
  <c r="BC131" i="14" s="1"/>
  <c r="BA212" i="8"/>
  <c r="AY131" i="14" s="1"/>
  <c r="AW212" i="8"/>
  <c r="AU131" i="14" s="1"/>
  <c r="AR212" i="8"/>
  <c r="AP131" i="14" s="1"/>
  <c r="L212" i="8"/>
  <c r="J131" i="14" s="1"/>
  <c r="AM212" i="8"/>
  <c r="AK131" i="14" s="1"/>
  <c r="AL212" i="8"/>
  <c r="AJ131" i="14" s="1"/>
  <c r="BI212" i="8"/>
  <c r="BG131" i="14" s="1"/>
  <c r="AK212" i="8"/>
  <c r="AI131" i="14" s="1"/>
  <c r="T212" i="8"/>
  <c r="R131" i="14" s="1"/>
  <c r="O212" i="8"/>
  <c r="M131" i="14" s="1"/>
  <c r="N212" i="8"/>
  <c r="L131" i="14" s="1"/>
  <c r="AJ212" i="8"/>
  <c r="AH131" i="14" s="1"/>
  <c r="BK212" i="8"/>
  <c r="BI131" i="14" s="1"/>
  <c r="AE212" i="8"/>
  <c r="AC131" i="14" s="1"/>
  <c r="BJ212" i="8"/>
  <c r="BH131" i="14" s="1"/>
  <c r="AD212" i="8"/>
  <c r="AB131" i="14" s="1"/>
  <c r="AC212" i="8"/>
  <c r="AA131" i="14" s="1"/>
  <c r="BM212" i="8"/>
  <c r="BK131" i="14" s="1"/>
  <c r="AU212" i="8"/>
  <c r="AS131" i="14" s="1"/>
  <c r="I212" i="8"/>
  <c r="BH212" i="8"/>
  <c r="BF131" i="14" s="1"/>
  <c r="AB212" i="8"/>
  <c r="Z131" i="14" s="1"/>
  <c r="BC212" i="8"/>
  <c r="BA131" i="14" s="1"/>
  <c r="W212" i="8"/>
  <c r="U131" i="14" s="1"/>
  <c r="BB212" i="8"/>
  <c r="AZ131" i="14" s="1"/>
  <c r="V212" i="8"/>
  <c r="T131" i="14" s="1"/>
  <c r="AO212" i="8"/>
  <c r="AM131" i="14" s="1"/>
  <c r="AG212" i="8"/>
  <c r="AE131" i="14" s="1"/>
  <c r="AZ212" i="8"/>
  <c r="AX131" i="14" s="1"/>
  <c r="AT212" i="8"/>
  <c r="AR131" i="14" s="1"/>
  <c r="BI120" i="14"/>
  <c r="BI124" i="14" s="1"/>
  <c r="BI125" i="14" s="1"/>
  <c r="BI129" i="14" s="1"/>
  <c r="BI130" i="14" s="1"/>
  <c r="P124" i="14"/>
  <c r="P125" i="14" s="1"/>
  <c r="P129" i="14" s="1"/>
  <c r="P130" i="14" s="1"/>
  <c r="BH124" i="14"/>
  <c r="J124" i="14"/>
  <c r="W124" i="14"/>
  <c r="Z124" i="14"/>
  <c r="E189" i="8"/>
  <c r="AH124" i="14"/>
  <c r="AH125" i="14" s="1"/>
  <c r="AH129" i="14" s="1"/>
  <c r="AH130" i="14" s="1"/>
  <c r="AG124" i="14"/>
  <c r="AG125" i="14" s="1"/>
  <c r="AG129" i="14" s="1"/>
  <c r="AG130" i="14" s="1"/>
  <c r="AU124" i="14"/>
  <c r="AC124" i="14"/>
  <c r="V124" i="14"/>
  <c r="BF124" i="14"/>
  <c r="E38" i="5"/>
  <c r="R220" i="8"/>
  <c r="P136" i="14" s="1"/>
  <c r="AH220" i="8"/>
  <c r="AF136" i="14" s="1"/>
  <c r="AX220" i="8"/>
  <c r="AV136" i="14" s="1"/>
  <c r="BN220" i="8"/>
  <c r="BL136" i="14" s="1"/>
  <c r="AV220" i="8"/>
  <c r="AT136" i="14" s="1"/>
  <c r="K220" i="8"/>
  <c r="AA220" i="8"/>
  <c r="Y136" i="14" s="1"/>
  <c r="AQ220" i="8"/>
  <c r="AO136" i="14" s="1"/>
  <c r="BG220" i="8"/>
  <c r="BE136" i="14" s="1"/>
  <c r="AJ220" i="8"/>
  <c r="AH136" i="14" s="1"/>
  <c r="BM220" i="8"/>
  <c r="BK136" i="14" s="1"/>
  <c r="AR220" i="8"/>
  <c r="AP136" i="14" s="1"/>
  <c r="M220" i="8"/>
  <c r="K136" i="14" s="1"/>
  <c r="AC220" i="8"/>
  <c r="AA136" i="14" s="1"/>
  <c r="AS220" i="8"/>
  <c r="AQ136" i="14" s="1"/>
  <c r="V220" i="8"/>
  <c r="T136" i="14" s="1"/>
  <c r="AL220" i="8"/>
  <c r="AJ136" i="14" s="1"/>
  <c r="BB220" i="8"/>
  <c r="AZ136" i="14" s="1"/>
  <c r="P220" i="8"/>
  <c r="N136" i="14" s="1"/>
  <c r="BH220" i="8"/>
  <c r="BF136" i="14" s="1"/>
  <c r="O220" i="8"/>
  <c r="M136" i="14" s="1"/>
  <c r="AE220" i="8"/>
  <c r="AC136" i="14" s="1"/>
  <c r="AU220" i="8"/>
  <c r="AS136" i="14" s="1"/>
  <c r="BK220" i="8"/>
  <c r="BI136" i="14" s="1"/>
  <c r="AZ220" i="8"/>
  <c r="AX136" i="14" s="1"/>
  <c r="H220" i="8"/>
  <c r="BD220" i="8"/>
  <c r="BB136" i="14" s="1"/>
  <c r="Q220" i="8"/>
  <c r="O136" i="14" s="1"/>
  <c r="AG220" i="8"/>
  <c r="AE136" i="14" s="1"/>
  <c r="BI220" i="8"/>
  <c r="BG136" i="14" s="1"/>
  <c r="J220" i="8"/>
  <c r="Z220" i="8"/>
  <c r="X136" i="14" s="1"/>
  <c r="AP220" i="8"/>
  <c r="AN136" i="14" s="1"/>
  <c r="BF220" i="8"/>
  <c r="BD136" i="14" s="1"/>
  <c r="X220" i="8"/>
  <c r="V136" i="14" s="1"/>
  <c r="BA220" i="8"/>
  <c r="AY136" i="14" s="1"/>
  <c r="S220" i="8"/>
  <c r="Q136" i="14" s="1"/>
  <c r="AI220" i="8"/>
  <c r="AG136" i="14" s="1"/>
  <c r="AY220" i="8"/>
  <c r="AW136" i="14" s="1"/>
  <c r="L220" i="8"/>
  <c r="J136" i="14" s="1"/>
  <c r="BL220" i="8"/>
  <c r="BJ136" i="14" s="1"/>
  <c r="T220" i="8"/>
  <c r="R136" i="14" s="1"/>
  <c r="BE220" i="8"/>
  <c r="BC136" i="14" s="1"/>
  <c r="U220" i="8"/>
  <c r="S136" i="14" s="1"/>
  <c r="AK220" i="8"/>
  <c r="AI136" i="14" s="1"/>
  <c r="AD220" i="8"/>
  <c r="AB136" i="14" s="1"/>
  <c r="AB220" i="8"/>
  <c r="Z136" i="14" s="1"/>
  <c r="Y220" i="8"/>
  <c r="W136" i="14" s="1"/>
  <c r="AT220" i="8"/>
  <c r="AR136" i="14" s="1"/>
  <c r="W220" i="8"/>
  <c r="U136" i="14" s="1"/>
  <c r="AW220" i="8"/>
  <c r="AU136" i="14" s="1"/>
  <c r="AO220" i="8"/>
  <c r="AM136" i="14" s="1"/>
  <c r="BJ220" i="8"/>
  <c r="BH136" i="14" s="1"/>
  <c r="AM220" i="8"/>
  <c r="AK136" i="14" s="1"/>
  <c r="AF220" i="8"/>
  <c r="AD136" i="14" s="1"/>
  <c r="I220" i="8"/>
  <c r="N220" i="8"/>
  <c r="L136" i="14" s="1"/>
  <c r="AN220" i="8"/>
  <c r="AL136" i="14" s="1"/>
  <c r="BC220" i="8"/>
  <c r="BA136" i="14" s="1"/>
  <c r="M212" i="8"/>
  <c r="E196" i="8"/>
  <c r="AY115" i="14"/>
  <c r="AY119" i="14" s="1"/>
  <c r="AY120" i="14" s="1"/>
  <c r="AY124" i="14" s="1"/>
  <c r="AY125" i="14" s="1"/>
  <c r="AY129" i="14" s="1"/>
  <c r="AY130" i="14" s="1"/>
  <c r="Q124" i="14"/>
  <c r="AF124" i="14"/>
  <c r="AS124" i="14"/>
  <c r="BC124" i="14"/>
  <c r="AR124" i="14"/>
  <c r="M124" i="14"/>
  <c r="BL249" i="8"/>
  <c r="BL250" i="8" s="1"/>
  <c r="BL255" i="8" s="1"/>
  <c r="S249" i="8"/>
  <c r="S250" i="8" s="1"/>
  <c r="S255" i="8" s="1"/>
  <c r="H32" i="5"/>
  <c r="G32" i="5" s="1"/>
  <c r="O249" i="8"/>
  <c r="O250" i="8" s="1"/>
  <c r="O255" i="8" s="1"/>
  <c r="BB265" i="8"/>
  <c r="BB266" i="8" s="1"/>
  <c r="BB271" i="8" s="1"/>
  <c r="AC233" i="8"/>
  <c r="AC234" i="8" s="1"/>
  <c r="AC239" i="8" s="1"/>
  <c r="AI233" i="8"/>
  <c r="AI234" i="8" s="1"/>
  <c r="AI239" i="8" s="1"/>
  <c r="BG249" i="8"/>
  <c r="BG250" i="8" s="1"/>
  <c r="BG255" i="8" s="1"/>
  <c r="BM233" i="8"/>
  <c r="BM234" i="8" s="1"/>
  <c r="BM239" i="8" s="1"/>
  <c r="BD249" i="8"/>
  <c r="BD250" i="8" s="1"/>
  <c r="BD255" i="8" s="1"/>
  <c r="AG233" i="8"/>
  <c r="AG234" i="8" s="1"/>
  <c r="AG239" i="8" s="1"/>
  <c r="T249" i="8"/>
  <c r="T250" i="8" s="1"/>
  <c r="T255" i="8" s="1"/>
  <c r="BI241" i="8"/>
  <c r="BI242" i="8" s="1"/>
  <c r="BI247" i="8" s="1"/>
  <c r="AJ241" i="8"/>
  <c r="AJ242" i="8" s="1"/>
  <c r="AJ247" i="8" s="1"/>
  <c r="BJ249" i="8"/>
  <c r="BJ250" i="8" s="1"/>
  <c r="BJ255" i="8" s="1"/>
  <c r="BK241" i="8"/>
  <c r="BK242" i="8" s="1"/>
  <c r="BK247" i="8" s="1"/>
  <c r="AK225" i="8"/>
  <c r="AK226" i="8" s="1"/>
  <c r="AK231" i="8" s="1"/>
  <c r="AA90" i="14"/>
  <c r="AA94" i="14" s="1"/>
  <c r="BL125" i="14"/>
  <c r="BL129" i="14" s="1"/>
  <c r="AP105" i="14"/>
  <c r="M234" i="8"/>
  <c r="M239" i="8" s="1"/>
  <c r="J233" i="8"/>
  <c r="J234" i="8" s="1"/>
  <c r="J239" i="8" s="1"/>
  <c r="AZ233" i="8"/>
  <c r="AZ234" i="8" s="1"/>
  <c r="AZ239" i="8" s="1"/>
  <c r="BA233" i="8"/>
  <c r="BA234" i="8" s="1"/>
  <c r="BA239" i="8" s="1"/>
  <c r="AS233" i="8"/>
  <c r="AS234" i="8" s="1"/>
  <c r="AS239" i="8" s="1"/>
  <c r="U233" i="8"/>
  <c r="U234" i="8" s="1"/>
  <c r="U239" i="8" s="1"/>
  <c r="Q233" i="8"/>
  <c r="Q234" i="8" s="1"/>
  <c r="Q239" i="8" s="1"/>
  <c r="R233" i="8"/>
  <c r="R234" i="8" s="1"/>
  <c r="R239" i="8" s="1"/>
  <c r="N233" i="8"/>
  <c r="N234" i="8" s="1"/>
  <c r="N239" i="8" s="1"/>
  <c r="L233" i="8"/>
  <c r="L234" i="8" s="1"/>
  <c r="L239" i="8" s="1"/>
  <c r="AU233" i="8"/>
  <c r="AU234" i="8" s="1"/>
  <c r="AU239" i="8" s="1"/>
  <c r="AO225" i="8"/>
  <c r="AO226" i="8" s="1"/>
  <c r="AO231" i="8" s="1"/>
  <c r="Z217" i="8"/>
  <c r="Z218" i="8" s="1"/>
  <c r="Z223" i="8" s="1"/>
  <c r="BC225" i="8"/>
  <c r="BC226" i="8" s="1"/>
  <c r="BC231" i="8" s="1"/>
  <c r="AB225" i="8"/>
  <c r="AB226" i="8" s="1"/>
  <c r="AB231" i="8" s="1"/>
  <c r="I225" i="8"/>
  <c r="I226" i="8" s="1"/>
  <c r="I231" i="8" s="1"/>
  <c r="BE225" i="8"/>
  <c r="BE226" i="8" s="1"/>
  <c r="BE231" i="8" s="1"/>
  <c r="K225" i="8"/>
  <c r="K226" i="8" s="1"/>
  <c r="K231" i="8" s="1"/>
  <c r="AL225" i="8"/>
  <c r="AL226" i="8" s="1"/>
  <c r="AL231" i="8" s="1"/>
  <c r="AF225" i="8"/>
  <c r="AF226" i="8" s="1"/>
  <c r="AF231" i="8" s="1"/>
  <c r="AH225" i="8"/>
  <c r="AH226" i="8" s="1"/>
  <c r="AH231" i="8" s="1"/>
  <c r="BF225" i="8"/>
  <c r="BF226" i="8" s="1"/>
  <c r="BF231" i="8" s="1"/>
  <c r="AN225" i="8"/>
  <c r="AN226" i="8" s="1"/>
  <c r="AN231" i="8" s="1"/>
  <c r="AA225" i="8"/>
  <c r="AA226" i="8" s="1"/>
  <c r="AA231" i="8" s="1"/>
  <c r="W225" i="8"/>
  <c r="W226" i="8" s="1"/>
  <c r="W231" i="8" s="1"/>
  <c r="AT217" i="8"/>
  <c r="AT218" i="8" s="1"/>
  <c r="AT223" i="8" s="1"/>
  <c r="AM217" i="8"/>
  <c r="AM218" i="8" s="1"/>
  <c r="AM223" i="8" s="1"/>
  <c r="X218" i="8"/>
  <c r="X223" i="8" s="1"/>
  <c r="AD217" i="8"/>
  <c r="AD218" i="8" s="1"/>
  <c r="AD223" i="8" s="1"/>
  <c r="V217" i="8"/>
  <c r="V218" i="8" s="1"/>
  <c r="V223" i="8" s="1"/>
  <c r="BJ124" i="14"/>
  <c r="BJ125" i="14" s="1"/>
  <c r="AQ217" i="8"/>
  <c r="I32" i="6"/>
  <c r="K34" i="5" s="1"/>
  <c r="J31" i="6"/>
  <c r="J33" i="5" s="1"/>
  <c r="D111" i="14"/>
  <c r="H114" i="14"/>
  <c r="AR170" i="8"/>
  <c r="AR175" i="8" s="1"/>
  <c r="AX80" i="14"/>
  <c r="G80" i="21" l="1" a="1"/>
  <c r="G80" i="21" s="1"/>
  <c r="E81" i="8"/>
  <c r="F82" i="8"/>
  <c r="C86" i="21" a="1"/>
  <c r="C86" i="21" s="1"/>
  <c r="H89" i="8"/>
  <c r="C211" i="21" a="1"/>
  <c r="C211" i="21" s="1"/>
  <c r="C219" i="21" a="1"/>
  <c r="C219" i="21" s="1"/>
  <c r="AW231" i="8"/>
  <c r="AW233" i="8" s="1"/>
  <c r="AW234" i="8" s="1"/>
  <c r="AW239" i="8" s="1"/>
  <c r="I129" i="14"/>
  <c r="I130" i="14" s="1"/>
  <c r="I136" i="14"/>
  <c r="I176" i="14" s="1"/>
  <c r="I185" i="14" s="1"/>
  <c r="I191" i="14" s="1"/>
  <c r="I131" i="14"/>
  <c r="H136" i="14"/>
  <c r="H176" i="14" s="1"/>
  <c r="H185" i="14" s="1"/>
  <c r="H191" i="14" s="1"/>
  <c r="H131" i="14"/>
  <c r="G131" i="14"/>
  <c r="G129" i="14"/>
  <c r="G130" i="14" s="1"/>
  <c r="G136" i="14"/>
  <c r="F131" i="14"/>
  <c r="F136" i="14"/>
  <c r="F65" i="14"/>
  <c r="D64" i="14"/>
  <c r="BD257" i="8"/>
  <c r="BD258" i="8" s="1"/>
  <c r="BD263" i="8" s="1"/>
  <c r="S257" i="8"/>
  <c r="S258" i="8" s="1"/>
  <c r="S263" i="8" s="1"/>
  <c r="Z225" i="8"/>
  <c r="Z226" i="8" s="1"/>
  <c r="M242" i="8"/>
  <c r="M247" i="8" s="1"/>
  <c r="BJ257" i="8"/>
  <c r="BJ258" i="8" s="1"/>
  <c r="BJ263" i="8" s="1"/>
  <c r="BM241" i="8"/>
  <c r="BM242" i="8" s="1"/>
  <c r="BL257" i="8"/>
  <c r="BL258" i="8" s="1"/>
  <c r="T257" i="8"/>
  <c r="T258" i="8" s="1"/>
  <c r="T263" i="8" s="1"/>
  <c r="BG257" i="8"/>
  <c r="BG258" i="8" s="1"/>
  <c r="BG263" i="8" s="1"/>
  <c r="O257" i="8"/>
  <c r="O258" i="8" s="1"/>
  <c r="P90" i="8"/>
  <c r="P95" i="8" s="1"/>
  <c r="E204" i="8"/>
  <c r="G228" i="8"/>
  <c r="F228" i="8"/>
  <c r="G227" i="21" s="1" a="1"/>
  <c r="G227" i="21" s="1"/>
  <c r="BG134" i="14"/>
  <c r="BG135" i="14" s="1"/>
  <c r="BG139" i="14" s="1"/>
  <c r="BG140" i="14" s="1"/>
  <c r="N134" i="14"/>
  <c r="N135" i="14" s="1"/>
  <c r="N139" i="14" s="1"/>
  <c r="N140" i="14" s="1"/>
  <c r="BA176" i="14"/>
  <c r="BA185" i="14" s="1"/>
  <c r="BA191" i="14" s="1"/>
  <c r="AQ176" i="14"/>
  <c r="AQ185" i="14" s="1"/>
  <c r="AQ191" i="14" s="1"/>
  <c r="BE176" i="14"/>
  <c r="BE185" i="14" s="1"/>
  <c r="BE191" i="14" s="1"/>
  <c r="AM134" i="14"/>
  <c r="AM135" i="14" s="1"/>
  <c r="AM139" i="14" s="1"/>
  <c r="AM140" i="14" s="1"/>
  <c r="AB176" i="14"/>
  <c r="AB185" i="14" s="1"/>
  <c r="AB191" i="14" s="1"/>
  <c r="AL176" i="14"/>
  <c r="AL185" i="14" s="1"/>
  <c r="AL191" i="14" s="1"/>
  <c r="R176" i="14"/>
  <c r="R185" i="14" s="1"/>
  <c r="R191" i="14" s="1"/>
  <c r="AZ176" i="14"/>
  <c r="AZ185" i="14" s="1"/>
  <c r="AZ191" i="14" s="1"/>
  <c r="L134" i="14"/>
  <c r="L135" i="14" s="1"/>
  <c r="L139" i="14" s="1"/>
  <c r="L140" i="14" s="1"/>
  <c r="W176" i="14"/>
  <c r="W185" i="14" s="1"/>
  <c r="W191" i="14" s="1"/>
  <c r="BF176" i="14"/>
  <c r="BF185" i="14" s="1"/>
  <c r="BF191" i="14" s="1"/>
  <c r="AO176" i="14"/>
  <c r="AO185" i="14" s="1"/>
  <c r="AO191" i="14" s="1"/>
  <c r="AB134" i="14"/>
  <c r="AB135" i="14" s="1"/>
  <c r="AB139" i="14" s="1"/>
  <c r="BA134" i="14"/>
  <c r="BA135" i="14" s="1"/>
  <c r="BA139" i="14" s="1"/>
  <c r="AI134" i="14"/>
  <c r="AI135" i="14" s="1"/>
  <c r="AI139" i="14" s="1"/>
  <c r="AI140" i="14" s="1"/>
  <c r="BD134" i="14"/>
  <c r="BD135" i="14" s="1"/>
  <c r="BD139" i="14" s="1"/>
  <c r="X134" i="14"/>
  <c r="X135" i="14" s="1"/>
  <c r="X139" i="14" s="1"/>
  <c r="X140" i="14" s="1"/>
  <c r="U176" i="14"/>
  <c r="U185" i="14" s="1"/>
  <c r="U191" i="14" s="1"/>
  <c r="AO134" i="14"/>
  <c r="AO135" i="14" s="1"/>
  <c r="AO139" i="14" s="1"/>
  <c r="AY134" i="14"/>
  <c r="AY135" i="14" s="1"/>
  <c r="AY139" i="14" s="1"/>
  <c r="AT134" i="14"/>
  <c r="AT135" i="14" s="1"/>
  <c r="AT139" i="14" s="1"/>
  <c r="AT140" i="14" s="1"/>
  <c r="AV176" i="14"/>
  <c r="AV185" i="14" s="1"/>
  <c r="AV191" i="14" s="1"/>
  <c r="BB134" i="14"/>
  <c r="BB135" i="14" s="1"/>
  <c r="BB139" i="14" s="1"/>
  <c r="AH134" i="14"/>
  <c r="AH135" i="14" s="1"/>
  <c r="AH139" i="14" s="1"/>
  <c r="AH140" i="14" s="1"/>
  <c r="AN134" i="14"/>
  <c r="AN135" i="14" s="1"/>
  <c r="AN139" i="14" s="1"/>
  <c r="AN140" i="14" s="1"/>
  <c r="AK176" i="14"/>
  <c r="AK185" i="14" s="1"/>
  <c r="AK191" i="14" s="1"/>
  <c r="AH176" i="14"/>
  <c r="AH185" i="14" s="1"/>
  <c r="AH191" i="14" s="1"/>
  <c r="AN176" i="14"/>
  <c r="AN185" i="14" s="1"/>
  <c r="AN191" i="14" s="1"/>
  <c r="AX176" i="14"/>
  <c r="AX185" i="14" s="1"/>
  <c r="AX191" i="14" s="1"/>
  <c r="AA176" i="14"/>
  <c r="AA185" i="14" s="1"/>
  <c r="AA191" i="14" s="1"/>
  <c r="Y176" i="14"/>
  <c r="Y185" i="14" s="1"/>
  <c r="Y191" i="14" s="1"/>
  <c r="S176" i="14"/>
  <c r="S185" i="14" s="1"/>
  <c r="S191" i="14" s="1"/>
  <c r="AF176" i="14"/>
  <c r="AF185" i="14" s="1"/>
  <c r="AF191" i="14" s="1"/>
  <c r="AG176" i="14"/>
  <c r="AG185" i="14" s="1"/>
  <c r="AG191" i="14" s="1"/>
  <c r="N176" i="14"/>
  <c r="N185" i="14" s="1"/>
  <c r="N191" i="14" s="1"/>
  <c r="AT176" i="14"/>
  <c r="AT185" i="14" s="1"/>
  <c r="AT191" i="14" s="1"/>
  <c r="AS176" i="14"/>
  <c r="AS185" i="14" s="1"/>
  <c r="AS191" i="14" s="1"/>
  <c r="BH176" i="14"/>
  <c r="BH185" i="14" s="1"/>
  <c r="BH191" i="14" s="1"/>
  <c r="BC176" i="14"/>
  <c r="BC185" i="14" s="1"/>
  <c r="BC191" i="14" s="1"/>
  <c r="BJ176" i="14"/>
  <c r="BJ185" i="14" s="1"/>
  <c r="BJ191" i="14" s="1"/>
  <c r="AU176" i="14"/>
  <c r="AU185" i="14" s="1"/>
  <c r="AU191" i="14" s="1"/>
  <c r="S134" i="14"/>
  <c r="S135" i="14" s="1"/>
  <c r="S139" i="14" s="1"/>
  <c r="BG176" i="14"/>
  <c r="BG185" i="14" s="1"/>
  <c r="BG191" i="14" s="1"/>
  <c r="AY176" i="14"/>
  <c r="AY185" i="14" s="1"/>
  <c r="AY191" i="14" s="1"/>
  <c r="AW176" i="14"/>
  <c r="AW185" i="14" s="1"/>
  <c r="AW191" i="14" s="1"/>
  <c r="AE134" i="14"/>
  <c r="AE135" i="14" s="1"/>
  <c r="AE139" i="14" s="1"/>
  <c r="AE140" i="14" s="1"/>
  <c r="BL176" i="14"/>
  <c r="BL185" i="14" s="1"/>
  <c r="BL191" i="14" s="1"/>
  <c r="BI134" i="14"/>
  <c r="BI135" i="14" s="1"/>
  <c r="BI139" i="14" s="1"/>
  <c r="X176" i="14"/>
  <c r="X185" i="14" s="1"/>
  <c r="X191" i="14" s="1"/>
  <c r="BI176" i="14"/>
  <c r="BI185" i="14" s="1"/>
  <c r="BI191" i="14" s="1"/>
  <c r="AD134" i="14"/>
  <c r="AD135" i="14" s="1"/>
  <c r="AD139" i="14" s="1"/>
  <c r="AD140" i="14" s="1"/>
  <c r="AR176" i="14"/>
  <c r="AR185" i="14" s="1"/>
  <c r="AR191" i="14" s="1"/>
  <c r="T176" i="14"/>
  <c r="T185" i="14" s="1"/>
  <c r="T191" i="14" s="1"/>
  <c r="Z176" i="14"/>
  <c r="Z185" i="14" s="1"/>
  <c r="Z191" i="14" s="1"/>
  <c r="BK176" i="14"/>
  <c r="BK185" i="14" s="1"/>
  <c r="BK191" i="14" s="1"/>
  <c r="AC176" i="14"/>
  <c r="AC185" i="14" s="1"/>
  <c r="AC191" i="14" s="1"/>
  <c r="M176" i="14"/>
  <c r="M185" i="14" s="1"/>
  <c r="M191" i="14" s="1"/>
  <c r="AJ176" i="14"/>
  <c r="AJ185" i="14" s="1"/>
  <c r="AJ191" i="14" s="1"/>
  <c r="P176" i="14"/>
  <c r="P185" i="14" s="1"/>
  <c r="P191" i="14" s="1"/>
  <c r="Q176" i="14"/>
  <c r="Q185" i="14" s="1"/>
  <c r="Q191" i="14" s="1"/>
  <c r="V176" i="14"/>
  <c r="V185" i="14" s="1"/>
  <c r="V191" i="14" s="1"/>
  <c r="U134" i="14"/>
  <c r="U135" i="14" s="1"/>
  <c r="U139" i="14" s="1"/>
  <c r="U140" i="14" s="1"/>
  <c r="AK134" i="14"/>
  <c r="AR125" i="14"/>
  <c r="AR129" i="14" s="1"/>
  <c r="AR130" i="14" s="1"/>
  <c r="AR134" i="14" s="1"/>
  <c r="AR135" i="14" s="1"/>
  <c r="AR139" i="14" s="1"/>
  <c r="AR140" i="14" s="1"/>
  <c r="E220" i="8"/>
  <c r="O176" i="14"/>
  <c r="O185" i="14" s="1"/>
  <c r="O191" i="14" s="1"/>
  <c r="Q125" i="14"/>
  <c r="Q129" i="14" s="1"/>
  <c r="Q130" i="14" s="1"/>
  <c r="Q134" i="14" s="1"/>
  <c r="Q135" i="14" s="1"/>
  <c r="Q139" i="14" s="1"/>
  <c r="Q140" i="14" s="1"/>
  <c r="AJ134" i="14"/>
  <c r="BF125" i="14"/>
  <c r="Z125" i="14"/>
  <c r="Z129" i="14" s="1"/>
  <c r="Z130" i="14" s="1"/>
  <c r="Z134" i="14" s="1"/>
  <c r="Z135" i="14" s="1"/>
  <c r="Z139" i="14" s="1"/>
  <c r="Z140" i="14" s="1"/>
  <c r="AS125" i="14"/>
  <c r="AS129" i="14" s="1"/>
  <c r="AS130" i="14" s="1"/>
  <c r="AS134" i="14" s="1"/>
  <c r="AS135" i="14" s="1"/>
  <c r="AS139" i="14" s="1"/>
  <c r="AS140" i="14" s="1"/>
  <c r="AU125" i="14"/>
  <c r="AU129" i="14" s="1"/>
  <c r="AU130" i="14" s="1"/>
  <c r="AU134" i="14" s="1"/>
  <c r="AU135" i="14" s="1"/>
  <c r="AU139" i="14" s="1"/>
  <c r="AU140" i="14" s="1"/>
  <c r="AG134" i="14"/>
  <c r="D116" i="14"/>
  <c r="W125" i="14"/>
  <c r="P134" i="14"/>
  <c r="AE176" i="14"/>
  <c r="AE185" i="14" s="1"/>
  <c r="AE191" i="14" s="1"/>
  <c r="BB176" i="14"/>
  <c r="BB185" i="14" s="1"/>
  <c r="BB191" i="14" s="1"/>
  <c r="R134" i="14"/>
  <c r="AQ134" i="14"/>
  <c r="BE134" i="14"/>
  <c r="AP176" i="14"/>
  <c r="AP185" i="14" s="1"/>
  <c r="AP191" i="14" s="1"/>
  <c r="BK134" i="14"/>
  <c r="BK135" i="14" s="1"/>
  <c r="BK139" i="14" s="1"/>
  <c r="BK140" i="14" s="1"/>
  <c r="E212" i="8"/>
  <c r="BC125" i="14"/>
  <c r="BC129" i="14" s="1"/>
  <c r="BC130" i="14" s="1"/>
  <c r="BC134" i="14" s="1"/>
  <c r="BC135" i="14" s="1"/>
  <c r="BC139" i="14" s="1"/>
  <c r="BC140" i="14" s="1"/>
  <c r="E39" i="5"/>
  <c r="BH228" i="8"/>
  <c r="BF141" i="14" s="1"/>
  <c r="AR228" i="8"/>
  <c r="AP141" i="14" s="1"/>
  <c r="AB228" i="8"/>
  <c r="Z141" i="14" s="1"/>
  <c r="L228" i="8"/>
  <c r="J141" i="14" s="1"/>
  <c r="BC228" i="8"/>
  <c r="BA141" i="14" s="1"/>
  <c r="AM228" i="8"/>
  <c r="AK141" i="14" s="1"/>
  <c r="W228" i="8"/>
  <c r="U141" i="14" s="1"/>
  <c r="BB228" i="8"/>
  <c r="AZ141" i="14" s="1"/>
  <c r="AL228" i="8"/>
  <c r="AJ141" i="14" s="1"/>
  <c r="V228" i="8"/>
  <c r="T141" i="14" s="1"/>
  <c r="BA228" i="8"/>
  <c r="AY141" i="14" s="1"/>
  <c r="AW228" i="8"/>
  <c r="AU141" i="14" s="1"/>
  <c r="AS228" i="8"/>
  <c r="AQ141" i="14" s="1"/>
  <c r="AO228" i="8"/>
  <c r="AM141" i="14" s="1"/>
  <c r="BD228" i="8"/>
  <c r="BB141" i="14" s="1"/>
  <c r="AN228" i="8"/>
  <c r="AL141" i="14" s="1"/>
  <c r="X228" i="8"/>
  <c r="V141" i="14" s="1"/>
  <c r="H228" i="8"/>
  <c r="AY228" i="8"/>
  <c r="AW141" i="14" s="1"/>
  <c r="AI228" i="8"/>
  <c r="AG141" i="14" s="1"/>
  <c r="S228" i="8"/>
  <c r="Q141" i="14" s="1"/>
  <c r="BN228" i="8"/>
  <c r="BL141" i="14" s="1"/>
  <c r="AX228" i="8"/>
  <c r="AV141" i="14" s="1"/>
  <c r="AH228" i="8"/>
  <c r="AF141" i="14" s="1"/>
  <c r="R228" i="8"/>
  <c r="P141" i="14" s="1"/>
  <c r="AK228" i="8"/>
  <c r="AI141" i="14" s="1"/>
  <c r="AG228" i="8"/>
  <c r="AE141" i="14" s="1"/>
  <c r="AC228" i="8"/>
  <c r="AA141" i="14" s="1"/>
  <c r="Y228" i="8"/>
  <c r="W141" i="14" s="1"/>
  <c r="AZ228" i="8"/>
  <c r="AX141" i="14" s="1"/>
  <c r="AJ228" i="8"/>
  <c r="AH141" i="14" s="1"/>
  <c r="T228" i="8"/>
  <c r="R141" i="14" s="1"/>
  <c r="BK228" i="8"/>
  <c r="BI141" i="14" s="1"/>
  <c r="AU228" i="8"/>
  <c r="AS141" i="14" s="1"/>
  <c r="AE228" i="8"/>
  <c r="AC141" i="14" s="1"/>
  <c r="O228" i="8"/>
  <c r="M141" i="14" s="1"/>
  <c r="BJ228" i="8"/>
  <c r="BH141" i="14" s="1"/>
  <c r="AT228" i="8"/>
  <c r="AR141" i="14" s="1"/>
  <c r="AD228" i="8"/>
  <c r="AB141" i="14" s="1"/>
  <c r="N228" i="8"/>
  <c r="L141" i="14" s="1"/>
  <c r="U228" i="8"/>
  <c r="S141" i="14" s="1"/>
  <c r="Q228" i="8"/>
  <c r="O141" i="14" s="1"/>
  <c r="M228" i="8"/>
  <c r="K141" i="14" s="1"/>
  <c r="I228" i="8"/>
  <c r="P228" i="8"/>
  <c r="N141" i="14" s="1"/>
  <c r="K228" i="8"/>
  <c r="J228" i="8"/>
  <c r="BL228" i="8"/>
  <c r="BJ141" i="14" s="1"/>
  <c r="BG228" i="8"/>
  <c r="BE141" i="14" s="1"/>
  <c r="BF228" i="8"/>
  <c r="BD141" i="14" s="1"/>
  <c r="BM228" i="8"/>
  <c r="BK141" i="14" s="1"/>
  <c r="AV228" i="8"/>
  <c r="AT141" i="14" s="1"/>
  <c r="AQ228" i="8"/>
  <c r="AO141" i="14" s="1"/>
  <c r="AP228" i="8"/>
  <c r="AN141" i="14" s="1"/>
  <c r="BI228" i="8"/>
  <c r="BG141" i="14" s="1"/>
  <c r="Z228" i="8"/>
  <c r="X141" i="14" s="1"/>
  <c r="BE228" i="8"/>
  <c r="BC141" i="14" s="1"/>
  <c r="AF228" i="8"/>
  <c r="AD141" i="14" s="1"/>
  <c r="AA228" i="8"/>
  <c r="Y141" i="14" s="1"/>
  <c r="AC125" i="14"/>
  <c r="AC129" i="14" s="1"/>
  <c r="AC130" i="14" s="1"/>
  <c r="AC134" i="14" s="1"/>
  <c r="AC135" i="14" s="1"/>
  <c r="AC139" i="14" s="1"/>
  <c r="AC140" i="14" s="1"/>
  <c r="AD176" i="14"/>
  <c r="AD185" i="14" s="1"/>
  <c r="AD191" i="14" s="1"/>
  <c r="Y134" i="14"/>
  <c r="E197" i="8"/>
  <c r="T134" i="14"/>
  <c r="T135" i="14" s="1"/>
  <c r="T139" i="14" s="1"/>
  <c r="T140" i="14" s="1"/>
  <c r="M125" i="14"/>
  <c r="M129" i="14" s="1"/>
  <c r="M130" i="14" s="1"/>
  <c r="M134" i="14" s="1"/>
  <c r="M135" i="14" s="1"/>
  <c r="M139" i="14" s="1"/>
  <c r="M140" i="14" s="1"/>
  <c r="AF125" i="14"/>
  <c r="AF129" i="14" s="1"/>
  <c r="AF130" i="14" s="1"/>
  <c r="AF134" i="14" s="1"/>
  <c r="AF135" i="14" s="1"/>
  <c r="AF139" i="14" s="1"/>
  <c r="AF140" i="14" s="1"/>
  <c r="V125" i="14"/>
  <c r="V129" i="14" s="1"/>
  <c r="V130" i="14" s="1"/>
  <c r="V134" i="14" s="1"/>
  <c r="V135" i="14" s="1"/>
  <c r="V139" i="14" s="1"/>
  <c r="V140" i="14" s="1"/>
  <c r="AL130" i="14"/>
  <c r="AL134" i="14" s="1"/>
  <c r="AL135" i="14" s="1"/>
  <c r="AL139" i="14" s="1"/>
  <c r="AL140" i="14" s="1"/>
  <c r="J125" i="14"/>
  <c r="J129" i="14" s="1"/>
  <c r="J130" i="14" s="1"/>
  <c r="J134" i="14" s="1"/>
  <c r="J135" i="14" s="1"/>
  <c r="J139" i="14" s="1"/>
  <c r="J140" i="14" s="1"/>
  <c r="BH125" i="14"/>
  <c r="BH129" i="14" s="1"/>
  <c r="BH130" i="14" s="1"/>
  <c r="BH134" i="14" s="1"/>
  <c r="BH135" i="14" s="1"/>
  <c r="BH139" i="14" s="1"/>
  <c r="BH140" i="14" s="1"/>
  <c r="AM176" i="14"/>
  <c r="AM185" i="14" s="1"/>
  <c r="AM191" i="14" s="1"/>
  <c r="BD176" i="14"/>
  <c r="BD185" i="14" s="1"/>
  <c r="BD191" i="14" s="1"/>
  <c r="E205" i="8"/>
  <c r="AZ134" i="14"/>
  <c r="AZ135" i="14" s="1"/>
  <c r="AZ139" i="14" s="1"/>
  <c r="AZ140" i="14" s="1"/>
  <c r="AW134" i="14"/>
  <c r="AW135" i="14" s="1"/>
  <c r="AW139" i="14" s="1"/>
  <c r="AW140" i="14" s="1"/>
  <c r="O134" i="14"/>
  <c r="O135" i="14" s="1"/>
  <c r="O139" i="14" s="1"/>
  <c r="O140" i="14" s="1"/>
  <c r="AV134" i="14"/>
  <c r="AV135" i="14" s="1"/>
  <c r="AV139" i="14" s="1"/>
  <c r="AV140" i="14" s="1"/>
  <c r="AI241" i="8"/>
  <c r="AI242" i="8" s="1"/>
  <c r="AI247" i="8" s="1"/>
  <c r="H33" i="5"/>
  <c r="G33" i="5" s="1"/>
  <c r="BB273" i="8"/>
  <c r="BB274" i="8" s="1"/>
  <c r="BH265" i="8"/>
  <c r="BH266" i="8" s="1"/>
  <c r="BH271" i="8" s="1"/>
  <c r="AJ249" i="8"/>
  <c r="AJ250" i="8" s="1"/>
  <c r="AJ255" i="8" s="1"/>
  <c r="AG241" i="8"/>
  <c r="AG242" i="8" s="1"/>
  <c r="AG247" i="8" s="1"/>
  <c r="BK249" i="8"/>
  <c r="BK250" i="8" s="1"/>
  <c r="BK255" i="8" s="1"/>
  <c r="AK233" i="8"/>
  <c r="AK234" i="8" s="1"/>
  <c r="AK239" i="8" s="1"/>
  <c r="N241" i="8"/>
  <c r="N242" i="8" s="1"/>
  <c r="N247" i="8" s="1"/>
  <c r="AA95" i="14"/>
  <c r="AA99" i="14" s="1"/>
  <c r="AP241" i="8"/>
  <c r="AP242" i="8" s="1"/>
  <c r="AP247" i="8" s="1"/>
  <c r="AC241" i="8"/>
  <c r="AC242" i="8" s="1"/>
  <c r="AC247" i="8" s="1"/>
  <c r="L241" i="8"/>
  <c r="L242" i="8" s="1"/>
  <c r="L247" i="8" s="1"/>
  <c r="BA241" i="8"/>
  <c r="BA242" i="8" s="1"/>
  <c r="BA247" i="8" s="1"/>
  <c r="BI249" i="8"/>
  <c r="BI250" i="8" s="1"/>
  <c r="BI255" i="8" s="1"/>
  <c r="R241" i="8"/>
  <c r="R242" i="8" s="1"/>
  <c r="R247" i="8" s="1"/>
  <c r="AZ241" i="8"/>
  <c r="AZ242" i="8" s="1"/>
  <c r="AZ247" i="8" s="1"/>
  <c r="AU241" i="8"/>
  <c r="AU242" i="8" s="1"/>
  <c r="AU247" i="8" s="1"/>
  <c r="H115" i="14"/>
  <c r="H119" i="14" s="1"/>
  <c r="H120" i="14" s="1"/>
  <c r="H124" i="14" s="1"/>
  <c r="H125" i="14" s="1"/>
  <c r="H129" i="14" s="1"/>
  <c r="H130" i="14" s="1"/>
  <c r="H134" i="14" s="1"/>
  <c r="H135" i="14" s="1"/>
  <c r="BL130" i="14"/>
  <c r="BL134" i="14" s="1"/>
  <c r="BL135" i="14" s="1"/>
  <c r="BL139" i="14" s="1"/>
  <c r="BL140" i="14" s="1"/>
  <c r="AN233" i="8"/>
  <c r="AN234" i="8" s="1"/>
  <c r="AN239" i="8" s="1"/>
  <c r="AH234" i="8"/>
  <c r="AH239" i="8" s="1"/>
  <c r="AL233" i="8"/>
  <c r="AL234" i="8" s="1"/>
  <c r="AL239" i="8" s="1"/>
  <c r="BE233" i="8"/>
  <c r="BE234" i="8" s="1"/>
  <c r="BE239" i="8" s="1"/>
  <c r="AB233" i="8"/>
  <c r="AB234" i="8" s="1"/>
  <c r="AB239" i="8" s="1"/>
  <c r="W233" i="8"/>
  <c r="W234" i="8" s="1"/>
  <c r="W239" i="8" s="1"/>
  <c r="AO233" i="8"/>
  <c r="AO234" i="8" s="1"/>
  <c r="AO239" i="8" s="1"/>
  <c r="AA233" i="8"/>
  <c r="AA234" i="8" s="1"/>
  <c r="AA239" i="8" s="1"/>
  <c r="BF233" i="8"/>
  <c r="BF234" i="8" s="1"/>
  <c r="BF239" i="8" s="1"/>
  <c r="AF233" i="8"/>
  <c r="AF234" i="8" s="1"/>
  <c r="AF239" i="8" s="1"/>
  <c r="K233" i="8"/>
  <c r="K234" i="8" s="1"/>
  <c r="K239" i="8" s="1"/>
  <c r="I233" i="8"/>
  <c r="I234" i="8" s="1"/>
  <c r="I239" i="8" s="1"/>
  <c r="BC233" i="8"/>
  <c r="BC234" i="8" s="1"/>
  <c r="BC239" i="8" s="1"/>
  <c r="K131" i="14"/>
  <c r="K176" i="14" s="1"/>
  <c r="Y217" i="8"/>
  <c r="Y218" i="8" s="1"/>
  <c r="Y223" i="8" s="1"/>
  <c r="AD225" i="8"/>
  <c r="AD226" i="8" s="1"/>
  <c r="AD231" i="8" s="1"/>
  <c r="AM225" i="8"/>
  <c r="AM226" i="8" s="1"/>
  <c r="AM231" i="8" s="1"/>
  <c r="X225" i="8"/>
  <c r="X226" i="8" s="1"/>
  <c r="X231" i="8" s="1"/>
  <c r="AT225" i="8"/>
  <c r="AT226" i="8" s="1"/>
  <c r="AT231" i="8" s="1"/>
  <c r="V225" i="8"/>
  <c r="V226" i="8" s="1"/>
  <c r="V231" i="8" s="1"/>
  <c r="AX217" i="8"/>
  <c r="AX218" i="8" s="1"/>
  <c r="AX223" i="8" s="1"/>
  <c r="AQ218" i="8"/>
  <c r="AQ223" i="8" s="1"/>
  <c r="BJ129" i="14"/>
  <c r="BJ130" i="14" s="1"/>
  <c r="BJ134" i="14" s="1"/>
  <c r="BJ135" i="14" s="1"/>
  <c r="BJ139" i="14" s="1"/>
  <c r="BJ140" i="14" s="1"/>
  <c r="AR177" i="8"/>
  <c r="AR178" i="8" s="1"/>
  <c r="AR183" i="8" s="1"/>
  <c r="AY217" i="8"/>
  <c r="AY218" i="8" s="1"/>
  <c r="AY223" i="8" s="1"/>
  <c r="I33" i="6"/>
  <c r="K35" i="5" s="1"/>
  <c r="J32" i="6"/>
  <c r="J34" i="5" s="1"/>
  <c r="AP109" i="14"/>
  <c r="AX84" i="14"/>
  <c r="F87" i="8" l="1"/>
  <c r="G81" i="21" a="1"/>
  <c r="G81" i="21" s="1"/>
  <c r="E82" i="8"/>
  <c r="I134" i="14"/>
  <c r="I135" i="14" s="1"/>
  <c r="I139" i="14" s="1"/>
  <c r="I140" i="14" s="1"/>
  <c r="C88" i="21" a="1"/>
  <c r="C88" i="21" s="1"/>
  <c r="H90" i="8"/>
  <c r="C227" i="21" a="1"/>
  <c r="C227" i="21" s="1"/>
  <c r="BL263" i="8"/>
  <c r="BL265" i="8" s="1"/>
  <c r="BL266" i="8" s="1"/>
  <c r="BL271" i="8" s="1"/>
  <c r="BL273" i="8" s="1"/>
  <c r="BL274" i="8" s="1"/>
  <c r="Z231" i="8"/>
  <c r="Z233" i="8" s="1"/>
  <c r="Z234" i="8" s="1"/>
  <c r="Z239" i="8" s="1"/>
  <c r="Z241" i="8" s="1"/>
  <c r="Z242" i="8" s="1"/>
  <c r="Z247" i="8" s="1"/>
  <c r="O263" i="8"/>
  <c r="O265" i="8" s="1"/>
  <c r="O266" i="8" s="1"/>
  <c r="O271" i="8" s="1"/>
  <c r="O273" i="8" s="1"/>
  <c r="O274" i="8" s="1"/>
  <c r="BM247" i="8"/>
  <c r="BM249" i="8" s="1"/>
  <c r="BM250" i="8" s="1"/>
  <c r="BM255" i="8" s="1"/>
  <c r="BM257" i="8" s="1"/>
  <c r="BM258" i="8" s="1"/>
  <c r="I141" i="14"/>
  <c r="H141" i="14"/>
  <c r="G134" i="14"/>
  <c r="G135" i="14" s="1"/>
  <c r="G139" i="14" s="1"/>
  <c r="G140" i="14" s="1"/>
  <c r="G141" i="14"/>
  <c r="F176" i="14"/>
  <c r="F185" i="14" s="1"/>
  <c r="F191" i="14" s="1"/>
  <c r="F141" i="14"/>
  <c r="E213" i="8"/>
  <c r="F69" i="14"/>
  <c r="D69" i="14" s="1"/>
  <c r="D65" i="14"/>
  <c r="E131" i="14"/>
  <c r="D131" i="14" s="1"/>
  <c r="E126" i="14"/>
  <c r="D126" i="14" s="1"/>
  <c r="BG178" i="14"/>
  <c r="BG187" i="14" s="1"/>
  <c r="BG195" i="14" s="1"/>
  <c r="S265" i="8"/>
  <c r="S266" i="8" s="1"/>
  <c r="BI257" i="8"/>
  <c r="BI258" i="8" s="1"/>
  <c r="BK257" i="8"/>
  <c r="BK258" i="8" s="1"/>
  <c r="BK263" i="8" s="1"/>
  <c r="N249" i="8"/>
  <c r="N250" i="8" s="1"/>
  <c r="N255" i="8" s="1"/>
  <c r="AJ257" i="8"/>
  <c r="AJ258" i="8" s="1"/>
  <c r="AJ263" i="8" s="1"/>
  <c r="AI249" i="8"/>
  <c r="AI250" i="8" s="1"/>
  <c r="AI255" i="8" s="1"/>
  <c r="BG144" i="14"/>
  <c r="BG145" i="14" s="1"/>
  <c r="BG174" i="14" s="1"/>
  <c r="G236" i="8"/>
  <c r="F236" i="8"/>
  <c r="G235" i="21" s="1" a="1"/>
  <c r="G235" i="21" s="1"/>
  <c r="AE178" i="14"/>
  <c r="AE187" i="14" s="1"/>
  <c r="AE195" i="14" s="1"/>
  <c r="AN178" i="14"/>
  <c r="AN187" i="14" s="1"/>
  <c r="AN195" i="14" s="1"/>
  <c r="BC144" i="14"/>
  <c r="BC145" i="14" s="1"/>
  <c r="AD144" i="14"/>
  <c r="AD145" i="14" s="1"/>
  <c r="AD174" i="14" s="1"/>
  <c r="U178" i="14"/>
  <c r="U187" i="14" s="1"/>
  <c r="U195" i="14" s="1"/>
  <c r="AH178" i="14"/>
  <c r="AH187" i="14" s="1"/>
  <c r="AH195" i="14" s="1"/>
  <c r="AH144" i="14"/>
  <c r="AH145" i="14" s="1"/>
  <c r="AH174" i="14" s="1"/>
  <c r="AT178" i="14"/>
  <c r="AT187" i="14" s="1"/>
  <c r="AT195" i="14" s="1"/>
  <c r="AL144" i="14"/>
  <c r="AL145" i="14" s="1"/>
  <c r="AL174" i="14" s="1"/>
  <c r="AT144" i="14"/>
  <c r="AT145" i="14" s="1"/>
  <c r="AT174" i="14" s="1"/>
  <c r="Z144" i="14"/>
  <c r="Z145" i="14" s="1"/>
  <c r="Z174" i="14" s="1"/>
  <c r="AN144" i="14"/>
  <c r="AN145" i="14" s="1"/>
  <c r="AN174" i="14" s="1"/>
  <c r="AI144" i="14"/>
  <c r="AI145" i="14" s="1"/>
  <c r="AE144" i="14"/>
  <c r="AE145" i="14" s="1"/>
  <c r="AE174" i="14" s="1"/>
  <c r="L144" i="14"/>
  <c r="L145" i="14" s="1"/>
  <c r="U144" i="14"/>
  <c r="U145" i="14" s="1"/>
  <c r="U174" i="14" s="1"/>
  <c r="BK178" i="14"/>
  <c r="BK187" i="14" s="1"/>
  <c r="BK195" i="14" s="1"/>
  <c r="N178" i="14"/>
  <c r="N187" i="14" s="1"/>
  <c r="N195" i="14" s="1"/>
  <c r="AM178" i="14"/>
  <c r="AM187" i="14" s="1"/>
  <c r="AM195" i="14" s="1"/>
  <c r="AF144" i="14"/>
  <c r="AF145" i="14" s="1"/>
  <c r="AF174" i="14" s="1"/>
  <c r="BH144" i="14"/>
  <c r="BH145" i="14" s="1"/>
  <c r="BH174" i="14" s="1"/>
  <c r="V178" i="14"/>
  <c r="V187" i="14" s="1"/>
  <c r="V195" i="14" s="1"/>
  <c r="AF178" i="14"/>
  <c r="AF187" i="14" s="1"/>
  <c r="AF195" i="14" s="1"/>
  <c r="AS144" i="14"/>
  <c r="AS145" i="14" s="1"/>
  <c r="AS174" i="14" s="1"/>
  <c r="AD178" i="14"/>
  <c r="AD187" i="14" s="1"/>
  <c r="AD195" i="14" s="1"/>
  <c r="Z178" i="14"/>
  <c r="Z187" i="14" s="1"/>
  <c r="Z195" i="14" s="1"/>
  <c r="S140" i="14"/>
  <c r="S144" i="14" s="1"/>
  <c r="S145" i="14" s="1"/>
  <c r="S174" i="14" s="1"/>
  <c r="S178" i="14"/>
  <c r="S187" i="14" s="1"/>
  <c r="S195" i="14" s="1"/>
  <c r="BI140" i="14"/>
  <c r="BI144" i="14" s="1"/>
  <c r="BI145" i="14" s="1"/>
  <c r="BI178" i="14"/>
  <c r="BI187" i="14" s="1"/>
  <c r="BI195" i="14" s="1"/>
  <c r="AU144" i="14"/>
  <c r="AU145" i="14" s="1"/>
  <c r="AU174" i="14" s="1"/>
  <c r="AM144" i="14"/>
  <c r="AM145" i="14" s="1"/>
  <c r="AM174" i="14" s="1"/>
  <c r="BC178" i="14"/>
  <c r="BC187" i="14" s="1"/>
  <c r="BC195" i="14" s="1"/>
  <c r="Q178" i="14"/>
  <c r="Q187" i="14" s="1"/>
  <c r="Q195" i="14" s="1"/>
  <c r="AK135" i="14"/>
  <c r="AK139" i="14" s="1"/>
  <c r="AK140" i="14" s="1"/>
  <c r="AK144" i="14" s="1"/>
  <c r="AK145" i="14" s="1"/>
  <c r="AZ144" i="14"/>
  <c r="AZ145" i="14" s="1"/>
  <c r="AZ174" i="14" s="1"/>
  <c r="M144" i="14"/>
  <c r="M145" i="14" s="1"/>
  <c r="M174" i="14" s="1"/>
  <c r="AB140" i="14"/>
  <c r="AB144" i="14" s="1"/>
  <c r="AB145" i="14" s="1"/>
  <c r="AB178" i="14"/>
  <c r="AB187" i="14" s="1"/>
  <c r="AB195" i="14" s="1"/>
  <c r="E228" i="8"/>
  <c r="E40" i="5"/>
  <c r="S236" i="8"/>
  <c r="Q146" i="14" s="1"/>
  <c r="AI236" i="8"/>
  <c r="AG146" i="14" s="1"/>
  <c r="AY236" i="8"/>
  <c r="AW146" i="14" s="1"/>
  <c r="H236" i="8"/>
  <c r="BL236" i="8"/>
  <c r="BJ146" i="14" s="1"/>
  <c r="Y236" i="8"/>
  <c r="W146" i="14" s="1"/>
  <c r="AW236" i="8"/>
  <c r="AU146" i="14" s="1"/>
  <c r="L236" i="8"/>
  <c r="J146" i="14" s="1"/>
  <c r="AB236" i="8"/>
  <c r="Z146" i="14" s="1"/>
  <c r="AV236" i="8"/>
  <c r="AT146" i="14" s="1"/>
  <c r="AG236" i="8"/>
  <c r="AE146" i="14" s="1"/>
  <c r="Z236" i="8"/>
  <c r="X146" i="14" s="1"/>
  <c r="BJ236" i="8"/>
  <c r="BH146" i="14" s="1"/>
  <c r="BB236" i="8"/>
  <c r="AZ146" i="14" s="1"/>
  <c r="BN236" i="8"/>
  <c r="BL146" i="14" s="1"/>
  <c r="W236" i="8"/>
  <c r="U146" i="14" s="1"/>
  <c r="AM236" i="8"/>
  <c r="AK146" i="14" s="1"/>
  <c r="BC236" i="8"/>
  <c r="BA146" i="14" s="1"/>
  <c r="AR236" i="8"/>
  <c r="AP146" i="14" s="1"/>
  <c r="AC236" i="8"/>
  <c r="AA146" i="14" s="1"/>
  <c r="BA236" i="8"/>
  <c r="AY146" i="14" s="1"/>
  <c r="P236" i="8"/>
  <c r="N146" i="14" s="1"/>
  <c r="AF236" i="8"/>
  <c r="AD146" i="14" s="1"/>
  <c r="BH236" i="8"/>
  <c r="BF146" i="14" s="1"/>
  <c r="AS236" i="8"/>
  <c r="AQ146" i="14" s="1"/>
  <c r="AP236" i="8"/>
  <c r="AN146" i="14" s="1"/>
  <c r="AH236" i="8"/>
  <c r="AF146" i="14" s="1"/>
  <c r="N236" i="8"/>
  <c r="L146" i="14" s="1"/>
  <c r="AL236" i="8"/>
  <c r="AJ146" i="14" s="1"/>
  <c r="K236" i="8"/>
  <c r="AA236" i="8"/>
  <c r="Y146" i="14" s="1"/>
  <c r="AQ236" i="8"/>
  <c r="AO146" i="14" s="1"/>
  <c r="BG236" i="8"/>
  <c r="BE146" i="14" s="1"/>
  <c r="AZ236" i="8"/>
  <c r="AX146" i="14" s="1"/>
  <c r="M236" i="8"/>
  <c r="K146" i="14" s="1"/>
  <c r="AK236" i="8"/>
  <c r="AI146" i="14" s="1"/>
  <c r="BE236" i="8"/>
  <c r="BC146" i="14" s="1"/>
  <c r="T236" i="8"/>
  <c r="R146" i="14" s="1"/>
  <c r="AJ236" i="8"/>
  <c r="AH146" i="14" s="1"/>
  <c r="I236" i="8"/>
  <c r="BI236" i="8"/>
  <c r="BG146" i="14" s="1"/>
  <c r="BF236" i="8"/>
  <c r="BD146" i="14" s="1"/>
  <c r="AX236" i="8"/>
  <c r="AV146" i="14" s="1"/>
  <c r="AD236" i="8"/>
  <c r="AB146" i="14" s="1"/>
  <c r="O236" i="8"/>
  <c r="M146" i="14" s="1"/>
  <c r="BD236" i="8"/>
  <c r="BB146" i="14" s="1"/>
  <c r="X236" i="8"/>
  <c r="V146" i="14" s="1"/>
  <c r="AT236" i="8"/>
  <c r="AR146" i="14" s="1"/>
  <c r="AE236" i="8"/>
  <c r="AC146" i="14" s="1"/>
  <c r="Q236" i="8"/>
  <c r="O146" i="14" s="1"/>
  <c r="AN236" i="8"/>
  <c r="AL146" i="14" s="1"/>
  <c r="V236" i="8"/>
  <c r="T146" i="14" s="1"/>
  <c r="AU236" i="8"/>
  <c r="AS146" i="14" s="1"/>
  <c r="AO236" i="8"/>
  <c r="AM146" i="14" s="1"/>
  <c r="U236" i="8"/>
  <c r="S146" i="14" s="1"/>
  <c r="R236" i="8"/>
  <c r="P146" i="14" s="1"/>
  <c r="J236" i="8"/>
  <c r="BK236" i="8"/>
  <c r="BI146" i="14" s="1"/>
  <c r="BM236" i="8"/>
  <c r="BK146" i="14" s="1"/>
  <c r="AQ135" i="14"/>
  <c r="AQ139" i="14" s="1"/>
  <c r="AQ140" i="14" s="1"/>
  <c r="AQ144" i="14" s="1"/>
  <c r="AQ145" i="14" s="1"/>
  <c r="AZ178" i="14"/>
  <c r="AZ187" i="14" s="1"/>
  <c r="AZ195" i="14" s="1"/>
  <c r="BD140" i="14"/>
  <c r="BD144" i="14" s="1"/>
  <c r="BD145" i="14" s="1"/>
  <c r="BD174" i="14" s="1"/>
  <c r="BD178" i="14"/>
  <c r="BD187" i="14" s="1"/>
  <c r="BD195" i="14" s="1"/>
  <c r="BF129" i="14"/>
  <c r="E221" i="8"/>
  <c r="E136" i="14"/>
  <c r="D136" i="14" s="1"/>
  <c r="J144" i="14"/>
  <c r="J145" i="14" s="1"/>
  <c r="BH178" i="14"/>
  <c r="BH187" i="14" s="1"/>
  <c r="BH195" i="14" s="1"/>
  <c r="BE135" i="14"/>
  <c r="BE139" i="14" s="1"/>
  <c r="BE140" i="14" s="1"/>
  <c r="BE144" i="14" s="1"/>
  <c r="BE145" i="14" s="1"/>
  <c r="R135" i="14"/>
  <c r="R139" i="14" s="1"/>
  <c r="R140" i="14" s="1"/>
  <c r="R144" i="14" s="1"/>
  <c r="R145" i="14" s="1"/>
  <c r="T178" i="14"/>
  <c r="T187" i="14" s="1"/>
  <c r="T195" i="14" s="1"/>
  <c r="P135" i="14"/>
  <c r="P139" i="14" s="1"/>
  <c r="P140" i="14" s="1"/>
  <c r="P144" i="14" s="1"/>
  <c r="P145" i="14" s="1"/>
  <c r="BB140" i="14"/>
  <c r="BB144" i="14" s="1"/>
  <c r="BB145" i="14" s="1"/>
  <c r="BB178" i="14"/>
  <c r="BB187" i="14" s="1"/>
  <c r="BB195" i="14" s="1"/>
  <c r="AJ135" i="14"/>
  <c r="AJ139" i="14" s="1"/>
  <c r="AJ140" i="14" s="1"/>
  <c r="AJ144" i="14" s="1"/>
  <c r="AJ145" i="14" s="1"/>
  <c r="AJ174" i="14" s="1"/>
  <c r="O144" i="14"/>
  <c r="O145" i="14" s="1"/>
  <c r="BA140" i="14"/>
  <c r="BA144" i="14" s="1"/>
  <c r="BA145" i="14" s="1"/>
  <c r="BA174" i="14" s="1"/>
  <c r="BA178" i="14"/>
  <c r="BA187" i="14" s="1"/>
  <c r="BA195" i="14" s="1"/>
  <c r="AL178" i="14"/>
  <c r="AL187" i="14" s="1"/>
  <c r="AL195" i="14" s="1"/>
  <c r="M178" i="14"/>
  <c r="M187" i="14" s="1"/>
  <c r="M195" i="14" s="1"/>
  <c r="AC178" i="14"/>
  <c r="AC187" i="14" s="1"/>
  <c r="AC195" i="14" s="1"/>
  <c r="AV178" i="14"/>
  <c r="AV187" i="14" s="1"/>
  <c r="AV195" i="14" s="1"/>
  <c r="AG135" i="14"/>
  <c r="AG139" i="14" s="1"/>
  <c r="AG140" i="14" s="1"/>
  <c r="AO140" i="14"/>
  <c r="AO178" i="14"/>
  <c r="AO187" i="14" s="1"/>
  <c r="AO195" i="14" s="1"/>
  <c r="Q144" i="14"/>
  <c r="Q145" i="14" s="1"/>
  <c r="AR178" i="14"/>
  <c r="AR187" i="14" s="1"/>
  <c r="AR195" i="14" s="1"/>
  <c r="Y135" i="14"/>
  <c r="Y139" i="14" s="1"/>
  <c r="Y140" i="14" s="1"/>
  <c r="Y144" i="14" s="1"/>
  <c r="Y145" i="14" s="1"/>
  <c r="AC144" i="14"/>
  <c r="AC145" i="14" s="1"/>
  <c r="BK144" i="14"/>
  <c r="BK145" i="14" s="1"/>
  <c r="O178" i="14"/>
  <c r="O187" i="14" s="1"/>
  <c r="O195" i="14" s="1"/>
  <c r="AW178" i="14"/>
  <c r="AW187" i="14" s="1"/>
  <c r="AW195" i="14" s="1"/>
  <c r="W129" i="14"/>
  <c r="W130" i="14" s="1"/>
  <c r="W134" i="14" s="1"/>
  <c r="W135" i="14" s="1"/>
  <c r="W139" i="14" s="1"/>
  <c r="W140" i="14" s="1"/>
  <c r="W144" i="14" s="1"/>
  <c r="W145" i="14" s="1"/>
  <c r="W174" i="14" s="1"/>
  <c r="AU178" i="14"/>
  <c r="AU187" i="14" s="1"/>
  <c r="AU195" i="14" s="1"/>
  <c r="AS178" i="14"/>
  <c r="AS187" i="14" s="1"/>
  <c r="AS195" i="14" s="1"/>
  <c r="AY140" i="14"/>
  <c r="AY144" i="14" s="1"/>
  <c r="AY145" i="14" s="1"/>
  <c r="AY178" i="14"/>
  <c r="AY187" i="14" s="1"/>
  <c r="AY195" i="14" s="1"/>
  <c r="N144" i="14"/>
  <c r="N145" i="14" s="1"/>
  <c r="H34" i="5"/>
  <c r="BH273" i="8"/>
  <c r="BH274" i="8" s="1"/>
  <c r="BJ265" i="8"/>
  <c r="BJ266" i="8" s="1"/>
  <c r="BJ271" i="8" s="1"/>
  <c r="BD265" i="8"/>
  <c r="BD266" i="8" s="1"/>
  <c r="BD271" i="8" s="1"/>
  <c r="T265" i="8"/>
  <c r="T266" i="8" s="1"/>
  <c r="T271" i="8" s="1"/>
  <c r="BG265" i="8"/>
  <c r="BG266" i="8" s="1"/>
  <c r="BG271" i="8" s="1"/>
  <c r="R249" i="8"/>
  <c r="R250" i="8" s="1"/>
  <c r="R255" i="8" s="1"/>
  <c r="L249" i="8"/>
  <c r="L250" i="8" s="1"/>
  <c r="L255" i="8" s="1"/>
  <c r="AU250" i="8"/>
  <c r="AU255" i="8" s="1"/>
  <c r="AH241" i="8"/>
  <c r="AH242" i="8" s="1"/>
  <c r="AH247" i="8" s="1"/>
  <c r="AS241" i="8"/>
  <c r="AS242" i="8" s="1"/>
  <c r="AS247" i="8" s="1"/>
  <c r="Q241" i="8"/>
  <c r="Q242" i="8" s="1"/>
  <c r="Q247" i="8" s="1"/>
  <c r="BA249" i="8"/>
  <c r="BA250" i="8" s="1"/>
  <c r="BA255" i="8" s="1"/>
  <c r="J241" i="8"/>
  <c r="J242" i="8" s="1"/>
  <c r="J247" i="8" s="1"/>
  <c r="AP249" i="8"/>
  <c r="AP250" i="8" s="1"/>
  <c r="AP255" i="8" s="1"/>
  <c r="AK241" i="8"/>
  <c r="AK242" i="8" s="1"/>
  <c r="AK247" i="8" s="1"/>
  <c r="AC249" i="8"/>
  <c r="AC250" i="8" s="1"/>
  <c r="AC255" i="8" s="1"/>
  <c r="BC241" i="8"/>
  <c r="BC242" i="8" s="1"/>
  <c r="BC247" i="8" s="1"/>
  <c r="K241" i="8"/>
  <c r="K242" i="8" s="1"/>
  <c r="K247" i="8" s="1"/>
  <c r="BF241" i="8"/>
  <c r="BF242" i="8" s="1"/>
  <c r="BF247" i="8" s="1"/>
  <c r="AO241" i="8"/>
  <c r="AW241" i="8"/>
  <c r="AW242" i="8" s="1"/>
  <c r="AW247" i="8" s="1"/>
  <c r="AG249" i="8"/>
  <c r="AG250" i="8" s="1"/>
  <c r="AG255" i="8" s="1"/>
  <c r="AB241" i="8"/>
  <c r="AB242" i="8" s="1"/>
  <c r="AB247" i="8" s="1"/>
  <c r="AN241" i="8"/>
  <c r="AN242" i="8" s="1"/>
  <c r="AN247" i="8" s="1"/>
  <c r="U241" i="8"/>
  <c r="U242" i="8" s="1"/>
  <c r="U247" i="8" s="1"/>
  <c r="AZ249" i="8"/>
  <c r="AZ250" i="8" s="1"/>
  <c r="AZ255" i="8" s="1"/>
  <c r="I241" i="8"/>
  <c r="AF241" i="8"/>
  <c r="AF242" i="8" s="1"/>
  <c r="AF247" i="8" s="1"/>
  <c r="AA241" i="8"/>
  <c r="AA242" i="8" s="1"/>
  <c r="AA247" i="8" s="1"/>
  <c r="W241" i="8"/>
  <c r="W242" i="8" s="1"/>
  <c r="W247" i="8" s="1"/>
  <c r="BL144" i="14"/>
  <c r="BL145" i="14" s="1"/>
  <c r="X144" i="14"/>
  <c r="X145" i="14" s="1"/>
  <c r="BJ144" i="14"/>
  <c r="BJ145" i="14" s="1"/>
  <c r="K185" i="14"/>
  <c r="BL178" i="14"/>
  <c r="BL187" i="14" s="1"/>
  <c r="BL195" i="14" s="1"/>
  <c r="AP110" i="14"/>
  <c r="AP114" i="14" s="1"/>
  <c r="AP115" i="14" s="1"/>
  <c r="X178" i="14"/>
  <c r="X187" i="14" s="1"/>
  <c r="X195" i="14" s="1"/>
  <c r="BJ178" i="14"/>
  <c r="BJ187" i="14" s="1"/>
  <c r="BJ195" i="14" s="1"/>
  <c r="H139" i="14"/>
  <c r="H140" i="14" s="1"/>
  <c r="AT233" i="8"/>
  <c r="AT234" i="8" s="1"/>
  <c r="AT239" i="8" s="1"/>
  <c r="AR144" i="14"/>
  <c r="AR145" i="14" s="1"/>
  <c r="AM233" i="8"/>
  <c r="AM234" i="8" s="1"/>
  <c r="AM239" i="8" s="1"/>
  <c r="V233" i="8"/>
  <c r="V234" i="8" s="1"/>
  <c r="V239" i="8" s="1"/>
  <c r="T144" i="14"/>
  <c r="T145" i="14" s="1"/>
  <c r="X233" i="8"/>
  <c r="X234" i="8" s="1"/>
  <c r="X239" i="8" s="1"/>
  <c r="V144" i="14"/>
  <c r="V145" i="14" s="1"/>
  <c r="AD233" i="8"/>
  <c r="AD234" i="8" s="1"/>
  <c r="AD239" i="8" s="1"/>
  <c r="K134" i="14"/>
  <c r="AY225" i="8"/>
  <c r="AY226" i="8" s="1"/>
  <c r="AY231" i="8" s="1"/>
  <c r="AQ225" i="8"/>
  <c r="AQ226" i="8" s="1"/>
  <c r="AQ231" i="8" s="1"/>
  <c r="AX225" i="8"/>
  <c r="AX226" i="8" s="1"/>
  <c r="AX231" i="8" s="1"/>
  <c r="AR185" i="8"/>
  <c r="AR186" i="8" s="1"/>
  <c r="AR191" i="8" s="1"/>
  <c r="I34" i="6"/>
  <c r="K36" i="5" s="1"/>
  <c r="J33" i="6"/>
  <c r="J35" i="5" s="1"/>
  <c r="AA100" i="14"/>
  <c r="AA104" i="14" s="1"/>
  <c r="AA105" i="14" s="1"/>
  <c r="AA109" i="14" s="1"/>
  <c r="AA110" i="14" s="1"/>
  <c r="AX85" i="14"/>
  <c r="G86" i="21" l="1" a="1"/>
  <c r="G86" i="21" s="1"/>
  <c r="F89" i="8"/>
  <c r="F90" i="8"/>
  <c r="E87" i="8"/>
  <c r="C89" i="21" a="1"/>
  <c r="C89" i="21" s="1"/>
  <c r="H95" i="8"/>
  <c r="C235" i="21" a="1"/>
  <c r="C235" i="21" s="1"/>
  <c r="BM263" i="8"/>
  <c r="BM265" i="8" s="1"/>
  <c r="BM266" i="8" s="1"/>
  <c r="BM271" i="8" s="1"/>
  <c r="BM273" i="8" s="1"/>
  <c r="BM274" i="8" s="1"/>
  <c r="BI263" i="8"/>
  <c r="BI265" i="8" s="1"/>
  <c r="BI266" i="8" s="1"/>
  <c r="BI271" i="8" s="1"/>
  <c r="BI273" i="8" s="1"/>
  <c r="BI274" i="8" s="1"/>
  <c r="S271" i="8"/>
  <c r="S273" i="8" s="1"/>
  <c r="S274" i="8" s="1"/>
  <c r="I146" i="14"/>
  <c r="I144" i="14"/>
  <c r="I145" i="14" s="1"/>
  <c r="I174" i="14" s="1"/>
  <c r="G144" i="14"/>
  <c r="G145" i="14" s="1"/>
  <c r="G174" i="14" s="1"/>
  <c r="H146" i="14"/>
  <c r="G146" i="14"/>
  <c r="F146" i="14"/>
  <c r="BG149" i="14"/>
  <c r="BG150" i="14" s="1"/>
  <c r="F70" i="14"/>
  <c r="E146" i="14"/>
  <c r="BC149" i="14"/>
  <c r="BC150" i="14" s="1"/>
  <c r="BC174" i="14"/>
  <c r="AH149" i="14"/>
  <c r="AH150" i="14" s="1"/>
  <c r="AM149" i="14"/>
  <c r="AM150" i="14" s="1"/>
  <c r="N257" i="8"/>
  <c r="N258" i="8" s="1"/>
  <c r="AI257" i="8"/>
  <c r="AI258" i="8" s="1"/>
  <c r="BA257" i="8"/>
  <c r="BA258" i="8" s="1"/>
  <c r="R257" i="8"/>
  <c r="R258" i="8" s="1"/>
  <c r="R263" i="8" s="1"/>
  <c r="L257" i="8"/>
  <c r="L258" i="8" s="1"/>
  <c r="L263" i="8" s="1"/>
  <c r="AZ257" i="8"/>
  <c r="AZ258" i="8" s="1"/>
  <c r="AZ263" i="8" s="1"/>
  <c r="AG257" i="8"/>
  <c r="AG258" i="8" s="1"/>
  <c r="AC257" i="8"/>
  <c r="AC258" i="8" s="1"/>
  <c r="AP257" i="8"/>
  <c r="AP258" i="8" s="1"/>
  <c r="AP263" i="8" s="1"/>
  <c r="AU258" i="8"/>
  <c r="P97" i="8"/>
  <c r="Z149" i="14"/>
  <c r="Z150" i="14" s="1"/>
  <c r="G244" i="8"/>
  <c r="F244" i="8"/>
  <c r="G243" i="21" s="1" a="1"/>
  <c r="G243" i="21" s="1"/>
  <c r="AN149" i="14"/>
  <c r="AN150" i="14" s="1"/>
  <c r="AD149" i="14"/>
  <c r="AD150" i="14" s="1"/>
  <c r="AL149" i="14"/>
  <c r="AL150" i="14" s="1"/>
  <c r="AE149" i="14"/>
  <c r="AE150" i="14" s="1"/>
  <c r="AT149" i="14"/>
  <c r="AT150" i="14" s="1"/>
  <c r="AF149" i="14"/>
  <c r="AF150" i="14" s="1"/>
  <c r="AI149" i="14"/>
  <c r="AI150" i="14" s="1"/>
  <c r="L149" i="14"/>
  <c r="L150" i="14" s="1"/>
  <c r="U149" i="14"/>
  <c r="U150" i="14" s="1"/>
  <c r="Y149" i="14"/>
  <c r="Y150" i="14" s="1"/>
  <c r="BH149" i="14"/>
  <c r="BH150" i="14" s="1"/>
  <c r="AK178" i="14"/>
  <c r="AK187" i="14" s="1"/>
  <c r="AK195" i="14" s="1"/>
  <c r="I178" i="14"/>
  <c r="I187" i="14" s="1"/>
  <c r="I195" i="14" s="1"/>
  <c r="AZ149" i="14"/>
  <c r="AZ150" i="14" s="1"/>
  <c r="S149" i="14"/>
  <c r="S150" i="14" s="1"/>
  <c r="AJ149" i="14"/>
  <c r="AJ150" i="14" s="1"/>
  <c r="AJ178" i="14"/>
  <c r="AJ187" i="14" s="1"/>
  <c r="AJ195" i="14" s="1"/>
  <c r="P178" i="14"/>
  <c r="P187" i="14" s="1"/>
  <c r="P195" i="14" s="1"/>
  <c r="AU149" i="14"/>
  <c r="AU150" i="14" s="1"/>
  <c r="M149" i="14"/>
  <c r="M150" i="14" s="1"/>
  <c r="AS149" i="14"/>
  <c r="AS150" i="14" s="1"/>
  <c r="Y174" i="14"/>
  <c r="BD149" i="14"/>
  <c r="BD150" i="14" s="1"/>
  <c r="BA149" i="14"/>
  <c r="BA150" i="14" s="1"/>
  <c r="Y178" i="14"/>
  <c r="Y187" i="14" s="1"/>
  <c r="Y195" i="14" s="1"/>
  <c r="AQ178" i="14"/>
  <c r="AQ187" i="14" s="1"/>
  <c r="AQ195" i="14" s="1"/>
  <c r="BE149" i="14"/>
  <c r="BE150" i="14" s="1"/>
  <c r="BE174" i="14"/>
  <c r="J149" i="14"/>
  <c r="J150" i="14" s="1"/>
  <c r="J174" i="14"/>
  <c r="E141" i="14"/>
  <c r="D141" i="14" s="1"/>
  <c r="E229" i="8"/>
  <c r="BK149" i="14"/>
  <c r="BK150" i="14" s="1"/>
  <c r="BK174" i="14"/>
  <c r="Q149" i="14"/>
  <c r="Q150" i="14" s="1"/>
  <c r="Q174" i="14"/>
  <c r="AG144" i="14"/>
  <c r="AG145" i="14" s="1"/>
  <c r="AY174" i="14"/>
  <c r="AY149" i="14"/>
  <c r="AY150" i="14" s="1"/>
  <c r="W178" i="14"/>
  <c r="W187" i="14" s="1"/>
  <c r="W195" i="14" s="1"/>
  <c r="AC149" i="14"/>
  <c r="AC150" i="14" s="1"/>
  <c r="AC174" i="14"/>
  <c r="O174" i="14"/>
  <c r="O149" i="14"/>
  <c r="O150" i="14" s="1"/>
  <c r="BB149" i="14"/>
  <c r="BB150" i="14" s="1"/>
  <c r="BB174" i="14"/>
  <c r="R178" i="14"/>
  <c r="R187" i="14" s="1"/>
  <c r="R195" i="14" s="1"/>
  <c r="AQ149" i="14"/>
  <c r="AQ150" i="14" s="1"/>
  <c r="AQ174" i="14"/>
  <c r="R149" i="14"/>
  <c r="R150" i="14" s="1"/>
  <c r="R174" i="14"/>
  <c r="E41" i="5"/>
  <c r="BE244" i="8"/>
  <c r="BC151" i="14" s="1"/>
  <c r="AO244" i="8"/>
  <c r="AM151" i="14" s="1"/>
  <c r="Y244" i="8"/>
  <c r="W151" i="14" s="1"/>
  <c r="AZ244" i="8"/>
  <c r="AX151" i="14" s="1"/>
  <c r="AJ244" i="8"/>
  <c r="AH151" i="14" s="1"/>
  <c r="T244" i="8"/>
  <c r="R151" i="14" s="1"/>
  <c r="BK244" i="8"/>
  <c r="BI151" i="14" s="1"/>
  <c r="AU244" i="8"/>
  <c r="AS151" i="14" s="1"/>
  <c r="AE244" i="8"/>
  <c r="AC151" i="14" s="1"/>
  <c r="O244" i="8"/>
  <c r="M151" i="14" s="1"/>
  <c r="AT244" i="8"/>
  <c r="AR151" i="14" s="1"/>
  <c r="BF244" i="8"/>
  <c r="BD151" i="14" s="1"/>
  <c r="BN244" i="8"/>
  <c r="BL151" i="14" s="1"/>
  <c r="V244" i="8"/>
  <c r="T151" i="14" s="1"/>
  <c r="AX244" i="8"/>
  <c r="AV151" i="14" s="1"/>
  <c r="BA244" i="8"/>
  <c r="AY151" i="14" s="1"/>
  <c r="AK244" i="8"/>
  <c r="AI151" i="14" s="1"/>
  <c r="BL244" i="8"/>
  <c r="BJ151" i="14" s="1"/>
  <c r="AV244" i="8"/>
  <c r="AT151" i="14" s="1"/>
  <c r="AF244" i="8"/>
  <c r="AD151" i="14" s="1"/>
  <c r="P244" i="8"/>
  <c r="N151" i="14" s="1"/>
  <c r="BG244" i="8"/>
  <c r="BE151" i="14" s="1"/>
  <c r="AQ244" i="8"/>
  <c r="AO151" i="14" s="1"/>
  <c r="AA244" i="8"/>
  <c r="Y151" i="14" s="1"/>
  <c r="BM244" i="8"/>
  <c r="BK151" i="14" s="1"/>
  <c r="AW244" i="8"/>
  <c r="AU151" i="14" s="1"/>
  <c r="AG244" i="8"/>
  <c r="AE151" i="14" s="1"/>
  <c r="BH244" i="8"/>
  <c r="BF151" i="14" s="1"/>
  <c r="AR244" i="8"/>
  <c r="AP151" i="14" s="1"/>
  <c r="AB244" i="8"/>
  <c r="Z151" i="14" s="1"/>
  <c r="L244" i="8"/>
  <c r="J151" i="14" s="1"/>
  <c r="BC244" i="8"/>
  <c r="BA151" i="14" s="1"/>
  <c r="AM244" i="8"/>
  <c r="AK151" i="14" s="1"/>
  <c r="W244" i="8"/>
  <c r="U151" i="14" s="1"/>
  <c r="R244" i="8"/>
  <c r="P151" i="14" s="1"/>
  <c r="I244" i="8"/>
  <c r="AP244" i="8"/>
  <c r="AN151" i="14" s="1"/>
  <c r="BB244" i="8"/>
  <c r="AZ151" i="14" s="1"/>
  <c r="BD244" i="8"/>
  <c r="BB151" i="14" s="1"/>
  <c r="AY244" i="8"/>
  <c r="AW151" i="14" s="1"/>
  <c r="BJ244" i="8"/>
  <c r="BH151" i="14" s="1"/>
  <c r="N244" i="8"/>
  <c r="L151" i="14" s="1"/>
  <c r="AL244" i="8"/>
  <c r="AJ151" i="14" s="1"/>
  <c r="H244" i="8"/>
  <c r="Z244" i="8"/>
  <c r="X151" i="14" s="1"/>
  <c r="BI244" i="8"/>
  <c r="BG151" i="14" s="1"/>
  <c r="AN244" i="8"/>
  <c r="AL151" i="14" s="1"/>
  <c r="AI244" i="8"/>
  <c r="AG151" i="14" s="1"/>
  <c r="AD244" i="8"/>
  <c r="AB151" i="14" s="1"/>
  <c r="U244" i="8"/>
  <c r="S151" i="14" s="1"/>
  <c r="M244" i="8"/>
  <c r="K151" i="14" s="1"/>
  <c r="AH244" i="8"/>
  <c r="AF151" i="14" s="1"/>
  <c r="AS244" i="8"/>
  <c r="AQ151" i="14" s="1"/>
  <c r="X244" i="8"/>
  <c r="V151" i="14" s="1"/>
  <c r="S244" i="8"/>
  <c r="Q151" i="14" s="1"/>
  <c r="J244" i="8"/>
  <c r="Q244" i="8"/>
  <c r="O151" i="14" s="1"/>
  <c r="AC244" i="8"/>
  <c r="AA151" i="14" s="1"/>
  <c r="K244" i="8"/>
  <c r="N149" i="14"/>
  <c r="N150" i="14" s="1"/>
  <c r="N174" i="14"/>
  <c r="BI149" i="14"/>
  <c r="BI150" i="14" s="1"/>
  <c r="BI174" i="14"/>
  <c r="AG178" i="14"/>
  <c r="AG187" i="14" s="1"/>
  <c r="AG195" i="14" s="1"/>
  <c r="P174" i="14"/>
  <c r="P149" i="14"/>
  <c r="P150" i="14" s="1"/>
  <c r="BE178" i="14"/>
  <c r="BE187" i="14" s="1"/>
  <c r="BE195" i="14" s="1"/>
  <c r="BF130" i="14"/>
  <c r="BF134" i="14" s="1"/>
  <c r="BF135" i="14" s="1"/>
  <c r="BF139" i="14" s="1"/>
  <c r="BF140" i="14" s="1"/>
  <c r="BF144" i="14" s="1"/>
  <c r="BF145" i="14" s="1"/>
  <c r="BC249" i="8"/>
  <c r="BC250" i="8" s="1"/>
  <c r="BC255" i="8" s="1"/>
  <c r="G34" i="5"/>
  <c r="H35" i="5" s="1"/>
  <c r="G35" i="5" s="1"/>
  <c r="BJ273" i="8"/>
  <c r="BJ274" i="8" s="1"/>
  <c r="BG273" i="8"/>
  <c r="BG274" i="8" s="1"/>
  <c r="T273" i="8"/>
  <c r="T274" i="8" s="1"/>
  <c r="BD273" i="8"/>
  <c r="BD274" i="8" s="1"/>
  <c r="BK265" i="8"/>
  <c r="BK266" i="8" s="1"/>
  <c r="BK271" i="8" s="1"/>
  <c r="AJ265" i="8"/>
  <c r="AJ266" i="8" s="1"/>
  <c r="AJ271" i="8" s="1"/>
  <c r="AH249" i="8"/>
  <c r="AH250" i="8" s="1"/>
  <c r="AH255" i="8" s="1"/>
  <c r="AA249" i="8"/>
  <c r="AA250" i="8" s="1"/>
  <c r="AA255" i="8" s="1"/>
  <c r="Q249" i="8"/>
  <c r="Q250" i="8" s="1"/>
  <c r="Q255" i="8" s="1"/>
  <c r="AB249" i="8"/>
  <c r="AB250" i="8" s="1"/>
  <c r="AB255" i="8" s="1"/>
  <c r="AS249" i="8"/>
  <c r="AS250" i="8" s="1"/>
  <c r="AS255" i="8" s="1"/>
  <c r="AK249" i="8"/>
  <c r="AK250" i="8" s="1"/>
  <c r="AK255" i="8" s="1"/>
  <c r="X241" i="8"/>
  <c r="X242" i="8" s="1"/>
  <c r="X247" i="8" s="1"/>
  <c r="AD241" i="8"/>
  <c r="AD242" i="8" s="1"/>
  <c r="AD247" i="8" s="1"/>
  <c r="V241" i="8"/>
  <c r="V242" i="8" s="1"/>
  <c r="V247" i="8" s="1"/>
  <c r="AT241" i="8"/>
  <c r="AT242" i="8" s="1"/>
  <c r="AT247" i="8" s="1"/>
  <c r="U249" i="8"/>
  <c r="U250" i="8" s="1"/>
  <c r="U255" i="8" s="1"/>
  <c r="J249" i="8"/>
  <c r="J250" i="8" s="1"/>
  <c r="J255" i="8" s="1"/>
  <c r="AW249" i="8"/>
  <c r="AW250" i="8" s="1"/>
  <c r="AW255" i="8" s="1"/>
  <c r="AO242" i="8"/>
  <c r="AO247" i="8" s="1"/>
  <c r="W249" i="8"/>
  <c r="W250" i="8" s="1"/>
  <c r="W255" i="8" s="1"/>
  <c r="AF249" i="8"/>
  <c r="AF250" i="8" s="1"/>
  <c r="AF255" i="8" s="1"/>
  <c r="AN249" i="8"/>
  <c r="AN250" i="8" s="1"/>
  <c r="AN255" i="8" s="1"/>
  <c r="BF249" i="8"/>
  <c r="BF250" i="8" s="1"/>
  <c r="BF255" i="8" s="1"/>
  <c r="I242" i="8"/>
  <c r="I247" i="8" s="1"/>
  <c r="AM241" i="8"/>
  <c r="AM242" i="8" s="1"/>
  <c r="AM247" i="8" s="1"/>
  <c r="M249" i="8"/>
  <c r="M250" i="8" s="1"/>
  <c r="M255" i="8" s="1"/>
  <c r="BE241" i="8"/>
  <c r="BE242" i="8" s="1"/>
  <c r="BE247" i="8" s="1"/>
  <c r="AL241" i="8"/>
  <c r="AL242" i="8" s="1"/>
  <c r="AL247" i="8" s="1"/>
  <c r="Z249" i="8"/>
  <c r="Z250" i="8" s="1"/>
  <c r="Z255" i="8" s="1"/>
  <c r="K249" i="8"/>
  <c r="K250" i="8" s="1"/>
  <c r="K255" i="8" s="1"/>
  <c r="V174" i="14"/>
  <c r="V149" i="14"/>
  <c r="V150" i="14" s="1"/>
  <c r="AK174" i="14"/>
  <c r="AK149" i="14"/>
  <c r="AK150" i="14" s="1"/>
  <c r="BJ174" i="14"/>
  <c r="BJ149" i="14"/>
  <c r="BJ150" i="14" s="1"/>
  <c r="AB174" i="14"/>
  <c r="AB149" i="14"/>
  <c r="AB150" i="14" s="1"/>
  <c r="AR174" i="14"/>
  <c r="AR149" i="14"/>
  <c r="AR150" i="14" s="1"/>
  <c r="X174" i="14"/>
  <c r="X149" i="14"/>
  <c r="X150" i="14" s="1"/>
  <c r="T174" i="14"/>
  <c r="T149" i="14"/>
  <c r="T150" i="14" s="1"/>
  <c r="BL174" i="14"/>
  <c r="BL149" i="14"/>
  <c r="BL150" i="14" s="1"/>
  <c r="H144" i="14"/>
  <c r="H145" i="14" s="1"/>
  <c r="K191" i="14"/>
  <c r="K135" i="14"/>
  <c r="K139" i="14" s="1"/>
  <c r="K140" i="14" s="1"/>
  <c r="K144" i="14" s="1"/>
  <c r="H178" i="14"/>
  <c r="H187" i="14" s="1"/>
  <c r="H195" i="14" s="1"/>
  <c r="Y225" i="8"/>
  <c r="Y226" i="8" s="1"/>
  <c r="Y231" i="8" s="1"/>
  <c r="AQ233" i="8"/>
  <c r="AQ234" i="8" s="1"/>
  <c r="AQ239" i="8" s="1"/>
  <c r="AO144" i="14"/>
  <c r="AO145" i="14" s="1"/>
  <c r="AX233" i="8"/>
  <c r="AX234" i="8" s="1"/>
  <c r="AX239" i="8" s="1"/>
  <c r="AV144" i="14"/>
  <c r="AV145" i="14" s="1"/>
  <c r="AY233" i="8"/>
  <c r="AY234" i="8" s="1"/>
  <c r="AY239" i="8" s="1"/>
  <c r="AW144" i="14"/>
  <c r="AW145" i="14" s="1"/>
  <c r="I35" i="6"/>
  <c r="K37" i="5" s="1"/>
  <c r="J34" i="6"/>
  <c r="J36" i="5" s="1"/>
  <c r="AP119" i="14"/>
  <c r="AP120" i="14" s="1"/>
  <c r="AA114" i="14"/>
  <c r="AA115" i="14" s="1"/>
  <c r="AA119" i="14" s="1"/>
  <c r="AA120" i="14" s="1"/>
  <c r="AX89" i="14"/>
  <c r="F95" i="8" l="1"/>
  <c r="G89" i="21" a="1"/>
  <c r="G89" i="21" s="1"/>
  <c r="E90" i="8"/>
  <c r="G88" i="21" a="1"/>
  <c r="G88" i="21" s="1"/>
  <c r="E89" i="8"/>
  <c r="C243" i="21" a="1"/>
  <c r="C243" i="21" s="1"/>
  <c r="C94" i="21" a="1"/>
  <c r="C94" i="21" s="1"/>
  <c r="H97" i="8"/>
  <c r="AG263" i="8"/>
  <c r="AG265" i="8" s="1"/>
  <c r="AG266" i="8" s="1"/>
  <c r="AG271" i="8" s="1"/>
  <c r="AG273" i="8" s="1"/>
  <c r="AG274" i="8" s="1"/>
  <c r="BA263" i="8"/>
  <c r="BA265" i="8" s="1"/>
  <c r="BA266" i="8" s="1"/>
  <c r="BA271" i="8" s="1"/>
  <c r="BA273" i="8" s="1"/>
  <c r="BA274" i="8" s="1"/>
  <c r="AU263" i="8"/>
  <c r="AU265" i="8" s="1"/>
  <c r="AU266" i="8" s="1"/>
  <c r="AU271" i="8" s="1"/>
  <c r="AU273" i="8" s="1"/>
  <c r="AU274" i="8" s="1"/>
  <c r="AI263" i="8"/>
  <c r="AI265" i="8" s="1"/>
  <c r="AI266" i="8" s="1"/>
  <c r="AI271" i="8" s="1"/>
  <c r="AI273" i="8" s="1"/>
  <c r="AI274" i="8" s="1"/>
  <c r="AC263" i="8"/>
  <c r="AC265" i="8" s="1"/>
  <c r="AC266" i="8" s="1"/>
  <c r="AC271" i="8" s="1"/>
  <c r="AC273" i="8" s="1"/>
  <c r="AC274" i="8" s="1"/>
  <c r="N263" i="8"/>
  <c r="N265" i="8" s="1"/>
  <c r="N266" i="8" s="1"/>
  <c r="N271" i="8" s="1"/>
  <c r="N273" i="8" s="1"/>
  <c r="N274" i="8" s="1"/>
  <c r="BG154" i="14"/>
  <c r="BG155" i="14" s="1"/>
  <c r="I149" i="14"/>
  <c r="I150" i="14" s="1"/>
  <c r="G149" i="14"/>
  <c r="G150" i="14" s="1"/>
  <c r="I151" i="14"/>
  <c r="H151" i="14"/>
  <c r="G151" i="14"/>
  <c r="F151" i="14"/>
  <c r="Y154" i="14"/>
  <c r="Y155" i="14" s="1"/>
  <c r="U154" i="14"/>
  <c r="U155" i="14" s="1"/>
  <c r="E237" i="8"/>
  <c r="F74" i="14"/>
  <c r="F75" i="14" s="1"/>
  <c r="D70" i="14"/>
  <c r="Z154" i="14"/>
  <c r="Z155" i="14" s="1"/>
  <c r="AD154" i="14"/>
  <c r="AD155" i="14" s="1"/>
  <c r="BC154" i="14"/>
  <c r="BC155" i="14" s="1"/>
  <c r="AH154" i="14"/>
  <c r="AH155" i="14" s="1"/>
  <c r="AM154" i="14"/>
  <c r="AM155" i="14" s="1"/>
  <c r="AA257" i="8"/>
  <c r="AA258" i="8" s="1"/>
  <c r="AA263" i="8" s="1"/>
  <c r="K257" i="8"/>
  <c r="K258" i="8" s="1"/>
  <c r="K263" i="8" s="1"/>
  <c r="M257" i="8"/>
  <c r="M258" i="8" s="1"/>
  <c r="M263" i="8" s="1"/>
  <c r="AN257" i="8"/>
  <c r="AN258" i="8" s="1"/>
  <c r="AN263" i="8" s="1"/>
  <c r="AW257" i="8"/>
  <c r="AW258" i="8" s="1"/>
  <c r="AS257" i="8"/>
  <c r="AS258" i="8" s="1"/>
  <c r="AH257" i="8"/>
  <c r="AH258" i="8" s="1"/>
  <c r="AH263" i="8" s="1"/>
  <c r="BC257" i="8"/>
  <c r="BC258" i="8" s="1"/>
  <c r="P98" i="8"/>
  <c r="P103" i="8" s="1"/>
  <c r="AK257" i="8"/>
  <c r="AK258" i="8" s="1"/>
  <c r="Z257" i="8"/>
  <c r="Z258" i="8" s="1"/>
  <c r="Z263" i="8" s="1"/>
  <c r="AF257" i="8"/>
  <c r="AF258" i="8" s="1"/>
  <c r="AF263" i="8" s="1"/>
  <c r="J257" i="8"/>
  <c r="J258" i="8" s="1"/>
  <c r="J263" i="8" s="1"/>
  <c r="AB257" i="8"/>
  <c r="AB258" i="8" s="1"/>
  <c r="AB263" i="8" s="1"/>
  <c r="BF257" i="8"/>
  <c r="BF258" i="8" s="1"/>
  <c r="BF263" i="8" s="1"/>
  <c r="W257" i="8"/>
  <c r="W258" i="8" s="1"/>
  <c r="U257" i="8"/>
  <c r="U258" i="8" s="1"/>
  <c r="Q257" i="8"/>
  <c r="Q258" i="8" s="1"/>
  <c r="M154" i="14"/>
  <c r="M155" i="14" s="1"/>
  <c r="BI154" i="14"/>
  <c r="BI155" i="14" s="1"/>
  <c r="AN154" i="14"/>
  <c r="AN155" i="14" s="1"/>
  <c r="AE154" i="14"/>
  <c r="AE155" i="14" s="1"/>
  <c r="G252" i="8"/>
  <c r="F252" i="8"/>
  <c r="G251" i="21" s="1" a="1"/>
  <c r="G251" i="21" s="1"/>
  <c r="N154" i="14"/>
  <c r="N155" i="14" s="1"/>
  <c r="AL154" i="14"/>
  <c r="AL155" i="14" s="1"/>
  <c r="AI154" i="14"/>
  <c r="AI155" i="14" s="1"/>
  <c r="AT154" i="14"/>
  <c r="AT155" i="14" s="1"/>
  <c r="AF154" i="14"/>
  <c r="AF155" i="14" s="1"/>
  <c r="L154" i="14"/>
  <c r="L155" i="14" s="1"/>
  <c r="BH154" i="14"/>
  <c r="BH155" i="14" s="1"/>
  <c r="AZ154" i="14"/>
  <c r="AZ155" i="14" s="1"/>
  <c r="AU154" i="14"/>
  <c r="AU155" i="14" s="1"/>
  <c r="S154" i="14"/>
  <c r="S155" i="14" s="1"/>
  <c r="BD154" i="14"/>
  <c r="BD155" i="14" s="1"/>
  <c r="AS154" i="14"/>
  <c r="AS155" i="14" s="1"/>
  <c r="AJ154" i="14"/>
  <c r="AJ155" i="14" s="1"/>
  <c r="BA154" i="14"/>
  <c r="BA155" i="14" s="1"/>
  <c r="P154" i="14"/>
  <c r="P155" i="14" s="1"/>
  <c r="AQ154" i="14"/>
  <c r="AQ155" i="14" s="1"/>
  <c r="BB154" i="14"/>
  <c r="BB155" i="14" s="1"/>
  <c r="AC154" i="14"/>
  <c r="AC155" i="14" s="1"/>
  <c r="AG174" i="14"/>
  <c r="AG149" i="14"/>
  <c r="AG150" i="14" s="1"/>
  <c r="AG154" i="14" s="1"/>
  <c r="AG155" i="14" s="1"/>
  <c r="BF178" i="14"/>
  <c r="BF187" i="14" s="1"/>
  <c r="BF195" i="14" s="1"/>
  <c r="BE154" i="14"/>
  <c r="BE155" i="14" s="1"/>
  <c r="O154" i="14"/>
  <c r="O155" i="14" s="1"/>
  <c r="BK154" i="14"/>
  <c r="BK155" i="14" s="1"/>
  <c r="E42" i="5"/>
  <c r="BG252" i="8"/>
  <c r="BE156" i="14" s="1"/>
  <c r="AY252" i="8"/>
  <c r="AW156" i="14" s="1"/>
  <c r="AI252" i="8"/>
  <c r="AG156" i="14" s="1"/>
  <c r="S252" i="8"/>
  <c r="Q156" i="14" s="1"/>
  <c r="BN252" i="8"/>
  <c r="BL156" i="14" s="1"/>
  <c r="AX252" i="8"/>
  <c r="AV156" i="14" s="1"/>
  <c r="AH252" i="8"/>
  <c r="AF156" i="14" s="1"/>
  <c r="R252" i="8"/>
  <c r="P156" i="14" s="1"/>
  <c r="BI252" i="8"/>
  <c r="BG156" i="14" s="1"/>
  <c r="AS252" i="8"/>
  <c r="AQ156" i="14" s="1"/>
  <c r="AC252" i="8"/>
  <c r="AA156" i="14" s="1"/>
  <c r="M252" i="8"/>
  <c r="K156" i="14" s="1"/>
  <c r="X252" i="8"/>
  <c r="V156" i="14" s="1"/>
  <c r="AJ252" i="8"/>
  <c r="AH156" i="14" s="1"/>
  <c r="BL252" i="8"/>
  <c r="BJ156" i="14" s="1"/>
  <c r="AB252" i="8"/>
  <c r="Z156" i="14" s="1"/>
  <c r="AU252" i="8"/>
  <c r="AS156" i="14" s="1"/>
  <c r="AE252" i="8"/>
  <c r="AC156" i="14" s="1"/>
  <c r="O252" i="8"/>
  <c r="M156" i="14" s="1"/>
  <c r="BJ252" i="8"/>
  <c r="BH156" i="14" s="1"/>
  <c r="AT252" i="8"/>
  <c r="AR156" i="14" s="1"/>
  <c r="AD252" i="8"/>
  <c r="AB156" i="14" s="1"/>
  <c r="N252" i="8"/>
  <c r="L156" i="14" s="1"/>
  <c r="BE252" i="8"/>
  <c r="BC156" i="14" s="1"/>
  <c r="AO252" i="8"/>
  <c r="AM156" i="14" s="1"/>
  <c r="Y252" i="8"/>
  <c r="W156" i="14" s="1"/>
  <c r="I252" i="8"/>
  <c r="H252" i="8"/>
  <c r="T252" i="8"/>
  <c r="R156" i="14" s="1"/>
  <c r="AV252" i="8"/>
  <c r="AT156" i="14" s="1"/>
  <c r="BK252" i="8"/>
  <c r="BI156" i="14" s="1"/>
  <c r="AQ252" i="8"/>
  <c r="AO156" i="14" s="1"/>
  <c r="AA252" i="8"/>
  <c r="Y156" i="14" s="1"/>
  <c r="Y159" i="14" s="1"/>
  <c r="Y160" i="14" s="1"/>
  <c r="K252" i="8"/>
  <c r="BF252" i="8"/>
  <c r="BD156" i="14" s="1"/>
  <c r="AP252" i="8"/>
  <c r="AN156" i="14" s="1"/>
  <c r="Z252" i="8"/>
  <c r="X156" i="14" s="1"/>
  <c r="J252" i="8"/>
  <c r="BA252" i="8"/>
  <c r="AY156" i="14" s="1"/>
  <c r="AK252" i="8"/>
  <c r="AI156" i="14" s="1"/>
  <c r="U252" i="8"/>
  <c r="S156" i="14" s="1"/>
  <c r="BD252" i="8"/>
  <c r="BB156" i="14" s="1"/>
  <c r="AR252" i="8"/>
  <c r="AP156" i="14" s="1"/>
  <c r="BH252" i="8"/>
  <c r="BF156" i="14" s="1"/>
  <c r="AF252" i="8"/>
  <c r="AD156" i="14" s="1"/>
  <c r="AM252" i="8"/>
  <c r="AK156" i="14" s="1"/>
  <c r="AL252" i="8"/>
  <c r="AJ156" i="14" s="1"/>
  <c r="AG252" i="8"/>
  <c r="AE156" i="14" s="1"/>
  <c r="L252" i="8"/>
  <c r="J156" i="14" s="1"/>
  <c r="W252" i="8"/>
  <c r="U156" i="14" s="1"/>
  <c r="V252" i="8"/>
  <c r="T156" i="14" s="1"/>
  <c r="Q252" i="8"/>
  <c r="O156" i="14" s="1"/>
  <c r="P252" i="8"/>
  <c r="N156" i="14" s="1"/>
  <c r="BM252" i="8"/>
  <c r="BK156" i="14" s="1"/>
  <c r="AN252" i="8"/>
  <c r="AL156" i="14" s="1"/>
  <c r="BC252" i="8"/>
  <c r="BA156" i="14" s="1"/>
  <c r="BB252" i="8"/>
  <c r="AZ156" i="14" s="1"/>
  <c r="AW252" i="8"/>
  <c r="AU156" i="14" s="1"/>
  <c r="AZ252" i="8"/>
  <c r="AX156" i="14" s="1"/>
  <c r="R154" i="14"/>
  <c r="R155" i="14" s="1"/>
  <c r="AY154" i="14"/>
  <c r="AY155" i="14" s="1"/>
  <c r="J154" i="14"/>
  <c r="J155" i="14" s="1"/>
  <c r="BF149" i="14"/>
  <c r="BF150" i="14" s="1"/>
  <c r="BF154" i="14" s="1"/>
  <c r="BF155" i="14" s="1"/>
  <c r="BF174" i="14"/>
  <c r="E244" i="8"/>
  <c r="Q154" i="14"/>
  <c r="Q155" i="14" s="1"/>
  <c r="X249" i="8"/>
  <c r="X250" i="8" s="1"/>
  <c r="X255" i="8" s="1"/>
  <c r="V249" i="8"/>
  <c r="V250" i="8" s="1"/>
  <c r="V255" i="8" s="1"/>
  <c r="H36" i="5"/>
  <c r="G36" i="5" s="1"/>
  <c r="AJ273" i="8"/>
  <c r="AJ274" i="8" s="1"/>
  <c r="BK273" i="8"/>
  <c r="BK274" i="8" s="1"/>
  <c r="R265" i="8"/>
  <c r="R266" i="8" s="1"/>
  <c r="R271" i="8" s="1"/>
  <c r="AP265" i="8"/>
  <c r="AP266" i="8" s="1"/>
  <c r="AP271" i="8" s="1"/>
  <c r="AZ265" i="8"/>
  <c r="AZ266" i="8" s="1"/>
  <c r="AZ271" i="8" s="1"/>
  <c r="L265" i="8"/>
  <c r="L266" i="8" s="1"/>
  <c r="L271" i="8" s="1"/>
  <c r="AM249" i="8"/>
  <c r="AM250" i="8" s="1"/>
  <c r="AM255" i="8" s="1"/>
  <c r="BL154" i="14"/>
  <c r="BL155" i="14" s="1"/>
  <c r="AK154" i="14"/>
  <c r="AK155" i="14" s="1"/>
  <c r="AB154" i="14"/>
  <c r="AB155" i="14" s="1"/>
  <c r="T154" i="14"/>
  <c r="T155" i="14" s="1"/>
  <c r="AR154" i="14"/>
  <c r="AR155" i="14" s="1"/>
  <c r="BJ154" i="14"/>
  <c r="BJ155" i="14" s="1"/>
  <c r="V154" i="14"/>
  <c r="V155" i="14" s="1"/>
  <c r="X154" i="14"/>
  <c r="X155" i="14" s="1"/>
  <c r="AT249" i="8"/>
  <c r="AT250" i="8" s="1"/>
  <c r="AT255" i="8" s="1"/>
  <c r="AD249" i="8"/>
  <c r="AD250" i="8" s="1"/>
  <c r="AD255" i="8" s="1"/>
  <c r="I249" i="8"/>
  <c r="I250" i="8" s="1"/>
  <c r="I255" i="8" s="1"/>
  <c r="AL249" i="8"/>
  <c r="AL250" i="8" s="1"/>
  <c r="AL255" i="8" s="1"/>
  <c r="AX241" i="8"/>
  <c r="AX242" i="8" s="1"/>
  <c r="AX247" i="8" s="1"/>
  <c r="BE249" i="8"/>
  <c r="BE250" i="8" s="1"/>
  <c r="BE255" i="8" s="1"/>
  <c r="AO249" i="8"/>
  <c r="AO250" i="8" s="1"/>
  <c r="AO255" i="8" s="1"/>
  <c r="AY241" i="8"/>
  <c r="AY242" i="8" s="1"/>
  <c r="AY247" i="8" s="1"/>
  <c r="AV174" i="14"/>
  <c r="AV149" i="14"/>
  <c r="AV150" i="14" s="1"/>
  <c r="AW174" i="14"/>
  <c r="AW149" i="14"/>
  <c r="AW150" i="14" s="1"/>
  <c r="AO174" i="14"/>
  <c r="AO149" i="14"/>
  <c r="AO150" i="14" s="1"/>
  <c r="H174" i="14"/>
  <c r="H149" i="14"/>
  <c r="H150" i="14" s="1"/>
  <c r="K145" i="14"/>
  <c r="K178" i="14"/>
  <c r="K187" i="14" s="1"/>
  <c r="K195" i="14" s="1"/>
  <c r="Y233" i="8"/>
  <c r="Y234" i="8" s="1"/>
  <c r="Y239" i="8" s="1"/>
  <c r="AA124" i="14"/>
  <c r="AA125" i="14" s="1"/>
  <c r="AR193" i="8"/>
  <c r="AR194" i="8" s="1"/>
  <c r="AR199" i="8" s="1"/>
  <c r="AP124" i="14"/>
  <c r="I36" i="6"/>
  <c r="K38" i="5" s="1"/>
  <c r="J35" i="6"/>
  <c r="J37" i="5" s="1"/>
  <c r="AX90" i="14"/>
  <c r="G94" i="21" l="1" a="1"/>
  <c r="G94" i="21" s="1"/>
  <c r="F97" i="8"/>
  <c r="E95" i="8"/>
  <c r="C251" i="21" a="1"/>
  <c r="C251" i="21" s="1"/>
  <c r="C96" i="21" a="1"/>
  <c r="C96" i="21" s="1"/>
  <c r="H98" i="8"/>
  <c r="W263" i="8"/>
  <c r="W265" i="8" s="1"/>
  <c r="W266" i="8" s="1"/>
  <c r="W271" i="8" s="1"/>
  <c r="W273" i="8" s="1"/>
  <c r="W274" i="8" s="1"/>
  <c r="AW263" i="8"/>
  <c r="AW265" i="8" s="1"/>
  <c r="AW266" i="8" s="1"/>
  <c r="AW271" i="8" s="1"/>
  <c r="AW273" i="8" s="1"/>
  <c r="AW274" i="8" s="1"/>
  <c r="BC263" i="8"/>
  <c r="BC265" i="8" s="1"/>
  <c r="BC266" i="8" s="1"/>
  <c r="BC271" i="8" s="1"/>
  <c r="BC273" i="8" s="1"/>
  <c r="BC274" i="8" s="1"/>
  <c r="Q263" i="8"/>
  <c r="Q265" i="8" s="1"/>
  <c r="AK263" i="8"/>
  <c r="AK265" i="8" s="1"/>
  <c r="AK266" i="8" s="1"/>
  <c r="AK271" i="8" s="1"/>
  <c r="AK273" i="8" s="1"/>
  <c r="AK274" i="8" s="1"/>
  <c r="U263" i="8"/>
  <c r="U265" i="8" s="1"/>
  <c r="U266" i="8" s="1"/>
  <c r="U271" i="8" s="1"/>
  <c r="U273" i="8" s="1"/>
  <c r="U274" i="8" s="1"/>
  <c r="AS263" i="8"/>
  <c r="AS265" i="8" s="1"/>
  <c r="AS266" i="8" s="1"/>
  <c r="AS271" i="8" s="1"/>
  <c r="AS273" i="8" s="1"/>
  <c r="AS274" i="8" s="1"/>
  <c r="BG159" i="14"/>
  <c r="BG160" i="14" s="1"/>
  <c r="I154" i="14"/>
  <c r="I155" i="14" s="1"/>
  <c r="G154" i="14"/>
  <c r="G155" i="14" s="1"/>
  <c r="I156" i="14"/>
  <c r="H156" i="14"/>
  <c r="G156" i="14"/>
  <c r="F156" i="14"/>
  <c r="U159" i="14"/>
  <c r="U160" i="14" s="1"/>
  <c r="BI159" i="14"/>
  <c r="BI160" i="14" s="1"/>
  <c r="Z159" i="14"/>
  <c r="Z160" i="14" s="1"/>
  <c r="AD159" i="14"/>
  <c r="AD160" i="14" s="1"/>
  <c r="AN159" i="14"/>
  <c r="AN160" i="14" s="1"/>
  <c r="F79" i="14"/>
  <c r="D75" i="14"/>
  <c r="D74" i="14"/>
  <c r="AH159" i="14"/>
  <c r="AH160" i="14" s="1"/>
  <c r="BC159" i="14"/>
  <c r="BC160" i="14" s="1"/>
  <c r="AM159" i="14"/>
  <c r="AM160" i="14" s="1"/>
  <c r="M159" i="14"/>
  <c r="M160" i="14" s="1"/>
  <c r="M265" i="8"/>
  <c r="M266" i="8" s="1"/>
  <c r="M271" i="8" s="1"/>
  <c r="AD257" i="8"/>
  <c r="AD258" i="8" s="1"/>
  <c r="AD263" i="8" s="1"/>
  <c r="X257" i="8"/>
  <c r="X258" i="8" s="1"/>
  <c r="AT257" i="8"/>
  <c r="AT258" i="8" s="1"/>
  <c r="AT263" i="8" s="1"/>
  <c r="AL257" i="8"/>
  <c r="AL258" i="8" s="1"/>
  <c r="AL263" i="8" s="1"/>
  <c r="AM257" i="8"/>
  <c r="AM258" i="8" s="1"/>
  <c r="BE257" i="8"/>
  <c r="BE258" i="8" s="1"/>
  <c r="AO257" i="8"/>
  <c r="AO258" i="8" s="1"/>
  <c r="I257" i="8"/>
  <c r="I258" i="8" s="1"/>
  <c r="V257" i="8"/>
  <c r="V258" i="8" s="1"/>
  <c r="L159" i="14"/>
  <c r="L160" i="14" s="1"/>
  <c r="AS159" i="14"/>
  <c r="AS160" i="14" s="1"/>
  <c r="N159" i="14"/>
  <c r="N160" i="14" s="1"/>
  <c r="BF159" i="14"/>
  <c r="BF160" i="14" s="1"/>
  <c r="AT159" i="14"/>
  <c r="AT160" i="14" s="1"/>
  <c r="AE159" i="14"/>
  <c r="AE160" i="14" s="1"/>
  <c r="P159" i="14"/>
  <c r="P160" i="14" s="1"/>
  <c r="AL159" i="14"/>
  <c r="AL160" i="14" s="1"/>
  <c r="AF159" i="14"/>
  <c r="AF160" i="14" s="1"/>
  <c r="R159" i="14"/>
  <c r="R160" i="14" s="1"/>
  <c r="G260" i="8"/>
  <c r="F260" i="8"/>
  <c r="G259" i="21" s="1" a="1"/>
  <c r="G259" i="21" s="1"/>
  <c r="AI159" i="14"/>
  <c r="AI160" i="14" s="1"/>
  <c r="Q159" i="14"/>
  <c r="Q160" i="14" s="1"/>
  <c r="BH159" i="14"/>
  <c r="BH160" i="14" s="1"/>
  <c r="AZ159" i="14"/>
  <c r="AZ160" i="14" s="1"/>
  <c r="S159" i="14"/>
  <c r="S160" i="14" s="1"/>
  <c r="AU159" i="14"/>
  <c r="AU160" i="14" s="1"/>
  <c r="AJ159" i="14"/>
  <c r="AJ160" i="14" s="1"/>
  <c r="BD159" i="14"/>
  <c r="BD160" i="14" s="1"/>
  <c r="BA159" i="14"/>
  <c r="BA160" i="14" s="1"/>
  <c r="AQ159" i="14"/>
  <c r="AQ160" i="14" s="1"/>
  <c r="J159" i="14"/>
  <c r="J160" i="14" s="1"/>
  <c r="AG159" i="14"/>
  <c r="AG160" i="14" s="1"/>
  <c r="AY159" i="14"/>
  <c r="AY160" i="14" s="1"/>
  <c r="E252" i="8"/>
  <c r="E151" i="14"/>
  <c r="D151" i="14" s="1"/>
  <c r="E245" i="8"/>
  <c r="BK159" i="14"/>
  <c r="BK160" i="14" s="1"/>
  <c r="BE159" i="14"/>
  <c r="BE160" i="14" s="1"/>
  <c r="AC159" i="14"/>
  <c r="AC160" i="14" s="1"/>
  <c r="E43" i="5"/>
  <c r="BC260" i="8"/>
  <c r="BA161" i="14" s="1"/>
  <c r="AM260" i="8"/>
  <c r="AK161" i="14" s="1"/>
  <c r="W260" i="8"/>
  <c r="U161" i="14" s="1"/>
  <c r="AP260" i="8"/>
  <c r="AN161" i="14" s="1"/>
  <c r="BN260" i="8"/>
  <c r="BL161" i="14" s="1"/>
  <c r="BA260" i="8"/>
  <c r="AY161" i="14" s="1"/>
  <c r="AK260" i="8"/>
  <c r="AI161" i="14" s="1"/>
  <c r="U260" i="8"/>
  <c r="S161" i="14" s="1"/>
  <c r="O260" i="8"/>
  <c r="M161" i="14" s="1"/>
  <c r="Z260" i="8"/>
  <c r="X161" i="14" s="1"/>
  <c r="BD260" i="8"/>
  <c r="BB161" i="14" s="1"/>
  <c r="AN260" i="8"/>
  <c r="AL161" i="14" s="1"/>
  <c r="X260" i="8"/>
  <c r="V161" i="14" s="1"/>
  <c r="H260" i="8"/>
  <c r="AD260" i="8"/>
  <c r="AB161" i="14" s="1"/>
  <c r="AY260" i="8"/>
  <c r="AW161" i="14" s="1"/>
  <c r="AI260" i="8"/>
  <c r="AG161" i="14" s="1"/>
  <c r="S260" i="8"/>
  <c r="Q161" i="14" s="1"/>
  <c r="AH260" i="8"/>
  <c r="AF161" i="14" s="1"/>
  <c r="BM260" i="8"/>
  <c r="BK161" i="14" s="1"/>
  <c r="AW260" i="8"/>
  <c r="AU161" i="14" s="1"/>
  <c r="AG260" i="8"/>
  <c r="AE161" i="14" s="1"/>
  <c r="Q260" i="8"/>
  <c r="O161" i="14" s="1"/>
  <c r="BJ260" i="8"/>
  <c r="BH161" i="14" s="1"/>
  <c r="N260" i="8"/>
  <c r="L161" i="14" s="1"/>
  <c r="AZ260" i="8"/>
  <c r="AX161" i="14" s="1"/>
  <c r="AJ260" i="8"/>
  <c r="AH161" i="14" s="1"/>
  <c r="T260" i="8"/>
  <c r="R161" i="14" s="1"/>
  <c r="V260" i="8"/>
  <c r="T161" i="14" s="1"/>
  <c r="BK260" i="8"/>
  <c r="BI161" i="14" s="1"/>
  <c r="AU260" i="8"/>
  <c r="AS161" i="14" s="1"/>
  <c r="AE260" i="8"/>
  <c r="AC161" i="14" s="1"/>
  <c r="K260" i="8"/>
  <c r="R260" i="8"/>
  <c r="P161" i="14" s="1"/>
  <c r="BI260" i="8"/>
  <c r="BG161" i="14" s="1"/>
  <c r="AS260" i="8"/>
  <c r="AQ161" i="14" s="1"/>
  <c r="AC260" i="8"/>
  <c r="AA161" i="14" s="1"/>
  <c r="M260" i="8"/>
  <c r="K161" i="14" s="1"/>
  <c r="AX260" i="8"/>
  <c r="AV161" i="14" s="1"/>
  <c r="BL260" i="8"/>
  <c r="BJ161" i="14" s="1"/>
  <c r="AV260" i="8"/>
  <c r="AT161" i="14" s="1"/>
  <c r="AF260" i="8"/>
  <c r="AD161" i="14" s="1"/>
  <c r="P260" i="8"/>
  <c r="N161" i="14" s="1"/>
  <c r="BB260" i="8"/>
  <c r="AZ161" i="14" s="1"/>
  <c r="BF260" i="8"/>
  <c r="BD161" i="14" s="1"/>
  <c r="Y260" i="8"/>
  <c r="W161" i="14" s="1"/>
  <c r="AR260" i="8"/>
  <c r="AP161" i="14" s="1"/>
  <c r="BG260" i="8"/>
  <c r="BE161" i="14" s="1"/>
  <c r="J260" i="8"/>
  <c r="I260" i="8"/>
  <c r="AB260" i="8"/>
  <c r="Z161" i="14" s="1"/>
  <c r="AQ260" i="8"/>
  <c r="AO161" i="14" s="1"/>
  <c r="BE260" i="8"/>
  <c r="BC161" i="14" s="1"/>
  <c r="AL260" i="8"/>
  <c r="AJ161" i="14" s="1"/>
  <c r="L260" i="8"/>
  <c r="J161" i="14" s="1"/>
  <c r="BH260" i="8"/>
  <c r="BF161" i="14" s="1"/>
  <c r="AT260" i="8"/>
  <c r="AR161" i="14" s="1"/>
  <c r="AA260" i="8"/>
  <c r="Y161" i="14" s="1"/>
  <c r="Y164" i="14" s="1"/>
  <c r="Y165" i="14" s="1"/>
  <c r="AO260" i="8"/>
  <c r="AM161" i="14" s="1"/>
  <c r="O159" i="14"/>
  <c r="O160" i="14" s="1"/>
  <c r="BB159" i="14"/>
  <c r="BB160" i="14" s="1"/>
  <c r="H37" i="5"/>
  <c r="G37" i="5" s="1"/>
  <c r="AP273" i="8"/>
  <c r="AP274" i="8" s="1"/>
  <c r="L273" i="8"/>
  <c r="L274" i="8" s="1"/>
  <c r="AZ273" i="8"/>
  <c r="AZ274" i="8" s="1"/>
  <c r="O169" i="14"/>
  <c r="O170" i="14" s="1"/>
  <c r="J265" i="8"/>
  <c r="J266" i="8" s="1"/>
  <c r="J271" i="8" s="1"/>
  <c r="AH265" i="8"/>
  <c r="AH266" i="8" s="1"/>
  <c r="AH271" i="8" s="1"/>
  <c r="AF265" i="8"/>
  <c r="AF266" i="8" s="1"/>
  <c r="AF271" i="8" s="1"/>
  <c r="AA265" i="8"/>
  <c r="AA266" i="8" s="1"/>
  <c r="AA271" i="8" s="1"/>
  <c r="Z265" i="8"/>
  <c r="Z266" i="8" s="1"/>
  <c r="Z271" i="8" s="1"/>
  <c r="BF265" i="8"/>
  <c r="BF266" i="8" s="1"/>
  <c r="BF271" i="8" s="1"/>
  <c r="K265" i="8"/>
  <c r="K266" i="8" s="1"/>
  <c r="K271" i="8" s="1"/>
  <c r="AB265" i="8"/>
  <c r="AB266" i="8" s="1"/>
  <c r="AB271" i="8" s="1"/>
  <c r="AN265" i="8"/>
  <c r="AN266" i="8" s="1"/>
  <c r="AN271" i="8" s="1"/>
  <c r="AK159" i="14"/>
  <c r="AK160" i="14" s="1"/>
  <c r="V159" i="14"/>
  <c r="V160" i="14" s="1"/>
  <c r="AB159" i="14"/>
  <c r="AB160" i="14" s="1"/>
  <c r="BJ159" i="14"/>
  <c r="BJ160" i="14" s="1"/>
  <c r="AR159" i="14"/>
  <c r="AR160" i="14" s="1"/>
  <c r="X159" i="14"/>
  <c r="X160" i="14" s="1"/>
  <c r="T159" i="14"/>
  <c r="T160" i="14" s="1"/>
  <c r="BL159" i="14"/>
  <c r="BL160" i="14" s="1"/>
  <c r="AO154" i="14"/>
  <c r="AO155" i="14" s="1"/>
  <c r="AV154" i="14"/>
  <c r="AV155" i="14" s="1"/>
  <c r="H154" i="14"/>
  <c r="H155" i="14" s="1"/>
  <c r="AW154" i="14"/>
  <c r="AW155" i="14" s="1"/>
  <c r="AX249" i="8"/>
  <c r="AX250" i="8" s="1"/>
  <c r="AX255" i="8" s="1"/>
  <c r="AY249" i="8"/>
  <c r="AY250" i="8" s="1"/>
  <c r="AY255" i="8" s="1"/>
  <c r="W149" i="14"/>
  <c r="W150" i="14" s="1"/>
  <c r="AQ241" i="8"/>
  <c r="AQ242" i="8" s="1"/>
  <c r="AQ247" i="8" s="1"/>
  <c r="K174" i="14"/>
  <c r="K149" i="14"/>
  <c r="K150" i="14" s="1"/>
  <c r="AP125" i="14"/>
  <c r="AP129" i="14" s="1"/>
  <c r="AA129" i="14"/>
  <c r="I37" i="6"/>
  <c r="K39" i="5" s="1"/>
  <c r="J36" i="6"/>
  <c r="J38" i="5" s="1"/>
  <c r="AX94" i="14"/>
  <c r="G96" i="21" l="1" a="1"/>
  <c r="G96" i="21" s="1"/>
  <c r="E97" i="8"/>
  <c r="F98" i="8"/>
  <c r="C97" i="21" a="1"/>
  <c r="C97" i="21" s="1"/>
  <c r="H103" i="8"/>
  <c r="C259" i="21" a="1"/>
  <c r="C259" i="21" s="1"/>
  <c r="BG164" i="14"/>
  <c r="BG165" i="14" s="1"/>
  <c r="V263" i="8"/>
  <c r="V265" i="8" s="1"/>
  <c r="V266" i="8" s="1"/>
  <c r="V271" i="8" s="1"/>
  <c r="V273" i="8" s="1"/>
  <c r="V274" i="8" s="1"/>
  <c r="AM263" i="8"/>
  <c r="AM265" i="8" s="1"/>
  <c r="AM266" i="8" s="1"/>
  <c r="AM271" i="8" s="1"/>
  <c r="AM273" i="8" s="1"/>
  <c r="AM274" i="8" s="1"/>
  <c r="AO263" i="8"/>
  <c r="AO265" i="8" s="1"/>
  <c r="AO266" i="8" s="1"/>
  <c r="AO271" i="8" s="1"/>
  <c r="AO273" i="8" s="1"/>
  <c r="AO274" i="8" s="1"/>
  <c r="BE263" i="8"/>
  <c r="BE265" i="8" s="1"/>
  <c r="BE266" i="8" s="1"/>
  <c r="BE271" i="8" s="1"/>
  <c r="BE273" i="8" s="1"/>
  <c r="BE274" i="8" s="1"/>
  <c r="X263" i="8"/>
  <c r="X265" i="8" s="1"/>
  <c r="X266" i="8" s="1"/>
  <c r="X271" i="8" s="1"/>
  <c r="X273" i="8" s="1"/>
  <c r="X274" i="8" s="1"/>
  <c r="U164" i="14"/>
  <c r="U165" i="14" s="1"/>
  <c r="I159" i="14"/>
  <c r="I160" i="14" s="1"/>
  <c r="G159" i="14"/>
  <c r="G160" i="14" s="1"/>
  <c r="I161" i="14"/>
  <c r="H161" i="14"/>
  <c r="G161" i="14"/>
  <c r="I263" i="8"/>
  <c r="I265" i="8" s="1"/>
  <c r="I266" i="8" s="1"/>
  <c r="I271" i="8" s="1"/>
  <c r="F161" i="14"/>
  <c r="AD164" i="14"/>
  <c r="AD165" i="14" s="1"/>
  <c r="AR164" i="14"/>
  <c r="AR165" i="14" s="1"/>
  <c r="BI164" i="14"/>
  <c r="BI165" i="14" s="1"/>
  <c r="Z164" i="14"/>
  <c r="Z165" i="14" s="1"/>
  <c r="AN164" i="14"/>
  <c r="AN165" i="14" s="1"/>
  <c r="AM164" i="14"/>
  <c r="AM165" i="14" s="1"/>
  <c r="N164" i="14"/>
  <c r="N165" i="14" s="1"/>
  <c r="L164" i="14"/>
  <c r="L165" i="14" s="1"/>
  <c r="F80" i="14"/>
  <c r="D79" i="14"/>
  <c r="BC164" i="14"/>
  <c r="BC165" i="14" s="1"/>
  <c r="BJ164" i="14"/>
  <c r="BJ165" i="14" s="1"/>
  <c r="M164" i="14"/>
  <c r="M165" i="14" s="1"/>
  <c r="AS164" i="14"/>
  <c r="AS165" i="14" s="1"/>
  <c r="AI164" i="14"/>
  <c r="AI165" i="14" s="1"/>
  <c r="M273" i="8"/>
  <c r="M274" i="8" s="1"/>
  <c r="AX257" i="8"/>
  <c r="AX258" i="8" s="1"/>
  <c r="AX263" i="8" s="1"/>
  <c r="AY257" i="8"/>
  <c r="AY258" i="8" s="1"/>
  <c r="P105" i="8"/>
  <c r="BF164" i="14"/>
  <c r="BF165" i="14" s="1"/>
  <c r="AL164" i="14"/>
  <c r="AL165" i="14" s="1"/>
  <c r="S164" i="14"/>
  <c r="S165" i="14" s="1"/>
  <c r="AT164" i="14"/>
  <c r="AT165" i="14" s="1"/>
  <c r="BL164" i="14"/>
  <c r="BL165" i="14" s="1"/>
  <c r="AE164" i="14"/>
  <c r="AE165" i="14" s="1"/>
  <c r="AK164" i="14"/>
  <c r="AK165" i="14" s="1"/>
  <c r="AF164" i="14"/>
  <c r="AF165" i="14" s="1"/>
  <c r="R164" i="14"/>
  <c r="R165" i="14" s="1"/>
  <c r="AU164" i="14"/>
  <c r="AU165" i="14" s="1"/>
  <c r="G268" i="8"/>
  <c r="F268" i="8"/>
  <c r="G267" i="21" s="1" a="1"/>
  <c r="G267" i="21" s="1"/>
  <c r="BH164" i="14"/>
  <c r="BH165" i="14" s="1"/>
  <c r="AZ164" i="14"/>
  <c r="AZ165" i="14" s="1"/>
  <c r="AB164" i="14"/>
  <c r="AB165" i="14" s="1"/>
  <c r="BD164" i="14"/>
  <c r="BD165" i="14" s="1"/>
  <c r="BA164" i="14"/>
  <c r="BA165" i="14" s="1"/>
  <c r="AJ164" i="14"/>
  <c r="AJ165" i="14" s="1"/>
  <c r="O164" i="14"/>
  <c r="V164" i="14"/>
  <c r="V165" i="14" s="1"/>
  <c r="T164" i="14"/>
  <c r="T165" i="14" s="1"/>
  <c r="X164" i="14"/>
  <c r="X165" i="14" s="1"/>
  <c r="P164" i="14"/>
  <c r="P165" i="14" s="1"/>
  <c r="Q164" i="14"/>
  <c r="Q165" i="14" s="1"/>
  <c r="E156" i="14"/>
  <c r="D156" i="14" s="1"/>
  <c r="E253" i="8"/>
  <c r="AH164" i="14"/>
  <c r="AH165" i="14" s="1"/>
  <c r="J164" i="14"/>
  <c r="J165" i="14" s="1"/>
  <c r="BB164" i="14"/>
  <c r="BB165" i="14" s="1"/>
  <c r="AC164" i="14"/>
  <c r="AC165" i="14" s="1"/>
  <c r="AY164" i="14"/>
  <c r="AY165" i="14" s="1"/>
  <c r="AQ164" i="14"/>
  <c r="AQ165" i="14" s="1"/>
  <c r="E260" i="8"/>
  <c r="BE164" i="14"/>
  <c r="BE165" i="14" s="1"/>
  <c r="AG164" i="14"/>
  <c r="AG165" i="14" s="1"/>
  <c r="BG268" i="8"/>
  <c r="BE166" i="14" s="1"/>
  <c r="AQ268" i="8"/>
  <c r="AO166" i="14" s="1"/>
  <c r="AA268" i="8"/>
  <c r="Y166" i="14" s="1"/>
  <c r="Y169" i="14" s="1"/>
  <c r="Y170" i="14" s="1"/>
  <c r="K268" i="8"/>
  <c r="AB268" i="8"/>
  <c r="Z166" i="14" s="1"/>
  <c r="BF268" i="8"/>
  <c r="BD166" i="14" s="1"/>
  <c r="AP268" i="8"/>
  <c r="AN166" i="14" s="1"/>
  <c r="Z268" i="8"/>
  <c r="X166" i="14" s="1"/>
  <c r="J268" i="8"/>
  <c r="T268" i="8"/>
  <c r="R166" i="14" s="1"/>
  <c r="BE268" i="8"/>
  <c r="BC166" i="14" s="1"/>
  <c r="AO268" i="8"/>
  <c r="AM166" i="14" s="1"/>
  <c r="Y268" i="8"/>
  <c r="W166" i="14" s="1"/>
  <c r="I268" i="8"/>
  <c r="X268" i="8"/>
  <c r="V166" i="14" s="1"/>
  <c r="BC268" i="8"/>
  <c r="BA166" i="14" s="1"/>
  <c r="AM268" i="8"/>
  <c r="AK166" i="14" s="1"/>
  <c r="W268" i="8"/>
  <c r="U166" i="14" s="1"/>
  <c r="BH268" i="8"/>
  <c r="BF166" i="14" s="1"/>
  <c r="L268" i="8"/>
  <c r="J166" i="14" s="1"/>
  <c r="BB268" i="8"/>
  <c r="AZ166" i="14" s="1"/>
  <c r="AL268" i="8"/>
  <c r="AJ166" i="14" s="1"/>
  <c r="V268" i="8"/>
  <c r="T166" i="14" s="1"/>
  <c r="BD268" i="8"/>
  <c r="BB166" i="14" s="1"/>
  <c r="H268" i="8"/>
  <c r="BA268" i="8"/>
  <c r="AY166" i="14" s="1"/>
  <c r="AK268" i="8"/>
  <c r="AI166" i="14" s="1"/>
  <c r="U268" i="8"/>
  <c r="S166" i="14" s="1"/>
  <c r="BL268" i="8"/>
  <c r="BJ166" i="14" s="1"/>
  <c r="P268" i="8"/>
  <c r="N166" i="14" s="1"/>
  <c r="AY268" i="8"/>
  <c r="AW166" i="14" s="1"/>
  <c r="AI268" i="8"/>
  <c r="AG166" i="14" s="1"/>
  <c r="S268" i="8"/>
  <c r="Q166" i="14" s="1"/>
  <c r="AZ268" i="8"/>
  <c r="AX166" i="14" s="1"/>
  <c r="BN268" i="8"/>
  <c r="BL166" i="14" s="1"/>
  <c r="AX268" i="8"/>
  <c r="AV166" i="14" s="1"/>
  <c r="AH268" i="8"/>
  <c r="AF166" i="14" s="1"/>
  <c r="R268" i="8"/>
  <c r="P166" i="14" s="1"/>
  <c r="AR268" i="8"/>
  <c r="AP166" i="14" s="1"/>
  <c r="BM268" i="8"/>
  <c r="BK166" i="14" s="1"/>
  <c r="AW268" i="8"/>
  <c r="AU166" i="14" s="1"/>
  <c r="AG268" i="8"/>
  <c r="AE166" i="14" s="1"/>
  <c r="Q268" i="8"/>
  <c r="AV268" i="8"/>
  <c r="AT166" i="14" s="1"/>
  <c r="AE268" i="8"/>
  <c r="AC166" i="14" s="1"/>
  <c r="AT268" i="8"/>
  <c r="AR166" i="14" s="1"/>
  <c r="BI268" i="8"/>
  <c r="BG166" i="14" s="1"/>
  <c r="AF268" i="8"/>
  <c r="AD166" i="14" s="1"/>
  <c r="O268" i="8"/>
  <c r="M166" i="14" s="1"/>
  <c r="AD268" i="8"/>
  <c r="AB166" i="14" s="1"/>
  <c r="AS268" i="8"/>
  <c r="AQ166" i="14" s="1"/>
  <c r="BK268" i="8"/>
  <c r="BI166" i="14" s="1"/>
  <c r="AN268" i="8"/>
  <c r="AL166" i="14" s="1"/>
  <c r="N268" i="8"/>
  <c r="L166" i="14" s="1"/>
  <c r="AC268" i="8"/>
  <c r="AA166" i="14" s="1"/>
  <c r="AJ268" i="8"/>
  <c r="AH166" i="14" s="1"/>
  <c r="M268" i="8"/>
  <c r="K166" i="14" s="1"/>
  <c r="AU268" i="8"/>
  <c r="AS166" i="14" s="1"/>
  <c r="BJ268" i="8"/>
  <c r="BH166" i="14" s="1"/>
  <c r="E44" i="5"/>
  <c r="E45" i="5" s="1"/>
  <c r="E46" i="5" s="1"/>
  <c r="E47" i="5" s="1"/>
  <c r="E48" i="5" s="1"/>
  <c r="E49" i="5" s="1"/>
  <c r="E50" i="5" s="1"/>
  <c r="E51" i="5" s="1"/>
  <c r="BK164" i="14"/>
  <c r="BK165" i="14" s="1"/>
  <c r="H38" i="5"/>
  <c r="G38" i="5" s="1"/>
  <c r="Z273" i="8"/>
  <c r="Z274" i="8" s="1"/>
  <c r="AF273" i="8"/>
  <c r="AF274" i="8" s="1"/>
  <c r="AA273" i="8"/>
  <c r="AA274" i="8" s="1"/>
  <c r="AH273" i="8"/>
  <c r="AH274" i="8" s="1"/>
  <c r="AB273" i="8"/>
  <c r="AB274" i="8" s="1"/>
  <c r="BF273" i="8"/>
  <c r="BF274" i="8" s="1"/>
  <c r="J273" i="8"/>
  <c r="J274" i="8" s="1"/>
  <c r="R273" i="8"/>
  <c r="R274" i="8" s="1"/>
  <c r="AN273" i="8"/>
  <c r="AN274" i="8" s="1"/>
  <c r="K273" i="8"/>
  <c r="K274" i="8" s="1"/>
  <c r="AD265" i="8"/>
  <c r="AD266" i="8" s="1"/>
  <c r="AD271" i="8" s="1"/>
  <c r="AL265" i="8"/>
  <c r="AL266" i="8" s="1"/>
  <c r="AL271" i="8" s="1"/>
  <c r="AT265" i="8"/>
  <c r="AT266" i="8" s="1"/>
  <c r="AT271" i="8" s="1"/>
  <c r="AW159" i="14"/>
  <c r="AW160" i="14" s="1"/>
  <c r="AW164" i="14" s="1"/>
  <c r="H159" i="14"/>
  <c r="H160" i="14" s="1"/>
  <c r="AV159" i="14"/>
  <c r="AV160" i="14" s="1"/>
  <c r="AV164" i="14" s="1"/>
  <c r="AO159" i="14"/>
  <c r="AO160" i="14" s="1"/>
  <c r="AO164" i="14" s="1"/>
  <c r="W154" i="14"/>
  <c r="W155" i="14" s="1"/>
  <c r="K154" i="14"/>
  <c r="K155" i="14" s="1"/>
  <c r="Y241" i="8"/>
  <c r="Y242" i="8" s="1"/>
  <c r="Y247" i="8" s="1"/>
  <c r="AQ249" i="8"/>
  <c r="AQ250" i="8" s="1"/>
  <c r="AQ255" i="8" s="1"/>
  <c r="AP130" i="14"/>
  <c r="AP134" i="14" s="1"/>
  <c r="AP135" i="14" s="1"/>
  <c r="AP139" i="14" s="1"/>
  <c r="AP140" i="14" s="1"/>
  <c r="AA130" i="14"/>
  <c r="AA134" i="14" s="1"/>
  <c r="AA135" i="14" s="1"/>
  <c r="AA139" i="14" s="1"/>
  <c r="AA140" i="14" s="1"/>
  <c r="AR201" i="8"/>
  <c r="AR202" i="8" s="1"/>
  <c r="AR207" i="8" s="1"/>
  <c r="I38" i="6"/>
  <c r="K40" i="5" s="1"/>
  <c r="J37" i="6"/>
  <c r="J39" i="5" s="1"/>
  <c r="AX95" i="14"/>
  <c r="F103" i="8" l="1"/>
  <c r="G97" i="21" a="1"/>
  <c r="G97" i="21" s="1"/>
  <c r="E98" i="8"/>
  <c r="C102" i="21" a="1"/>
  <c r="C102" i="21" s="1"/>
  <c r="H105" i="8"/>
  <c r="C267" i="21" a="1"/>
  <c r="C267" i="21" s="1"/>
  <c r="AY263" i="8"/>
  <c r="AY265" i="8" s="1"/>
  <c r="AY266" i="8" s="1"/>
  <c r="AY271" i="8" s="1"/>
  <c r="U169" i="14"/>
  <c r="U170" i="14" s="1"/>
  <c r="G164" i="14"/>
  <c r="G165" i="14" s="1"/>
  <c r="I164" i="14"/>
  <c r="I165" i="14" s="1"/>
  <c r="I166" i="14"/>
  <c r="H164" i="14"/>
  <c r="H165" i="14" s="1"/>
  <c r="H166" i="14"/>
  <c r="G166" i="14"/>
  <c r="F166" i="14"/>
  <c r="AD169" i="14"/>
  <c r="AD170" i="14" s="1"/>
  <c r="Z169" i="14"/>
  <c r="Z170" i="14" s="1"/>
  <c r="BC169" i="14"/>
  <c r="BC170" i="14" s="1"/>
  <c r="AM169" i="14"/>
  <c r="AM170" i="14" s="1"/>
  <c r="L169" i="14"/>
  <c r="L170" i="14" s="1"/>
  <c r="F84" i="14"/>
  <c r="D80" i="14"/>
  <c r="AL169" i="14"/>
  <c r="AL170" i="14" s="1"/>
  <c r="AQ257" i="8"/>
  <c r="AQ258" i="8" s="1"/>
  <c r="AQ263" i="8" s="1"/>
  <c r="P106" i="8"/>
  <c r="P111" i="8" s="1"/>
  <c r="S169" i="14"/>
  <c r="S170" i="14" s="1"/>
  <c r="AF169" i="14"/>
  <c r="AF170" i="14" s="1"/>
  <c r="AJ169" i="14"/>
  <c r="AJ170" i="14" s="1"/>
  <c r="BA169" i="14"/>
  <c r="BA170" i="14" s="1"/>
  <c r="BD169" i="14"/>
  <c r="BD170" i="14" s="1"/>
  <c r="BK169" i="14"/>
  <c r="BK170" i="14" s="1"/>
  <c r="AH169" i="14"/>
  <c r="AH170" i="14" s="1"/>
  <c r="BB169" i="14"/>
  <c r="BB170" i="14" s="1"/>
  <c r="BE169" i="14"/>
  <c r="BE170" i="14" s="1"/>
  <c r="AQ169" i="14"/>
  <c r="AQ170" i="14" s="1"/>
  <c r="J169" i="14"/>
  <c r="J170" i="14" s="1"/>
  <c r="Q169" i="14"/>
  <c r="Q170" i="14" s="1"/>
  <c r="AS169" i="14"/>
  <c r="AS170" i="14" s="1"/>
  <c r="AI169" i="14"/>
  <c r="AI170" i="14" s="1"/>
  <c r="BI169" i="14"/>
  <c r="BI170" i="14" s="1"/>
  <c r="R169" i="14"/>
  <c r="R170" i="14" s="1"/>
  <c r="AE169" i="14"/>
  <c r="AE170" i="14" s="1"/>
  <c r="P169" i="14"/>
  <c r="P170" i="14" s="1"/>
  <c r="AU169" i="14"/>
  <c r="AU170" i="14" s="1"/>
  <c r="M169" i="14"/>
  <c r="M170" i="14" s="1"/>
  <c r="AC169" i="14"/>
  <c r="AC170" i="14" s="1"/>
  <c r="BH169" i="14"/>
  <c r="BH170" i="14" s="1"/>
  <c r="AT169" i="14"/>
  <c r="AT170" i="14" s="1"/>
  <c r="AG169" i="14"/>
  <c r="AG170" i="14" s="1"/>
  <c r="AY169" i="14"/>
  <c r="AY170" i="14" s="1"/>
  <c r="AZ169" i="14"/>
  <c r="AZ170" i="14" s="1"/>
  <c r="E268" i="8"/>
  <c r="BG169" i="14"/>
  <c r="BG170" i="14" s="1"/>
  <c r="AN169" i="14"/>
  <c r="AN170" i="14" s="1"/>
  <c r="E261" i="8"/>
  <c r="E161" i="14"/>
  <c r="D161" i="14" s="1"/>
  <c r="BF169" i="14"/>
  <c r="BF170" i="14" s="1"/>
  <c r="N169" i="14"/>
  <c r="N170" i="14" s="1"/>
  <c r="H39" i="5"/>
  <c r="G39" i="5" s="1"/>
  <c r="I273" i="8"/>
  <c r="I274" i="8" s="1"/>
  <c r="AT273" i="8"/>
  <c r="AT274" i="8" s="1"/>
  <c r="AL273" i="8"/>
  <c r="AL274" i="8" s="1"/>
  <c r="AD273" i="8"/>
  <c r="AD274" i="8" s="1"/>
  <c r="AR169" i="14"/>
  <c r="AR170" i="14" s="1"/>
  <c r="T169" i="14"/>
  <c r="T170" i="14" s="1"/>
  <c r="V169" i="14"/>
  <c r="V170" i="14" s="1"/>
  <c r="BJ169" i="14"/>
  <c r="BJ170" i="14" s="1"/>
  <c r="X169" i="14"/>
  <c r="X170" i="14" s="1"/>
  <c r="BL169" i="14"/>
  <c r="BL170" i="14" s="1"/>
  <c r="AK169" i="14"/>
  <c r="AK170" i="14" s="1"/>
  <c r="AB169" i="14"/>
  <c r="AB170" i="14" s="1"/>
  <c r="AX265" i="8"/>
  <c r="AX266" i="8" s="1"/>
  <c r="AX271" i="8" s="1"/>
  <c r="AO165" i="14"/>
  <c r="AV165" i="14"/>
  <c r="AW165" i="14"/>
  <c r="K159" i="14"/>
  <c r="K160" i="14" s="1"/>
  <c r="K164" i="14" s="1"/>
  <c r="W159" i="14"/>
  <c r="W160" i="14" s="1"/>
  <c r="W164" i="14" s="1"/>
  <c r="Y250" i="8"/>
  <c r="Y255" i="8" s="1"/>
  <c r="AA144" i="14"/>
  <c r="AA145" i="14" s="1"/>
  <c r="AP144" i="14"/>
  <c r="AP145" i="14" s="1"/>
  <c r="AA178" i="14"/>
  <c r="AA187" i="14" s="1"/>
  <c r="AA195" i="14" s="1"/>
  <c r="AP178" i="14"/>
  <c r="AP187" i="14" s="1"/>
  <c r="AP195" i="14" s="1"/>
  <c r="I39" i="6"/>
  <c r="K41" i="5" s="1"/>
  <c r="J38" i="6"/>
  <c r="J40" i="5" s="1"/>
  <c r="AX99" i="14"/>
  <c r="G102" i="21" l="1" a="1"/>
  <c r="G102" i="21" s="1"/>
  <c r="F105" i="8"/>
  <c r="E103" i="8"/>
  <c r="C104" i="21" a="1"/>
  <c r="C104" i="21" s="1"/>
  <c r="H106" i="8"/>
  <c r="G169" i="14"/>
  <c r="G170" i="14" s="1"/>
  <c r="I169" i="14"/>
  <c r="I170" i="14" s="1"/>
  <c r="H169" i="14"/>
  <c r="H170" i="14" s="1"/>
  <c r="F85" i="14"/>
  <c r="D84" i="14"/>
  <c r="Y258" i="8"/>
  <c r="Y263" i="8" s="1"/>
  <c r="E269" i="8"/>
  <c r="E166" i="14"/>
  <c r="D166" i="14" s="1"/>
  <c r="H40" i="5"/>
  <c r="G40" i="5" s="1"/>
  <c r="AY273" i="8"/>
  <c r="AY274" i="8" s="1"/>
  <c r="AX273" i="8"/>
  <c r="AX274" i="8" s="1"/>
  <c r="AW169" i="14"/>
  <c r="AW170" i="14" s="1"/>
  <c r="AV169" i="14"/>
  <c r="AV170" i="14" s="1"/>
  <c r="AO169" i="14"/>
  <c r="AO170" i="14" s="1"/>
  <c r="AQ265" i="8"/>
  <c r="AQ266" i="8" s="1"/>
  <c r="AQ271" i="8" s="1"/>
  <c r="W165" i="14"/>
  <c r="K165" i="14"/>
  <c r="AP174" i="14"/>
  <c r="AA174" i="14"/>
  <c r="AA149" i="14"/>
  <c r="AA150" i="14" s="1"/>
  <c r="AR209" i="8"/>
  <c r="AR210" i="8" s="1"/>
  <c r="AR215" i="8" s="1"/>
  <c r="I40" i="6"/>
  <c r="K42" i="5" s="1"/>
  <c r="J39" i="6"/>
  <c r="J41" i="5" s="1"/>
  <c r="AX100" i="14"/>
  <c r="G104" i="21" l="1" a="1"/>
  <c r="G104" i="21" s="1"/>
  <c r="E105" i="8"/>
  <c r="F106" i="8"/>
  <c r="E106" i="8" s="1"/>
  <c r="C105" i="21" a="1"/>
  <c r="C105" i="21" s="1"/>
  <c r="H111" i="8"/>
  <c r="F89" i="14"/>
  <c r="D85" i="14"/>
  <c r="Y265" i="8"/>
  <c r="Y266" i="8" s="1"/>
  <c r="P113" i="8"/>
  <c r="H41" i="5"/>
  <c r="G41" i="5" s="1"/>
  <c r="AQ273" i="8"/>
  <c r="AQ274" i="8" s="1"/>
  <c r="K169" i="14"/>
  <c r="K170" i="14" s="1"/>
  <c r="W169" i="14"/>
  <c r="W170" i="14" s="1"/>
  <c r="AA154" i="14"/>
  <c r="AA155" i="14" s="1"/>
  <c r="I41" i="6"/>
  <c r="K43" i="5" s="1"/>
  <c r="J40" i="6"/>
  <c r="J42" i="5" s="1"/>
  <c r="AX104" i="14"/>
  <c r="F111" i="8" l="1"/>
  <c r="G105" i="21" a="1"/>
  <c r="G105" i="21" s="1"/>
  <c r="C110" i="21" a="1"/>
  <c r="C110" i="21" s="1"/>
  <c r="H113" i="8"/>
  <c r="E111" i="8"/>
  <c r="Y271" i="8"/>
  <c r="Y273" i="8" s="1"/>
  <c r="Y274" i="8" s="1"/>
  <c r="F90" i="14"/>
  <c r="D89" i="14"/>
  <c r="P114" i="8"/>
  <c r="P119" i="8" s="1"/>
  <c r="H42" i="5"/>
  <c r="G42" i="5" s="1"/>
  <c r="H43" i="5" s="1"/>
  <c r="L43" i="5" s="1"/>
  <c r="AA159" i="14"/>
  <c r="AA160" i="14" s="1"/>
  <c r="AA164" i="14" s="1"/>
  <c r="AX105" i="14"/>
  <c r="AX109" i="14" s="1"/>
  <c r="AX110" i="14" s="1"/>
  <c r="AX114" i="14" s="1"/>
  <c r="AX115" i="14" s="1"/>
  <c r="AR217" i="8"/>
  <c r="AR218" i="8" s="1"/>
  <c r="AR223" i="8" s="1"/>
  <c r="I42" i="6"/>
  <c r="K44" i="5" s="1"/>
  <c r="J41" i="6"/>
  <c r="J43" i="5" s="1"/>
  <c r="G110" i="21" l="1" a="1"/>
  <c r="G110" i="21" s="1"/>
  <c r="F113" i="8"/>
  <c r="G112" i="21" s="1" a="1"/>
  <c r="G112" i="21" s="1"/>
  <c r="C112" i="21" a="1"/>
  <c r="C112" i="21" s="1"/>
  <c r="H114" i="8"/>
  <c r="F94" i="14"/>
  <c r="D90" i="14"/>
  <c r="G43" i="5"/>
  <c r="H44" i="5" s="1"/>
  <c r="AA165" i="14"/>
  <c r="AR226" i="8"/>
  <c r="AR231" i="8" s="1"/>
  <c r="I43" i="6"/>
  <c r="K45" i="5" s="1"/>
  <c r="J42" i="6"/>
  <c r="J44" i="5" s="1"/>
  <c r="AX119" i="14"/>
  <c r="AX120" i="14" s="1"/>
  <c r="F114" i="8" l="1"/>
  <c r="E114" i="8"/>
  <c r="E113" i="8"/>
  <c r="C113" i="21" a="1"/>
  <c r="C113" i="21" s="1"/>
  <c r="H119" i="8"/>
  <c r="F95" i="14"/>
  <c r="D94" i="14"/>
  <c r="P121" i="8"/>
  <c r="G44" i="5"/>
  <c r="H45" i="5" s="1"/>
  <c r="AA169" i="14"/>
  <c r="AA170" i="14" s="1"/>
  <c r="AR234" i="8"/>
  <c r="AR239" i="8" s="1"/>
  <c r="AX124" i="14"/>
  <c r="I44" i="6"/>
  <c r="K46" i="5" s="1"/>
  <c r="J43" i="6"/>
  <c r="J45" i="5" s="1"/>
  <c r="F119" i="8" l="1"/>
  <c r="E119" i="8" s="1"/>
  <c r="G113" i="21" a="1"/>
  <c r="G113" i="21" s="1"/>
  <c r="C118" i="21" a="1"/>
  <c r="C118" i="21" s="1"/>
  <c r="H121" i="8"/>
  <c r="C120" i="21" s="1" a="1"/>
  <c r="C120" i="21" s="1"/>
  <c r="F99" i="14"/>
  <c r="F100" i="14" s="1"/>
  <c r="D95" i="14"/>
  <c r="P122" i="8"/>
  <c r="P127" i="8" s="1"/>
  <c r="G45" i="5"/>
  <c r="H46" i="5" s="1"/>
  <c r="AP149" i="14"/>
  <c r="AP150" i="14" s="1"/>
  <c r="AX125" i="14"/>
  <c r="AX129" i="14" s="1"/>
  <c r="I45" i="6"/>
  <c r="K47" i="5" s="1"/>
  <c r="J44" i="6"/>
  <c r="J46" i="5" s="1"/>
  <c r="G118" i="21" l="1" a="1"/>
  <c r="G118" i="21" s="1"/>
  <c r="F121" i="8"/>
  <c r="G120" i="21" s="1" a="1"/>
  <c r="G120" i="21" s="1"/>
  <c r="E121" i="14" a="1"/>
  <c r="E121" i="14" s="1"/>
  <c r="E176" i="14" s="1"/>
  <c r="E185" i="14" s="1"/>
  <c r="E191" i="14" s="1"/>
  <c r="E121" i="8"/>
  <c r="H122" i="8"/>
  <c r="F104" i="14"/>
  <c r="F105" i="14" s="1"/>
  <c r="F109" i="14" s="1"/>
  <c r="F110" i="14" s="1"/>
  <c r="F114" i="14" s="1"/>
  <c r="F115" i="14" s="1"/>
  <c r="F119" i="14" s="1"/>
  <c r="F120" i="14" s="1"/>
  <c r="F124" i="14" s="1"/>
  <c r="F125" i="14" s="1"/>
  <c r="F129" i="14" s="1"/>
  <c r="F130" i="14" s="1"/>
  <c r="F134" i="14" s="1"/>
  <c r="F135" i="14" s="1"/>
  <c r="F139" i="14" s="1"/>
  <c r="F140" i="14" s="1"/>
  <c r="F144" i="14" s="1"/>
  <c r="F145" i="14" s="1"/>
  <c r="D100" i="14"/>
  <c r="D99" i="14"/>
  <c r="P129" i="8"/>
  <c r="G46" i="5"/>
  <c r="H47" i="5" s="1"/>
  <c r="AP154" i="14"/>
  <c r="AP155" i="14" s="1"/>
  <c r="AR241" i="8"/>
  <c r="AR242" i="8" s="1"/>
  <c r="AR247" i="8" s="1"/>
  <c r="AX130" i="14"/>
  <c r="AX134" i="14" s="1"/>
  <c r="AX135" i="14" s="1"/>
  <c r="AX139" i="14" s="1"/>
  <c r="AX140" i="14" s="1"/>
  <c r="I46" i="6"/>
  <c r="K48" i="5" s="1"/>
  <c r="J45" i="6"/>
  <c r="J47" i="5" s="1"/>
  <c r="E104" i="14"/>
  <c r="D101" i="14"/>
  <c r="F122" i="8" l="1"/>
  <c r="C121" i="21" a="1"/>
  <c r="C121" i="21" s="1"/>
  <c r="H127" i="8"/>
  <c r="F174" i="14"/>
  <c r="F149" i="14"/>
  <c r="F150" i="14" s="1"/>
  <c r="F154" i="14" s="1"/>
  <c r="F155" i="14" s="1"/>
  <c r="F159" i="14" s="1"/>
  <c r="F160" i="14" s="1"/>
  <c r="F164" i="14" s="1"/>
  <c r="F165" i="14" s="1"/>
  <c r="F169" i="14" s="1"/>
  <c r="F170" i="14" s="1"/>
  <c r="F178" i="14"/>
  <c r="F187" i="14" s="1"/>
  <c r="F195" i="14" s="1"/>
  <c r="P130" i="8"/>
  <c r="P135" i="8" s="1"/>
  <c r="G47" i="5"/>
  <c r="H48" i="5" s="1"/>
  <c r="AP159" i="14"/>
  <c r="AP160" i="14" s="1"/>
  <c r="AR250" i="8"/>
  <c r="AR255" i="8" s="1"/>
  <c r="AX144" i="14"/>
  <c r="AX145" i="14" s="1"/>
  <c r="D104" i="14"/>
  <c r="AX178" i="14"/>
  <c r="AX187" i="14" s="1"/>
  <c r="AX195" i="14" s="1"/>
  <c r="I47" i="6"/>
  <c r="K49" i="5" s="1"/>
  <c r="J46" i="6"/>
  <c r="J48" i="5" s="1"/>
  <c r="E105" i="14"/>
  <c r="D105" i="14" s="1"/>
  <c r="F127" i="8" l="1"/>
  <c r="G121" i="21" a="1"/>
  <c r="G121" i="21" s="1"/>
  <c r="E122" i="8"/>
  <c r="C126" i="21" a="1"/>
  <c r="C126" i="21" s="1"/>
  <c r="E127" i="8"/>
  <c r="H129" i="8"/>
  <c r="AR258" i="8"/>
  <c r="G48" i="5"/>
  <c r="H49" i="5" s="1"/>
  <c r="AP164" i="14"/>
  <c r="AP165" i="14" s="1"/>
  <c r="AP169" i="14" s="1"/>
  <c r="AX174" i="14"/>
  <c r="AX149" i="14"/>
  <c r="AX150" i="14" s="1"/>
  <c r="I48" i="6"/>
  <c r="J47" i="6"/>
  <c r="J49" i="5" s="1"/>
  <c r="F129" i="8" l="1"/>
  <c r="G128" i="21" s="1" a="1"/>
  <c r="G128" i="21" s="1"/>
  <c r="G126" i="21" a="1"/>
  <c r="G126" i="21" s="1"/>
  <c r="C128" i="21" a="1"/>
  <c r="C128" i="21" s="1"/>
  <c r="H130" i="8"/>
  <c r="AR263" i="8"/>
  <c r="AR265" i="8" s="1"/>
  <c r="AR266" i="8" s="1"/>
  <c r="AR271" i="8" s="1"/>
  <c r="AR273" i="8" s="1"/>
  <c r="AR274" i="8" s="1"/>
  <c r="P138" i="8"/>
  <c r="P143" i="8" s="1"/>
  <c r="G49" i="5"/>
  <c r="H50" i="5" s="1"/>
  <c r="AP170" i="14"/>
  <c r="AX154" i="14"/>
  <c r="AX155" i="14" s="1"/>
  <c r="I49" i="6"/>
  <c r="C54" i="5" s="1"/>
  <c r="K50" i="5"/>
  <c r="J48" i="6"/>
  <c r="J50" i="5" s="1"/>
  <c r="E109" i="14"/>
  <c r="D106" i="14"/>
  <c r="E129" i="8" l="1"/>
  <c r="F130" i="8"/>
  <c r="F135" i="8"/>
  <c r="G129" i="21" a="1"/>
  <c r="G129" i="21" s="1"/>
  <c r="C129" i="21" a="1"/>
  <c r="C129" i="21" s="1"/>
  <c r="E130" i="8"/>
  <c r="H135" i="8"/>
  <c r="G50" i="5"/>
  <c r="H51" i="5" s="1"/>
  <c r="AX159" i="14"/>
  <c r="AX160" i="14" s="1"/>
  <c r="AX164" i="14" s="1"/>
  <c r="D109" i="14"/>
  <c r="K51" i="5"/>
  <c r="K54" i="5" s="1"/>
  <c r="J49" i="6"/>
  <c r="E110" i="14"/>
  <c r="G134" i="21" l="1" a="1"/>
  <c r="G134" i="21" s="1"/>
  <c r="F137" i="8"/>
  <c r="G136" i="21" s="1" a="1"/>
  <c r="G136" i="21" s="1"/>
  <c r="F138" i="8"/>
  <c r="C134" i="21" a="1"/>
  <c r="C134" i="21" s="1"/>
  <c r="E135" i="8"/>
  <c r="H137" i="8"/>
  <c r="P145" i="8"/>
  <c r="P146" i="8" s="1"/>
  <c r="P151" i="8" s="1"/>
  <c r="C53" i="5"/>
  <c r="J51" i="5"/>
  <c r="G51" i="5" s="1"/>
  <c r="AX165" i="14"/>
  <c r="D110" i="14"/>
  <c r="E114" i="14"/>
  <c r="F143" i="8" l="1"/>
  <c r="G137" i="21" a="1"/>
  <c r="G137" i="21" s="1"/>
  <c r="C136" i="21" a="1"/>
  <c r="C136" i="21" s="1"/>
  <c r="H138" i="8"/>
  <c r="E137" i="8"/>
  <c r="AX169" i="14"/>
  <c r="AX170" i="14" s="1"/>
  <c r="D114" i="14"/>
  <c r="H54" i="5"/>
  <c r="E115" i="14"/>
  <c r="G142" i="21" l="1" a="1"/>
  <c r="G142" i="21" s="1"/>
  <c r="F145" i="8"/>
  <c r="G144" i="21" s="1" a="1"/>
  <c r="G144" i="21" s="1"/>
  <c r="F146" i="8"/>
  <c r="C137" i="21" a="1"/>
  <c r="C137" i="21" s="1"/>
  <c r="E138" i="8"/>
  <c r="H143" i="8"/>
  <c r="P153" i="8"/>
  <c r="E53" i="5"/>
  <c r="E54" i="5"/>
  <c r="E119" i="14"/>
  <c r="D115" i="14"/>
  <c r="F151" i="8" l="1"/>
  <c r="G145" i="21" a="1"/>
  <c r="G145" i="21" s="1"/>
  <c r="C142" i="21" a="1"/>
  <c r="C142" i="21" s="1"/>
  <c r="H145" i="8"/>
  <c r="E143" i="8"/>
  <c r="P154" i="8"/>
  <c r="P159" i="8" s="1"/>
  <c r="D119" i="14"/>
  <c r="E120" i="14"/>
  <c r="F153" i="8" l="1"/>
  <c r="G152" i="21" s="1" a="1"/>
  <c r="G152" i="21" s="1"/>
  <c r="G150" i="21" a="1"/>
  <c r="G150" i="21" s="1"/>
  <c r="C144" i="21" a="1"/>
  <c r="C144" i="21" s="1"/>
  <c r="E145" i="8"/>
  <c r="H146" i="8"/>
  <c r="D120" i="14"/>
  <c r="F154" i="8" l="1"/>
  <c r="F159" i="8" s="1"/>
  <c r="G153" i="21" a="1"/>
  <c r="G153" i="21" s="1"/>
  <c r="E146" i="8"/>
  <c r="C145" i="21" a="1"/>
  <c r="C145" i="21" s="1"/>
  <c r="H151" i="8"/>
  <c r="P161" i="8"/>
  <c r="F161" i="8" l="1"/>
  <c r="G160" i="21" s="1" a="1"/>
  <c r="G160" i="21" s="1"/>
  <c r="G158" i="21" a="1"/>
  <c r="G158" i="21" s="1"/>
  <c r="C150" i="21" a="1"/>
  <c r="C150" i="21" s="1"/>
  <c r="E151" i="8"/>
  <c r="H153" i="8"/>
  <c r="P162" i="8"/>
  <c r="P167" i="8" s="1"/>
  <c r="D121" i="14"/>
  <c r="E124" i="14"/>
  <c r="F162" i="8" l="1"/>
  <c r="F167" i="8" s="1"/>
  <c r="C152" i="21" a="1"/>
  <c r="C152" i="21" s="1"/>
  <c r="H154" i="8"/>
  <c r="E153" i="8"/>
  <c r="D124" i="14"/>
  <c r="E125" i="14"/>
  <c r="G161" i="21" l="1" a="1"/>
  <c r="G161" i="21" s="1"/>
  <c r="G166" i="21" a="1"/>
  <c r="G166" i="21" s="1"/>
  <c r="F169" i="8"/>
  <c r="G168" i="21" s="1" a="1"/>
  <c r="G168" i="21" s="1"/>
  <c r="E154" i="8"/>
  <c r="C153" i="21" a="1"/>
  <c r="C153" i="21" s="1"/>
  <c r="H159" i="8"/>
  <c r="P169" i="8"/>
  <c r="D125" i="14"/>
  <c r="E129" i="14"/>
  <c r="F170" i="8" l="1"/>
  <c r="C158" i="21" a="1"/>
  <c r="C158" i="21" s="1"/>
  <c r="H161" i="8"/>
  <c r="E159" i="8"/>
  <c r="P170" i="8"/>
  <c r="P175" i="8" s="1"/>
  <c r="D129" i="14"/>
  <c r="E130" i="14"/>
  <c r="F175" i="8" l="1"/>
  <c r="G169" i="21" a="1"/>
  <c r="G169" i="21" s="1"/>
  <c r="C160" i="21" a="1"/>
  <c r="C160" i="21" s="1"/>
  <c r="H162" i="8"/>
  <c r="E161" i="8"/>
  <c r="D130" i="14"/>
  <c r="E134" i="14"/>
  <c r="F177" i="8" l="1"/>
  <c r="G176" i="21" s="1" a="1"/>
  <c r="G176" i="21" s="1"/>
  <c r="G174" i="21" a="1"/>
  <c r="G174" i="21" s="1"/>
  <c r="F178" i="8"/>
  <c r="E162" i="8"/>
  <c r="H167" i="8"/>
  <c r="C161" i="21" a="1"/>
  <c r="C161" i="21" s="1"/>
  <c r="P177" i="8"/>
  <c r="D134" i="14"/>
  <c r="E135" i="14"/>
  <c r="F183" i="8" l="1"/>
  <c r="G177" i="21" a="1"/>
  <c r="G177" i="21" s="1"/>
  <c r="C166" i="21" a="1"/>
  <c r="C166" i="21" s="1"/>
  <c r="E167" i="8"/>
  <c r="H169" i="8"/>
  <c r="P178" i="8"/>
  <c r="P183" i="8" s="1"/>
  <c r="D135" i="14"/>
  <c r="E139" i="14"/>
  <c r="G182" i="21" l="1" a="1"/>
  <c r="G182" i="21" s="1"/>
  <c r="F185" i="8"/>
  <c r="G184" i="21" s="1" a="1"/>
  <c r="G184" i="21" s="1"/>
  <c r="C168" i="21" a="1"/>
  <c r="C168" i="21" s="1"/>
  <c r="H170" i="8"/>
  <c r="E169" i="8"/>
  <c r="D139" i="14"/>
  <c r="E178" i="14"/>
  <c r="E140" i="14"/>
  <c r="F186" i="8" l="1"/>
  <c r="E170" i="8"/>
  <c r="C169" i="21" a="1"/>
  <c r="C169" i="21" s="1"/>
  <c r="H175" i="8"/>
  <c r="P185" i="8"/>
  <c r="D140" i="14"/>
  <c r="E187" i="14"/>
  <c r="F191" i="8" l="1"/>
  <c r="G185" i="21" a="1"/>
  <c r="G185" i="21" s="1"/>
  <c r="C174" i="21" a="1"/>
  <c r="C174" i="21" s="1"/>
  <c r="H177" i="8"/>
  <c r="E175" i="8"/>
  <c r="P186" i="8"/>
  <c r="P191" i="8" s="1"/>
  <c r="E195" i="14"/>
  <c r="F193" i="8" l="1"/>
  <c r="G192" i="21" s="1" a="1"/>
  <c r="G192" i="21" s="1"/>
  <c r="G190" i="21" a="1"/>
  <c r="G190" i="21" s="1"/>
  <c r="C176" i="21" a="1"/>
  <c r="C176" i="21" s="1"/>
  <c r="E177" i="8"/>
  <c r="H178" i="8"/>
  <c r="F194" i="8" l="1"/>
  <c r="G193" i="21" a="1"/>
  <c r="G193" i="21" s="1"/>
  <c r="F199" i="8"/>
  <c r="C177" i="21" a="1"/>
  <c r="C177" i="21" s="1"/>
  <c r="E178" i="8"/>
  <c r="H183" i="8"/>
  <c r="P193" i="8"/>
  <c r="E144" i="14"/>
  <c r="D144" i="14" s="1"/>
  <c r="G198" i="21" l="1" a="1"/>
  <c r="G198" i="21" s="1"/>
  <c r="F201" i="8"/>
  <c r="G200" i="21" s="1" a="1"/>
  <c r="G200" i="21" s="1"/>
  <c r="C182" i="21" a="1"/>
  <c r="C182" i="21" s="1"/>
  <c r="E183" i="8"/>
  <c r="H185" i="8"/>
  <c r="P194" i="8"/>
  <c r="P199" i="8" s="1"/>
  <c r="E145" i="14"/>
  <c r="F202" i="8" l="1"/>
  <c r="F207" i="8"/>
  <c r="G201" i="21" a="1"/>
  <c r="G201" i="21" s="1"/>
  <c r="C184" i="21" a="1"/>
  <c r="C184" i="21" s="1"/>
  <c r="E185" i="8"/>
  <c r="H186" i="8"/>
  <c r="E174" i="14"/>
  <c r="D174" i="14" s="1"/>
  <c r="D145" i="14"/>
  <c r="F209" i="8" l="1"/>
  <c r="G208" i="21" s="1" a="1"/>
  <c r="G208" i="21" s="1"/>
  <c r="G206" i="21" a="1"/>
  <c r="G206" i="21" s="1"/>
  <c r="C185" i="21" a="1"/>
  <c r="C185" i="21" s="1"/>
  <c r="E186" i="8"/>
  <c r="H191" i="8"/>
  <c r="P201" i="8"/>
  <c r="F210" i="8" l="1"/>
  <c r="F215" i="8" s="1"/>
  <c r="G209" i="21" a="1"/>
  <c r="G209" i="21" s="1"/>
  <c r="C190" i="21" a="1"/>
  <c r="C190" i="21" s="1"/>
  <c r="H193" i="8"/>
  <c r="H194" i="8" s="1"/>
  <c r="E191" i="8"/>
  <c r="P202" i="8"/>
  <c r="P207" i="8" s="1"/>
  <c r="D146" i="14"/>
  <c r="E149" i="14"/>
  <c r="D149" i="14" s="1"/>
  <c r="G214" i="21" l="1" a="1"/>
  <c r="G214" i="21" s="1"/>
  <c r="F217" i="8"/>
  <c r="G216" i="21" s="1" a="1"/>
  <c r="G216" i="21" s="1"/>
  <c r="F218" i="8"/>
  <c r="C193" i="21" a="1"/>
  <c r="C193" i="21" s="1"/>
  <c r="H199" i="8"/>
  <c r="E194" i="8"/>
  <c r="C192" i="21" a="1"/>
  <c r="C192" i="21" s="1"/>
  <c r="E193" i="8"/>
  <c r="E150" i="14"/>
  <c r="F223" i="8" l="1"/>
  <c r="G217" i="21" a="1"/>
  <c r="G217" i="21" s="1"/>
  <c r="C198" i="21" a="1"/>
  <c r="C198" i="21" s="1"/>
  <c r="H201" i="8"/>
  <c r="E199" i="8"/>
  <c r="P209" i="8"/>
  <c r="D150" i="14"/>
  <c r="D199" i="14" s="1"/>
  <c r="E154" i="14"/>
  <c r="D154" i="14" s="1"/>
  <c r="G222" i="21" l="1" a="1"/>
  <c r="G222" i="21" s="1"/>
  <c r="F225" i="8"/>
  <c r="G224" i="21" s="1" a="1"/>
  <c r="G224" i="21" s="1"/>
  <c r="F226" i="8"/>
  <c r="C200" i="21" a="1"/>
  <c r="C200" i="21" s="1"/>
  <c r="H202" i="8"/>
  <c r="E201" i="8"/>
  <c r="P210" i="8"/>
  <c r="P215" i="8" s="1"/>
  <c r="E155" i="14"/>
  <c r="F231" i="8" l="1"/>
  <c r="G225" i="21" a="1"/>
  <c r="G225" i="21" s="1"/>
  <c r="C201" i="21" a="1"/>
  <c r="C201" i="21" s="1"/>
  <c r="E202" i="8"/>
  <c r="H207" i="8"/>
  <c r="D155" i="14"/>
  <c r="E159" i="14"/>
  <c r="D159" i="14" s="1"/>
  <c r="G230" i="21" l="1" a="1"/>
  <c r="G230" i="21" s="1"/>
  <c r="F233" i="8"/>
  <c r="G232" i="21" s="1" a="1"/>
  <c r="G232" i="21" s="1"/>
  <c r="C206" i="21" a="1"/>
  <c r="C206" i="21" s="1"/>
  <c r="H209" i="8"/>
  <c r="E207" i="8"/>
  <c r="P217" i="8"/>
  <c r="E160" i="14"/>
  <c r="E164" i="14" s="1"/>
  <c r="F234" i="8" l="1"/>
  <c r="C208" i="21" a="1"/>
  <c r="C208" i="21" s="1"/>
  <c r="H210" i="8"/>
  <c r="E209" i="8"/>
  <c r="P218" i="8"/>
  <c r="P223" i="8" s="1"/>
  <c r="D164" i="14"/>
  <c r="D160" i="14"/>
  <c r="F239" i="8" l="1"/>
  <c r="G233" i="21" a="1"/>
  <c r="G233" i="21" s="1"/>
  <c r="C209" i="21" a="1"/>
  <c r="C209" i="21" s="1"/>
  <c r="E210" i="8"/>
  <c r="H215" i="8"/>
  <c r="E169" i="14"/>
  <c r="D165" i="14"/>
  <c r="F241" i="8" l="1"/>
  <c r="G240" i="21" s="1" a="1"/>
  <c r="G240" i="21" s="1"/>
  <c r="F242" i="8"/>
  <c r="G238" i="21" a="1"/>
  <c r="G238" i="21" s="1"/>
  <c r="C214" i="21" a="1"/>
  <c r="C214" i="21" s="1"/>
  <c r="H217" i="8"/>
  <c r="H218" i="8" s="1"/>
  <c r="E215" i="8"/>
  <c r="P225" i="8"/>
  <c r="D169" i="14"/>
  <c r="E170" i="14"/>
  <c r="D170" i="14" s="1"/>
  <c r="F247" i="8" l="1"/>
  <c r="G241" i="21" a="1"/>
  <c r="G241" i="21" s="1"/>
  <c r="C216" i="21" a="1"/>
  <c r="C216" i="21" s="1"/>
  <c r="E217" i="8"/>
  <c r="C217" i="21" a="1"/>
  <c r="C217" i="21" s="1"/>
  <c r="H223" i="8"/>
  <c r="E218" i="8"/>
  <c r="P226" i="8"/>
  <c r="P231" i="8" s="1"/>
  <c r="G246" i="21" l="1" a="1"/>
  <c r="G246" i="21" s="1"/>
  <c r="F249" i="8"/>
  <c r="G248" i="21" s="1" a="1"/>
  <c r="G248" i="21" s="1"/>
  <c r="C222" i="21" a="1"/>
  <c r="C222" i="21" s="1"/>
  <c r="E223" i="8"/>
  <c r="H225" i="8"/>
  <c r="H226" i="8" s="1"/>
  <c r="F250" i="8" l="1"/>
  <c r="F255" i="8" s="1"/>
  <c r="G249" i="21" a="1"/>
  <c r="G249" i="21" s="1"/>
  <c r="C225" i="21" a="1"/>
  <c r="C225" i="21" s="1"/>
  <c r="E226" i="8"/>
  <c r="H231" i="8"/>
  <c r="C230" i="21" s="1" a="1"/>
  <c r="C230" i="21" s="1"/>
  <c r="C224" i="21" a="1"/>
  <c r="C224" i="21" s="1"/>
  <c r="E225" i="8"/>
  <c r="P233" i="8"/>
  <c r="E231" i="8"/>
  <c r="G176" i="14"/>
  <c r="G185" i="14" s="1"/>
  <c r="G14" i="14"/>
  <c r="G178" i="14" s="1"/>
  <c r="J14" i="14"/>
  <c r="J178" i="14" s="1"/>
  <c r="J187" i="14" s="1"/>
  <c r="J195" i="14" s="1"/>
  <c r="J176" i="14"/>
  <c r="J185" i="14" s="1"/>
  <c r="J191" i="14" s="1"/>
  <c r="D11" i="14"/>
  <c r="G254" i="21" l="1" a="1"/>
  <c r="G254" i="21" s="1"/>
  <c r="F257" i="8"/>
  <c r="G256" i="21" s="1" a="1"/>
  <c r="G256" i="21" s="1"/>
  <c r="H233" i="8"/>
  <c r="C232" i="21" s="1" a="1"/>
  <c r="C232" i="21" s="1"/>
  <c r="P234" i="8"/>
  <c r="P239" i="8" s="1"/>
  <c r="J15" i="14"/>
  <c r="G15" i="14"/>
  <c r="D176" i="14"/>
  <c r="D14" i="14"/>
  <c r="G187" i="14"/>
  <c r="D178" i="14"/>
  <c r="D185" i="14"/>
  <c r="G191" i="14"/>
  <c r="D191" i="14" s="1"/>
  <c r="H234" i="8" l="1"/>
  <c r="C233" i="21" s="1" a="1"/>
  <c r="C233" i="21" s="1"/>
  <c r="E233" i="8"/>
  <c r="F258" i="8"/>
  <c r="F263" i="8" s="1"/>
  <c r="G257" i="21" a="1"/>
  <c r="G257" i="21" s="1"/>
  <c r="H239" i="8"/>
  <c r="C238" i="21" s="1" a="1"/>
  <c r="C238" i="21" s="1"/>
  <c r="D15" i="14"/>
  <c r="G195" i="14"/>
  <c r="D195" i="14" s="1"/>
  <c r="D187" i="14"/>
  <c r="E234" i="8" l="1"/>
  <c r="G262" i="21" a="1"/>
  <c r="G262" i="21" s="1"/>
  <c r="F265" i="8"/>
  <c r="G264" i="21" s="1" a="1"/>
  <c r="G264" i="21" s="1"/>
  <c r="H241" i="8"/>
  <c r="C240" i="21" s="1" a="1"/>
  <c r="C240" i="21" s="1"/>
  <c r="P241" i="8"/>
  <c r="E239" i="8"/>
  <c r="F266" i="8" l="1"/>
  <c r="F271" i="8" s="1"/>
  <c r="G265" i="21" a="1"/>
  <c r="G265" i="21" s="1"/>
  <c r="H242" i="8"/>
  <c r="C241" i="21" s="1" a="1"/>
  <c r="C241" i="21" s="1"/>
  <c r="P242" i="8"/>
  <c r="P247" i="8" s="1"/>
  <c r="E241" i="8"/>
  <c r="G270" i="21" l="1" a="1"/>
  <c r="G270" i="21" s="1"/>
  <c r="F273" i="8"/>
  <c r="G272" i="21" s="1" a="1"/>
  <c r="G272" i="21" s="1"/>
  <c r="H247" i="8"/>
  <c r="C246" i="21" s="1" a="1"/>
  <c r="C246" i="21" s="1"/>
  <c r="E242" i="8"/>
  <c r="F274" i="8" l="1"/>
  <c r="G273" i="21" s="1" a="1"/>
  <c r="G273" i="21" s="1"/>
  <c r="H249" i="8"/>
  <c r="C248" i="21" s="1" a="1"/>
  <c r="C248" i="21" s="1"/>
  <c r="P249" i="8"/>
  <c r="E247" i="8"/>
  <c r="H250" i="8" l="1"/>
  <c r="C249" i="21" s="1" a="1"/>
  <c r="C249" i="21" s="1"/>
  <c r="P250" i="8"/>
  <c r="P255" i="8" s="1"/>
  <c r="E249" i="8"/>
  <c r="H255" i="8" l="1"/>
  <c r="C254" i="21" s="1" a="1"/>
  <c r="C254" i="21" s="1"/>
  <c r="E250" i="8"/>
  <c r="E255" i="8" l="1"/>
  <c r="H257" i="8"/>
  <c r="C256" i="21" s="1" a="1"/>
  <c r="C256" i="21" s="1"/>
  <c r="P257" i="8"/>
  <c r="E257" i="8" l="1"/>
  <c r="P258" i="8"/>
  <c r="P263" i="8" s="1"/>
  <c r="H258" i="8"/>
  <c r="C257" i="21" s="1" a="1"/>
  <c r="C257" i="21" s="1"/>
  <c r="H263" i="8" l="1"/>
  <c r="C262" i="21" s="1" a="1"/>
  <c r="C262" i="21" s="1"/>
  <c r="E258" i="8"/>
  <c r="P265" i="8"/>
  <c r="E263" i="8" l="1"/>
  <c r="H265" i="8"/>
  <c r="C264" i="21" s="1" a="1"/>
  <c r="C264" i="21" s="1"/>
  <c r="P266" i="8"/>
  <c r="P271" i="8" s="1"/>
  <c r="E265" i="8" l="1"/>
  <c r="H266" i="8"/>
  <c r="H271" i="8" l="1"/>
  <c r="C270" i="21" s="1" a="1"/>
  <c r="C270" i="21" s="1"/>
  <c r="C265" i="21" a="1"/>
  <c r="C265" i="21" s="1"/>
  <c r="E266" i="8"/>
  <c r="P273" i="8"/>
  <c r="E271" i="8" l="1"/>
  <c r="H273" i="8"/>
  <c r="C272" i="21" s="1" a="1"/>
  <c r="C272" i="21" s="1"/>
  <c r="P274" i="8"/>
  <c r="E273" i="8" l="1"/>
  <c r="H274" i="8"/>
  <c r="C273" i="21" s="1" a="1"/>
  <c r="C273" i="21" s="1"/>
  <c r="E27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Fabiane Fonseca</author>
    <author>João Souza</author>
    <author>Tabata Feliciano</author>
    <author>Tatiane Braga Marcondes Campos</author>
  </authors>
  <commentList>
    <comment ref="BJ70" authorId="0" shapeId="0" xr:uid="{00000000-0006-0000-0200-000002000000}">
      <text>
        <r>
          <rPr>
            <sz val="9"/>
            <color indexed="81"/>
            <rFont val="Tahoma"/>
            <family val="2"/>
          </rPr>
          <t>Transferencia de saldo de Apto 183-B Manacá</t>
        </r>
      </text>
    </comment>
    <comment ref="BL102" authorId="1" shapeId="0" xr:uid="{00000000-0006-0000-0200-000003000000}">
      <text>
        <r>
          <rPr>
            <b/>
            <sz val="9"/>
            <color indexed="81"/>
            <rFont val="Segoe UI"/>
            <family val="2"/>
          </rPr>
          <t>VALOR DE R$10.000,00 TRIBUTADO EM 06/2019</t>
        </r>
      </text>
    </comment>
    <comment ref="BD114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Tabata Feliciano:</t>
        </r>
        <r>
          <rPr>
            <sz val="9"/>
            <color indexed="81"/>
            <rFont val="Tahoma"/>
            <family val="2"/>
          </rPr>
          <t xml:space="preserve">
DISTRATO EM 05/2020</t>
        </r>
      </text>
    </comment>
    <comment ref="E198" authorId="3" shapeId="0" xr:uid="{00000000-0006-0000-0200-00000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VARIAÇÃO MONETARIA ESTÁ JUNTO</t>
        </r>
      </text>
    </comment>
    <comment ref="E206" authorId="3" shapeId="0" xr:uid="{00000000-0006-0000-0200-00000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com variação monetaria</t>
        </r>
      </text>
    </comment>
    <comment ref="E214" authorId="3" shapeId="0" xr:uid="{00000000-0006-0000-0200-00000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tem valor maior de 954,40</t>
        </r>
      </text>
    </comment>
    <comment ref="E222" authorId="3" shapeId="0" xr:uid="{00000000-0006-0000-0200-000008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não tinha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Tatiane Braga Marcondes Campos</author>
    <author>Fabiane Fonseca</author>
    <author>Ellen Ataide Leite</author>
    <author>João Souza</author>
  </authors>
  <commentList>
    <comment ref="AP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medeiros</t>
        </r>
      </text>
    </comment>
    <comment ref="AP5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R$249.410,42
Bali = R$24.817,97
= saldo cliente R$274.228,39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55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R$199.834,40
Bali = R$24.138,01
= saldo cliente R$223.972,41</t>
        </r>
      </text>
    </comment>
    <comment ref="AP60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R$213.741,53
Bali = R$22.828,00
</t>
        </r>
        <r>
          <rPr>
            <b/>
            <sz val="9"/>
            <color indexed="81"/>
            <rFont val="Tahoma"/>
            <family val="2"/>
          </rPr>
          <t>Saldo cliente R$236.569,53</t>
        </r>
      </text>
    </comment>
    <comment ref="AP6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R$225.678,77
Bali = R$22.884,35
</t>
        </r>
        <r>
          <rPr>
            <b/>
            <sz val="9"/>
            <color indexed="81"/>
            <rFont val="Tahoma"/>
            <family val="2"/>
          </rPr>
          <t>Saldo cliente R$248.563,12</t>
        </r>
      </text>
    </comment>
    <comment ref="AP70" authorId="2" shapeId="0" xr:uid="{00000000-0006-0000-0300-000006000000}">
      <text>
        <r>
          <rPr>
            <b/>
            <sz val="9"/>
            <color indexed="81"/>
            <rFont val="Segoe UI"/>
            <family val="2"/>
          </rPr>
          <t>Ellen Ataide Leite:</t>
        </r>
        <r>
          <rPr>
            <sz val="9"/>
            <color indexed="81"/>
            <rFont val="Segoe UI"/>
            <family val="2"/>
          </rPr>
          <t xml:space="preserve">
Manacá = R$241.576,66
Bali = R$21.659,91
</t>
        </r>
        <r>
          <rPr>
            <b/>
            <sz val="9"/>
            <color indexed="81"/>
            <rFont val="Segoe UI"/>
            <family val="2"/>
          </rPr>
          <t>Saldo cliente R$263.236,57</t>
        </r>
      </text>
    </comment>
    <comment ref="AP75" authorId="2" shapeId="0" xr:uid="{00000000-0006-0000-0300-00000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0" authorId="2" shapeId="0" xr:uid="{00000000-0006-0000-0300-000008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5" authorId="2" shapeId="0" xr:uid="{00000000-0006-0000-0300-000009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0" authorId="3" shapeId="0" xr:uid="{00000000-0006-0000-0300-00000A000000}">
      <text>
        <r>
          <rPr>
            <sz val="9"/>
            <color indexed="81"/>
            <rFont val="Segoe UI"/>
            <family val="2"/>
          </rPr>
          <t>Saldo Bali : (R$181.984,72)
Saldo Lucca: (R$319.878,47)
Saldo Adto Cliente: (R$501.863,19</t>
        </r>
        <r>
          <rPr>
            <b/>
            <sz val="9"/>
            <color indexed="81"/>
            <rFont val="Segoe UI"/>
            <family val="2"/>
          </rPr>
          <t>)</t>
        </r>
      </text>
    </comment>
    <comment ref="AP90" authorId="2" shapeId="0" xr:uid="{00000000-0006-0000-0300-00000B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5" authorId="3" shapeId="0" xr:uid="{00000000-0006-0000-0300-00000C000000}">
      <text>
        <r>
          <rPr>
            <b/>
            <sz val="9"/>
            <color indexed="81"/>
            <rFont val="Segoe UI"/>
            <family val="2"/>
          </rPr>
          <t>Saldo Bali : (R$172.677,00)
Saldo Lucca: (R$319.565,41)
Saldo Adto Cliente: (R$492.242,41)</t>
        </r>
      </text>
    </comment>
    <comment ref="AP95" authorId="2" shapeId="0" xr:uid="{00000000-0006-0000-0300-00000D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(R$237.407,46)
Bali = (R$51.673,23)</t>
        </r>
        <r>
          <rPr>
            <b/>
            <sz val="9"/>
            <color indexed="81"/>
            <rFont val="Segoe UI"/>
            <family val="2"/>
          </rPr>
          <t xml:space="preserve">
Saldo cliente R$289.080,69</t>
        </r>
      </text>
    </comment>
    <comment ref="J100" authorId="3" shapeId="0" xr:uid="{00000000-0006-0000-0300-00000E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0" authorId="2" shapeId="0" xr:uid="{00000000-0006-0000-0300-00000F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05" authorId="3" shapeId="0" xr:uid="{00000000-0006-0000-0300-000010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5" authorId="2" shapeId="0" xr:uid="{00000000-0006-0000-0300-000011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0" authorId="3" shapeId="0" xr:uid="{00000000-0006-0000-0300-000012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0" authorId="2" shapeId="0" xr:uid="{00000000-0006-0000-0300-000013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5" authorId="3" shapeId="0" xr:uid="{00000000-0006-0000-0300-000014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5" authorId="2" shapeId="0" xr:uid="{00000000-0006-0000-0300-000015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20" authorId="3" shapeId="0" xr:uid="{00000000-0006-0000-0300-000016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20" authorId="2" shapeId="0" xr:uid="{00000000-0006-0000-0300-00001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30" authorId="3" shapeId="0" xr:uid="{00000000-0006-0000-0300-000018000000}">
      <text>
        <r>
          <rPr>
            <sz val="9"/>
            <color indexed="81"/>
            <rFont val="Segoe UI"/>
            <family val="2"/>
          </rPr>
          <t>Saldo Bali : (R$ 55.424,08)
Saldo Lucca: (R$ 319.041,82)
Saldo Adto Cliente: (R$ 374.465,90)</t>
        </r>
      </text>
    </comment>
    <comment ref="J135" authorId="3" shapeId="0" xr:uid="{00000000-0006-0000-0300-000019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0" authorId="3" shapeId="0" xr:uid="{00000000-0006-0000-0300-00001A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5" authorId="3" shapeId="0" xr:uid="{00000000-0006-0000-0300-00001B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50" authorId="3" shapeId="0" xr:uid="{00000000-0006-0000-0300-00001C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0" authorId="0" shapeId="0" xr:uid="{00000000-0006-0000-0300-00001D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0" authorId="0" shapeId="0" xr:uid="{00000000-0006-0000-0300-00001E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0" authorId="0" shapeId="0" xr:uid="{00000000-0006-0000-0300-00001F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55" authorId="3" shapeId="0" xr:uid="{00000000-0006-0000-0300-000020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5" authorId="0" shapeId="0" xr:uid="{00000000-0006-0000-0300-00002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5" authorId="0" shapeId="0" xr:uid="{00000000-0006-0000-0300-000022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5" authorId="0" shapeId="0" xr:uid="{00000000-0006-0000-0300-000023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60" authorId="3" shapeId="0" xr:uid="{00000000-0006-0000-0300-000024000000}">
      <text>
        <r>
          <rPr>
            <b/>
            <sz val="9"/>
            <color indexed="81"/>
            <rFont val="Segoe UI"/>
            <family val="2"/>
          </rPr>
          <t xml:space="preserve">Saldo Bali : (R$ 17.497,77)
Saldo Lucca: (R$ 278.176,16)
Saldo Adto Cliente: (R$295.673,93)
</t>
        </r>
      </text>
    </comment>
    <comment ref="M160" authorId="0" shapeId="0" xr:uid="{00000000-0006-0000-0300-00002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(R$ 17.497,77)
EDIF. TULUM (R$ 328860,00)
 TOTAL R$ 346357,77
</t>
        </r>
      </text>
    </comment>
    <comment ref="P160" authorId="0" shapeId="0" xr:uid="{00000000-0006-0000-0300-00002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(R$ 148.428,67)
EDF. BALI (R$ 28.157,68
TOTAL R$ 176.586,34</t>
        </r>
      </text>
    </comment>
    <comment ref="BL160" authorId="0" shapeId="0" xr:uid="{00000000-0006-0000-0300-00002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70" authorId="3" shapeId="0" xr:uid="{00000000-0006-0000-0300-000028000000}">
      <text>
        <r>
          <rPr>
            <b/>
            <sz val="9"/>
            <color indexed="81"/>
            <rFont val="Segoe UI"/>
            <family val="2"/>
          </rPr>
          <t>Saldo Bali : (R$ 6.726,48)
Saldo Lucca: (R$275.776,88)
Saldo Adto Cliente: (R$282.503,35)</t>
        </r>
      </text>
    </comment>
    <comment ref="M170" authorId="0" shapeId="0" xr:uid="{00000000-0006-0000-0300-000029000000}">
      <text>
        <r>
          <rPr>
            <b/>
            <sz val="9"/>
            <color indexed="81"/>
            <rFont val="Segoe UI"/>
            <family val="2"/>
          </rPr>
          <t>Tatiane Braga Marcondes Campos:
EDIF. BALI (R$ -7687,9)
EDIF. TULUM (R$ 293.027,45)
 TOTAL R$ 285.339,55</t>
        </r>
      </text>
    </comment>
    <comment ref="P170" authorId="0" shapeId="0" xr:uid="{00000000-0006-0000-0300-00002A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Tatiane Braga Marcondes Campos:
EDF. TULUM 101 A(R$ -110.096,96)
EDF. BALI (R$ 4537,17)
TOTAL R$ 105.559,79</t>
        </r>
      </text>
    </comment>
    <comment ref="BL170" authorId="0" shapeId="0" xr:uid="{00000000-0006-0000-0300-00002B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(R$ 106.328,20)
EDIF. BALI (R$ 17954,28)
TOTAL R$ 124.282,48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37DA9D-1D60-4C42-BDB2-B7C34FE82D12}" name="Excel RECEBIMENTO OUTUBRO DE 2022" type="100" refreshedVersion="0">
    <extLst>
      <ext xmlns:x15="http://schemas.microsoft.com/office/spreadsheetml/2010/11/main" uri="{DE250136-89BD-433C-8126-D09CA5730AF9}">
        <x15:connection id="d0da3229-f0c5-41b4-88d8-be2c231b7157"/>
      </ext>
    </extLst>
  </connection>
  <connection id="2" xr16:uid="{D2606ED5-949C-472F-B136-93DA23CF485E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<sst xmlns="http://schemas.openxmlformats.org/spreadsheetml/2006/main" count="1338" uniqueCount="194">
  <si>
    <t>Custo Total</t>
  </si>
  <si>
    <t>Área Total</t>
  </si>
  <si>
    <t>Vendido</t>
  </si>
  <si>
    <t>DT Venda</t>
  </si>
  <si>
    <t>Vendido Acum</t>
  </si>
  <si>
    <t>Valor Venda</t>
  </si>
  <si>
    <t>rec apro mês</t>
  </si>
  <si>
    <t>ind real custo</t>
  </si>
  <si>
    <t>Apartamento</t>
  </si>
  <si>
    <t>Recebido</t>
  </si>
  <si>
    <t>Indice do mês</t>
  </si>
  <si>
    <t>Saldo Atual</t>
  </si>
  <si>
    <t>atualização mês</t>
  </si>
  <si>
    <t>Soma</t>
  </si>
  <si>
    <t>Saldo do mês</t>
  </si>
  <si>
    <t>Mês</t>
  </si>
  <si>
    <t>Valor Gasto</t>
  </si>
  <si>
    <t>Gasto Acumulado</t>
  </si>
  <si>
    <t xml:space="preserve">sd estoque </t>
  </si>
  <si>
    <t xml:space="preserve">% estoque </t>
  </si>
  <si>
    <t xml:space="preserve">RATEIO </t>
  </si>
  <si>
    <t xml:space="preserve">CUSTO FI </t>
  </si>
  <si>
    <t xml:space="preserve">saldo cliente </t>
  </si>
  <si>
    <t>Atualização</t>
  </si>
  <si>
    <t>Custos % Mês</t>
  </si>
  <si>
    <t xml:space="preserve">Custos % Acumulado </t>
  </si>
  <si>
    <t>ESSA LINHA TEVE A FÓRMULA ALTERADA EM TODOS OS MESES</t>
  </si>
  <si>
    <t>Total FI</t>
  </si>
  <si>
    <t>custo % vendidos</t>
  </si>
  <si>
    <t>APARTAMENTOS</t>
  </si>
  <si>
    <t>APTO</t>
  </si>
  <si>
    <t>Estoque</t>
  </si>
  <si>
    <t>121</t>
  </si>
  <si>
    <t>122</t>
  </si>
  <si>
    <t>123</t>
  </si>
  <si>
    <t>124</t>
  </si>
  <si>
    <t>131</t>
  </si>
  <si>
    <t>132</t>
  </si>
  <si>
    <t>133</t>
  </si>
  <si>
    <t>134</t>
  </si>
  <si>
    <t>141</t>
  </si>
  <si>
    <t>142</t>
  </si>
  <si>
    <t>143</t>
  </si>
  <si>
    <t>144</t>
  </si>
  <si>
    <t>151</t>
  </si>
  <si>
    <t>152</t>
  </si>
  <si>
    <t>153</t>
  </si>
  <si>
    <t>154</t>
  </si>
  <si>
    <t>ENTREGA DA OBRA : 08/2021</t>
  </si>
  <si>
    <t>DISTRATO</t>
  </si>
  <si>
    <t>CLIENTE</t>
  </si>
  <si>
    <t xml:space="preserve">ATIVO </t>
  </si>
  <si>
    <t>PASSIVO</t>
  </si>
  <si>
    <t>2.1.06.01.00.1603</t>
  </si>
  <si>
    <t>2.1.06.10.00.9296</t>
  </si>
  <si>
    <t>2.1.06.10.00.9287</t>
  </si>
  <si>
    <t>1.1.02.01.01.7514</t>
  </si>
  <si>
    <t>1.1.02.01.01.2824</t>
  </si>
  <si>
    <t>2.1.06.10.00.9280</t>
  </si>
  <si>
    <t>1.1.02.01.01.7571</t>
  </si>
  <si>
    <t>1.1.02.01.01.7587</t>
  </si>
  <si>
    <t>1.1.02.01.01.7523</t>
  </si>
  <si>
    <t>1.1.02.01.01.2836</t>
  </si>
  <si>
    <t>2.1.06.10.00.9298</t>
  </si>
  <si>
    <t>2.1.06.10.00.9225</t>
  </si>
  <si>
    <t>1.1.02.01.01.2682</t>
  </si>
  <si>
    <t>1.1.02.01.01.1573</t>
  </si>
  <si>
    <t>2.1.06.10.00.9265</t>
  </si>
  <si>
    <t>2.1.06.10.00.9292</t>
  </si>
  <si>
    <t>1.1.02.01.01.7582</t>
  </si>
  <si>
    <t>1.1.02.01.01.7522</t>
  </si>
  <si>
    <t>2.1.06.01.00.959</t>
  </si>
  <si>
    <t>1.1.02.01.01.7555</t>
  </si>
  <si>
    <t>2.1.06.10.00.9279</t>
  </si>
  <si>
    <t>2.1.06.01.00.0757</t>
  </si>
  <si>
    <t>1.1.02.01.01.7556</t>
  </si>
  <si>
    <t>1.1.02.01.01.7574</t>
  </si>
  <si>
    <t>1.1.02.01.01.7535</t>
  </si>
  <si>
    <t>2.1.06.10.00.9286</t>
  </si>
  <si>
    <t>1.1.02.01.01.7552</t>
  </si>
  <si>
    <t>1.1.02.01.01.7575</t>
  </si>
  <si>
    <t>1.1.02.01.01.7570</t>
  </si>
  <si>
    <t>2.1.06.01.00.1534</t>
  </si>
  <si>
    <t>2.1.06.01.00.1535</t>
  </si>
  <si>
    <t>1.1.02.01.01.2806</t>
  </si>
  <si>
    <t>1.1.02.01.01.7516</t>
  </si>
  <si>
    <t>1.1.02.01.01.7515</t>
  </si>
  <si>
    <t>2.1.06.10.00.9277</t>
  </si>
  <si>
    <t>2.1.06.10.00.9269</t>
  </si>
  <si>
    <t>1.1.02.01.01.2712</t>
  </si>
  <si>
    <t>1.1.02.01.01.7533</t>
  </si>
  <si>
    <t>1.1.02.01.01.7599</t>
  </si>
  <si>
    <t>2.1.06.10.00.9264</t>
  </si>
  <si>
    <t>1.1.02.01.01.7561</t>
  </si>
  <si>
    <t>2.1.06.10.00.9311</t>
  </si>
  <si>
    <t>2.1.06.10.00.9297</t>
  </si>
  <si>
    <t>2.1.06.10.00.9312</t>
  </si>
  <si>
    <t>2.1.06.10.00.9313</t>
  </si>
  <si>
    <t>1.1.02.01.01.2759</t>
  </si>
  <si>
    <t>2.1.06.10.00.9222</t>
  </si>
  <si>
    <t>2.1.06.10.00.9323</t>
  </si>
  <si>
    <t>2.1.06.10.00.9314</t>
  </si>
  <si>
    <t>2.1.06.10.00.9315</t>
  </si>
  <si>
    <t>1.1.02.01.01.713</t>
  </si>
  <si>
    <t>1.1.02.01.01.0757</t>
  </si>
  <si>
    <t>2.1.06.10.00.9316</t>
  </si>
  <si>
    <t>2.1.06.10.00.9317</t>
  </si>
  <si>
    <t>1.1.02.01.01.2761</t>
  </si>
  <si>
    <t>2.1.06.10.00.9318</t>
  </si>
  <si>
    <t>2.1.06.10.00.9319</t>
  </si>
  <si>
    <t>1.1.02.01.01.7597</t>
  </si>
  <si>
    <t>2.1.06.10.00.9320</t>
  </si>
  <si>
    <t>1.1.02.01.01.7595</t>
  </si>
  <si>
    <t>2.1.06.10.00.9321</t>
  </si>
  <si>
    <t>1.1.02.01.01.7586</t>
  </si>
  <si>
    <t>1.1.02.01.01.7610</t>
  </si>
  <si>
    <t>2.1.06.10.00.9334</t>
  </si>
  <si>
    <t>1.1.02.01.01.7609</t>
  </si>
  <si>
    <t>2.1.06.10.00.9335</t>
  </si>
  <si>
    <t>2.1.06.10.00.9336</t>
  </si>
  <si>
    <t>1.1.02.01.01.7604</t>
  </si>
  <si>
    <t>1.1.02.01.01.7612</t>
  </si>
  <si>
    <t>2.1.06.10.00.9337</t>
  </si>
  <si>
    <t>1.1.02.01.01.7616</t>
  </si>
  <si>
    <t>1.1.02.01.01.7532</t>
  </si>
  <si>
    <t>2.1.06.10.00.9339</t>
  </si>
  <si>
    <t>2.1.06.10.00.9270</t>
  </si>
  <si>
    <t>1.1.02.01.01.7624</t>
  </si>
  <si>
    <t>1.1.02.01.01.7632</t>
  </si>
  <si>
    <t>1.1.02.01.01.7617</t>
  </si>
  <si>
    <t>2.1.06.10.00.9346</t>
  </si>
  <si>
    <t>2.1.06.10.00.9347</t>
  </si>
  <si>
    <t>2.1.06.10.00.9354</t>
  </si>
  <si>
    <t>1.1.02.01.01.7636</t>
  </si>
  <si>
    <t>1.1.02.01.01.7635</t>
  </si>
  <si>
    <t>2.1.06.10.00.9355</t>
  </si>
  <si>
    <t>2.1.06.10.00.9356</t>
  </si>
  <si>
    <t>1.1.02.01.01.7654</t>
  </si>
  <si>
    <t>2.1.06.10.00.9370</t>
  </si>
  <si>
    <t>1.1.02.01.01.7653</t>
  </si>
  <si>
    <t>2.1.06.10.00.9371</t>
  </si>
  <si>
    <t>1.1.02.01.01.7662</t>
  </si>
  <si>
    <t>2.1.06.10.00.9384</t>
  </si>
  <si>
    <t>2.1.06.10.00.9385</t>
  </si>
  <si>
    <t>1.1.02.01.01.7670</t>
  </si>
  <si>
    <t>1.1.02.01.01.7669</t>
  </si>
  <si>
    <t>2.1.06.10.00.9387</t>
  </si>
  <si>
    <t>2.1.06.10.00.9345</t>
  </si>
  <si>
    <t>1.1.02.01.01.7676</t>
  </si>
  <si>
    <t>2.1.06.10.00.9401</t>
  </si>
  <si>
    <t>1.1.02.01.01.7643</t>
  </si>
  <si>
    <t>1.1.02.01.01.1569</t>
  </si>
  <si>
    <t>2.1.06.01.00.1529</t>
  </si>
  <si>
    <t>1.1.02.01.01.3059</t>
  </si>
  <si>
    <t>1.1.02.01.01.7605</t>
  </si>
  <si>
    <t>1.1.02.01.01.7720</t>
  </si>
  <si>
    <t>2.1.06.11.00.9425</t>
  </si>
  <si>
    <t>Tributação Normal</t>
  </si>
  <si>
    <t>ATUALIZAÇÃO</t>
  </si>
  <si>
    <t>APROPRIAÇÃO</t>
  </si>
  <si>
    <t>ANTIGA</t>
  </si>
  <si>
    <t>NOVA</t>
  </si>
  <si>
    <t>DIFERENÇA</t>
  </si>
  <si>
    <t>JULHO</t>
  </si>
  <si>
    <t>AJUSTE</t>
  </si>
  <si>
    <t>SALDO ANTERIOR</t>
  </si>
  <si>
    <t>NOV</t>
  </si>
  <si>
    <t>JAN</t>
  </si>
  <si>
    <t>DEZ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</si>
  <si>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</si>
  <si>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</si>
  <si>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</si>
  <si>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</si>
  <si>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</si>
  <si>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</si>
  <si>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</si>
  <si>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</si>
  <si>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</si>
  <si>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2.1.06.10.00.9409</t>
  </si>
  <si>
    <t>1.1.02.01.01.1481</t>
  </si>
  <si>
    <t>1.1.02.01.01.7783</t>
  </si>
  <si>
    <t>2.1.06.01.00.1482</t>
  </si>
  <si>
    <t>Tipo</t>
  </si>
  <si>
    <t>FRAÇÃO IDEAL</t>
  </si>
  <si>
    <t>CHECK</t>
  </si>
  <si>
    <t>Status</t>
  </si>
  <si>
    <t>uni.</t>
  </si>
  <si>
    <t xml:space="preserve"> d- custo imoveis vendidos </t>
  </si>
  <si>
    <t>Mês da Venda</t>
  </si>
  <si>
    <t>Valor da Venda</t>
  </si>
  <si>
    <t>VENDA</t>
  </si>
  <si>
    <t>Estado</t>
  </si>
  <si>
    <t>Total</t>
  </si>
  <si>
    <t>Mês do Distrato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</si>
</sst>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0.0000%"/>
    <numFmt numFmtId="167" formatCode="0.00000%"/>
    <numFmt numFmtId="168" formatCode="0.000000%"/>
    <numFmt numFmtId="169" formatCode="0.0000000%"/>
    <numFmt numFmtId="170" formatCode="#,##0.00_ ;\-#,##0.00\ "/>
    <numFmt numFmtId="171" formatCode="0.0000000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9"/>
      <name val="Arial"/>
      <family val="2"/>
    </font>
    <font>
      <b/>
      <sz val="20"/>
      <color indexed="60"/>
      <name val="Arial"/>
      <family val="2"/>
    </font>
    <font>
      <b/>
      <sz val="15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7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66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1" fillId="0" borderId="0"/>
    <xf numFmtId="44" fontId="23" fillId="0" borderId="0" applyFont="0" applyFill="0" applyBorder="0" applyAlignment="0" applyProtection="0"/>
  </cellStyleXfs>
  <cellXfs count="350">
    <xf numFmtId="0" fontId="0" fillId="0" borderId="0" xfId="0"/>
    <xf numFmtId="0" fontId="0" fillId="0" borderId="0" xfId="0" applyProtection="1">
      <protection locked="0"/>
    </xf>
    <xf numFmtId="164" fontId="0" fillId="0" borderId="0" xfId="2" applyFont="1" applyProtection="1"/>
    <xf numFmtId="10" fontId="0" fillId="0" borderId="0" xfId="1" applyNumberFormat="1" applyFont="1" applyProtection="1"/>
    <xf numFmtId="169" fontId="0" fillId="0" borderId="0" xfId="1" applyNumberFormat="1" applyFont="1" applyProtection="1">
      <protection locked="0"/>
    </xf>
    <xf numFmtId="169" fontId="0" fillId="0" borderId="0" xfId="1" applyNumberFormat="1" applyFont="1" applyProtection="1"/>
    <xf numFmtId="169" fontId="4" fillId="0" borderId="0" xfId="1" applyNumberFormat="1" applyFont="1" applyProtection="1"/>
    <xf numFmtId="166" fontId="0" fillId="0" borderId="0" xfId="1" applyNumberFormat="1" applyFont="1" applyProtection="1"/>
    <xf numFmtId="166" fontId="1" fillId="0" borderId="0" xfId="1" applyNumberFormat="1" applyFont="1" applyProtection="1"/>
    <xf numFmtId="0" fontId="7" fillId="0" borderId="0" xfId="0" applyFont="1"/>
    <xf numFmtId="17" fontId="4" fillId="0" borderId="2" xfId="1" applyNumberFormat="1" applyFont="1" applyBorder="1" applyAlignment="1" applyProtection="1">
      <alignment horizontal="center"/>
    </xf>
    <xf numFmtId="164" fontId="4" fillId="2" borderId="1" xfId="2" applyFont="1" applyFill="1" applyBorder="1" applyAlignment="1" applyProtection="1">
      <alignment horizontal="center"/>
      <protection locked="0"/>
    </xf>
    <xf numFmtId="164" fontId="4" fillId="3" borderId="1" xfId="2" applyFont="1" applyFill="1" applyBorder="1" applyAlignment="1" applyProtection="1">
      <alignment horizontal="center"/>
    </xf>
    <xf numFmtId="0" fontId="4" fillId="4" borderId="1" xfId="0" applyFont="1" applyFill="1" applyBorder="1" applyAlignment="1">
      <alignment horizontal="center"/>
    </xf>
    <xf numFmtId="0" fontId="4" fillId="5" borderId="3" xfId="0" applyFont="1" applyFill="1" applyBorder="1"/>
    <xf numFmtId="164" fontId="4" fillId="5" borderId="3" xfId="2" applyFont="1" applyFill="1" applyBorder="1" applyProtection="1"/>
    <xf numFmtId="0" fontId="4" fillId="5" borderId="4" xfId="0" applyFont="1" applyFill="1" applyBorder="1"/>
    <xf numFmtId="164" fontId="4" fillId="5" borderId="4" xfId="2" applyFont="1" applyFill="1" applyBorder="1" applyProtection="1"/>
    <xf numFmtId="0" fontId="4" fillId="5" borderId="5" xfId="0" applyFont="1" applyFill="1" applyBorder="1"/>
    <xf numFmtId="164" fontId="4" fillId="5" borderId="5" xfId="2" applyFont="1" applyFill="1" applyBorder="1" applyProtection="1"/>
    <xf numFmtId="164" fontId="0" fillId="0" borderId="3" xfId="2" applyFont="1" applyBorder="1" applyProtection="1"/>
    <xf numFmtId="165" fontId="0" fillId="4" borderId="3" xfId="1" applyNumberFormat="1" applyFont="1" applyFill="1" applyBorder="1" applyProtection="1"/>
    <xf numFmtId="164" fontId="0" fillId="2" borderId="4" xfId="2" applyFont="1" applyFill="1" applyBorder="1" applyProtection="1">
      <protection locked="0"/>
    </xf>
    <xf numFmtId="164" fontId="0" fillId="0" borderId="4" xfId="2" applyFont="1" applyBorder="1" applyProtection="1"/>
    <xf numFmtId="165" fontId="0" fillId="4" borderId="4" xfId="1" applyNumberFormat="1" applyFont="1" applyFill="1" applyBorder="1" applyProtection="1"/>
    <xf numFmtId="164" fontId="0" fillId="0" borderId="5" xfId="2" applyFont="1" applyBorder="1" applyProtection="1"/>
    <xf numFmtId="167" fontId="4" fillId="0" borderId="1" xfId="1" applyNumberFormat="1" applyFont="1" applyBorder="1" applyAlignment="1" applyProtection="1">
      <alignment horizontal="center"/>
    </xf>
    <xf numFmtId="164" fontId="4" fillId="6" borderId="4" xfId="2" applyFont="1" applyFill="1" applyBorder="1" applyProtection="1"/>
    <xf numFmtId="165" fontId="6" fillId="0" borderId="4" xfId="1" applyNumberFormat="1" applyFont="1" applyBorder="1" applyProtection="1"/>
    <xf numFmtId="164" fontId="3" fillId="0" borderId="4" xfId="2" applyFont="1" applyBorder="1" applyProtection="1"/>
    <xf numFmtId="164" fontId="4" fillId="6" borderId="5" xfId="2" applyFont="1" applyFill="1" applyBorder="1" applyProtection="1"/>
    <xf numFmtId="164" fontId="4" fillId="6" borderId="3" xfId="2" applyFont="1" applyFill="1" applyBorder="1" applyProtection="1"/>
    <xf numFmtId="0" fontId="0" fillId="0" borderId="6" xfId="0" applyBorder="1"/>
    <xf numFmtId="17" fontId="4" fillId="0" borderId="0" xfId="0" applyNumberFormat="1" applyFont="1" applyAlignment="1" applyProtection="1">
      <alignment horizontal="center"/>
      <protection locked="0"/>
    </xf>
    <xf numFmtId="17" fontId="4" fillId="0" borderId="0" xfId="0" applyNumberFormat="1" applyFont="1" applyAlignment="1">
      <alignment horizontal="center"/>
    </xf>
    <xf numFmtId="164" fontId="0" fillId="0" borderId="4" xfId="2" applyFont="1" applyFill="1" applyBorder="1" applyProtection="1"/>
    <xf numFmtId="0" fontId="4" fillId="0" borderId="0" xfId="1" applyNumberFormat="1" applyFont="1" applyProtection="1"/>
    <xf numFmtId="164" fontId="0" fillId="2" borderId="7" xfId="2" applyFont="1" applyFill="1" applyBorder="1" applyProtection="1">
      <protection locked="0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protection locked="0"/>
    </xf>
    <xf numFmtId="169" fontId="9" fillId="0" borderId="0" xfId="1" applyNumberFormat="1" applyFont="1" applyAlignment="1" applyProtection="1">
      <protection locked="0"/>
    </xf>
    <xf numFmtId="17" fontId="4" fillId="0" borderId="3" xfId="1" applyNumberFormat="1" applyFont="1" applyBorder="1" applyAlignment="1" applyProtection="1">
      <alignment horizontal="center"/>
    </xf>
    <xf numFmtId="169" fontId="0" fillId="0" borderId="3" xfId="1" applyNumberFormat="1" applyFont="1" applyBorder="1" applyProtection="1"/>
    <xf numFmtId="165" fontId="2" fillId="3" borderId="4" xfId="1" applyNumberFormat="1" applyFont="1" applyFill="1" applyBorder="1" applyProtection="1"/>
    <xf numFmtId="0" fontId="0" fillId="0" borderId="0" xfId="0" applyAlignment="1">
      <alignment horizontal="center"/>
    </xf>
    <xf numFmtId="164" fontId="0" fillId="2" borderId="3" xfId="2" applyFont="1" applyFill="1" applyBorder="1" applyProtection="1">
      <protection locked="0"/>
    </xf>
    <xf numFmtId="164" fontId="3" fillId="0" borderId="5" xfId="2" applyFont="1" applyBorder="1" applyProtection="1"/>
    <xf numFmtId="165" fontId="2" fillId="4" borderId="4" xfId="1" applyNumberFormat="1" applyFont="1" applyFill="1" applyBorder="1" applyProtection="1"/>
    <xf numFmtId="164" fontId="2" fillId="0" borderId="4" xfId="2" applyFont="1" applyFill="1" applyBorder="1" applyProtection="1"/>
    <xf numFmtId="164" fontId="0" fillId="0" borderId="2" xfId="2" applyFont="1" applyFill="1" applyBorder="1" applyProtection="1"/>
    <xf numFmtId="164" fontId="4" fillId="6" borderId="9" xfId="2" applyFont="1" applyFill="1" applyBorder="1" applyProtection="1"/>
    <xf numFmtId="164" fontId="0" fillId="2" borderId="9" xfId="2" applyFont="1" applyFill="1" applyBorder="1" applyProtection="1">
      <protection locked="0"/>
    </xf>
    <xf numFmtId="164" fontId="3" fillId="0" borderId="3" xfId="2" applyFont="1" applyBorder="1" applyAlignment="1" applyProtection="1">
      <alignment horizontal="center"/>
    </xf>
    <xf numFmtId="17" fontId="0" fillId="0" borderId="0" xfId="1" applyNumberFormat="1" applyFont="1" applyProtection="1"/>
    <xf numFmtId="10" fontId="0" fillId="2" borderId="4" xfId="1" applyNumberFormat="1" applyFont="1" applyFill="1" applyBorder="1" applyProtection="1">
      <protection locked="0"/>
    </xf>
    <xf numFmtId="166" fontId="4" fillId="0" borderId="0" xfId="1" applyNumberFormat="1" applyFont="1" applyAlignment="1" applyProtection="1">
      <alignment horizontal="center"/>
    </xf>
    <xf numFmtId="0" fontId="4" fillId="9" borderId="1" xfId="0" applyFont="1" applyFill="1" applyBorder="1" applyAlignment="1">
      <alignment horizontal="center"/>
    </xf>
    <xf numFmtId="17" fontId="4" fillId="9" borderId="1" xfId="0" applyNumberFormat="1" applyFont="1" applyFill="1" applyBorder="1" applyAlignment="1" applyProtection="1">
      <alignment horizontal="center"/>
      <protection locked="0"/>
    </xf>
    <xf numFmtId="164" fontId="2" fillId="0" borderId="4" xfId="2" applyFont="1" applyBorder="1" applyProtection="1"/>
    <xf numFmtId="10" fontId="2" fillId="0" borderId="0" xfId="1" applyNumberFormat="1" applyFont="1" applyProtection="1"/>
    <xf numFmtId="0" fontId="4" fillId="0" borderId="1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64" fontId="2" fillId="0" borderId="3" xfId="2" applyFont="1" applyBorder="1" applyProtection="1"/>
    <xf numFmtId="164" fontId="2" fillId="2" borderId="4" xfId="2" applyFont="1" applyFill="1" applyBorder="1" applyProtection="1">
      <protection locked="0"/>
    </xf>
    <xf numFmtId="168" fontId="0" fillId="0" borderId="2" xfId="1" applyNumberFormat="1" applyFont="1" applyBorder="1" applyProtection="1"/>
    <xf numFmtId="0" fontId="0" fillId="8" borderId="0" xfId="0" applyFill="1"/>
    <xf numFmtId="0" fontId="2" fillId="0" borderId="0" xfId="0" applyFont="1"/>
    <xf numFmtId="164" fontId="0" fillId="0" borderId="0" xfId="2" applyFont="1" applyFill="1" applyProtection="1"/>
    <xf numFmtId="10" fontId="2" fillId="8" borderId="0" xfId="1" applyNumberFormat="1" applyFont="1" applyFill="1" applyProtection="1"/>
    <xf numFmtId="10" fontId="4" fillId="0" borderId="0" xfId="1" applyNumberFormat="1" applyFont="1" applyProtection="1"/>
    <xf numFmtId="0" fontId="4" fillId="6" borderId="8" xfId="0" applyFont="1" applyFill="1" applyBorder="1" applyAlignment="1">
      <alignment horizontal="center"/>
    </xf>
    <xf numFmtId="169" fontId="0" fillId="0" borderId="0" xfId="2" applyNumberFormat="1" applyFont="1" applyFill="1" applyProtection="1"/>
    <xf numFmtId="10" fontId="4" fillId="6" borderId="4" xfId="1" applyNumberFormat="1" applyFont="1" applyFill="1" applyBorder="1" applyProtection="1"/>
    <xf numFmtId="164" fontId="4" fillId="0" borderId="1" xfId="2" applyFont="1" applyFill="1" applyBorder="1" applyAlignment="1" applyProtection="1">
      <alignment horizontal="center"/>
    </xf>
    <xf numFmtId="164" fontId="2" fillId="0" borderId="0" xfId="2" applyFont="1" applyProtection="1"/>
    <xf numFmtId="10" fontId="11" fillId="8" borderId="0" xfId="1" applyNumberFormat="1" applyFont="1" applyFill="1" applyProtection="1"/>
    <xf numFmtId="169" fontId="4" fillId="9" borderId="1" xfId="1" applyNumberFormat="1" applyFont="1" applyFill="1" applyBorder="1" applyProtection="1"/>
    <xf numFmtId="169" fontId="4" fillId="9" borderId="9" xfId="1" applyNumberFormat="1" applyFont="1" applyFill="1" applyBorder="1" applyAlignment="1" applyProtection="1">
      <alignment horizontal="center"/>
    </xf>
    <xf numFmtId="169" fontId="4" fillId="9" borderId="1" xfId="1" applyNumberFormat="1" applyFont="1" applyFill="1" applyBorder="1" applyAlignment="1" applyProtection="1">
      <alignment horizontal="center"/>
    </xf>
    <xf numFmtId="164" fontId="2" fillId="2" borderId="7" xfId="2" applyFont="1" applyFill="1" applyBorder="1" applyProtection="1">
      <protection locked="0"/>
    </xf>
    <xf numFmtId="0" fontId="4" fillId="0" borderId="9" xfId="0" applyFont="1" applyBorder="1" applyAlignment="1">
      <alignment horizontal="center" vertical="center"/>
    </xf>
    <xf numFmtId="165" fontId="0" fillId="3" borderId="4" xfId="1" applyNumberFormat="1" applyFont="1" applyFill="1" applyBorder="1" applyProtection="1"/>
    <xf numFmtId="165" fontId="0" fillId="3" borderId="2" xfId="1" applyNumberFormat="1" applyFont="1" applyFill="1" applyBorder="1" applyProtection="1"/>
    <xf numFmtId="164" fontId="12" fillId="8" borderId="0" xfId="2" applyFont="1" applyFill="1" applyProtection="1"/>
    <xf numFmtId="0" fontId="4" fillId="8" borderId="0" xfId="0" applyFont="1" applyFill="1"/>
    <xf numFmtId="164" fontId="4" fillId="8" borderId="0" xfId="2" applyFont="1" applyFill="1" applyBorder="1" applyProtection="1"/>
    <xf numFmtId="165" fontId="0" fillId="3" borderId="5" xfId="1" applyNumberFormat="1" applyFont="1" applyFill="1" applyBorder="1" applyProtection="1"/>
    <xf numFmtId="164" fontId="2" fillId="2" borderId="5" xfId="2" applyFont="1" applyFill="1" applyBorder="1" applyProtection="1">
      <protection locked="0"/>
    </xf>
    <xf numFmtId="164" fontId="2" fillId="0" borderId="5" xfId="2" applyFont="1" applyBorder="1" applyProtection="1"/>
    <xf numFmtId="165" fontId="2" fillId="4" borderId="5" xfId="1" applyNumberFormat="1" applyFont="1" applyFill="1" applyBorder="1" applyProtection="1"/>
    <xf numFmtId="164" fontId="8" fillId="0" borderId="1" xfId="2" applyFont="1" applyBorder="1" applyAlignment="1" applyProtection="1">
      <alignment horizontal="center"/>
    </xf>
    <xf numFmtId="165" fontId="4" fillId="6" borderId="4" xfId="2" applyNumberFormat="1" applyFont="1" applyFill="1" applyBorder="1" applyProtection="1"/>
    <xf numFmtId="10" fontId="4" fillId="9" borderId="1" xfId="1" applyNumberFormat="1" applyFont="1" applyFill="1" applyBorder="1" applyAlignment="1" applyProtection="1">
      <alignment horizontal="center"/>
    </xf>
    <xf numFmtId="170" fontId="4" fillId="0" borderId="0" xfId="2" applyNumberFormat="1" applyFont="1" applyAlignment="1" applyProtection="1">
      <alignment horizontal="center"/>
    </xf>
    <xf numFmtId="170" fontId="4" fillId="0" borderId="0" xfId="0" applyNumberFormat="1" applyFont="1" applyAlignment="1">
      <alignment horizontal="center"/>
    </xf>
    <xf numFmtId="170" fontId="4" fillId="10" borderId="0" xfId="2" applyNumberFormat="1" applyFont="1" applyFill="1" applyAlignment="1" applyProtection="1">
      <alignment horizontal="center"/>
    </xf>
    <xf numFmtId="170" fontId="4" fillId="10" borderId="0" xfId="0" applyNumberFormat="1" applyFont="1" applyFill="1" applyAlignment="1">
      <alignment horizontal="center"/>
    </xf>
    <xf numFmtId="0" fontId="4" fillId="0" borderId="0" xfId="0" applyFont="1"/>
    <xf numFmtId="164" fontId="4" fillId="7" borderId="0" xfId="2" applyFont="1" applyFill="1" applyProtection="1"/>
    <xf numFmtId="164" fontId="1" fillId="0" borderId="4" xfId="2" applyFont="1" applyBorder="1" applyProtection="1"/>
    <xf numFmtId="165" fontId="1" fillId="3" borderId="4" xfId="1" applyNumberFormat="1" applyFont="1" applyFill="1" applyBorder="1" applyProtection="1"/>
    <xf numFmtId="165" fontId="1" fillId="4" borderId="4" xfId="1" applyNumberFormat="1" applyFont="1" applyFill="1" applyBorder="1" applyProtection="1"/>
    <xf numFmtId="0" fontId="1" fillId="0" borderId="0" xfId="0" applyFont="1"/>
    <xf numFmtId="0" fontId="1" fillId="8" borderId="0" xfId="0" applyFont="1" applyFill="1"/>
    <xf numFmtId="164" fontId="1" fillId="2" borderId="4" xfId="2" applyFont="1" applyFill="1" applyBorder="1"/>
    <xf numFmtId="10" fontId="1" fillId="0" borderId="0" xfId="1" applyNumberFormat="1" applyFont="1" applyProtection="1"/>
    <xf numFmtId="164" fontId="1" fillId="0" borderId="0" xfId="2" applyFont="1" applyProtection="1"/>
    <xf numFmtId="169" fontId="1" fillId="0" borderId="0" xfId="1" applyNumberFormat="1" applyFont="1" applyProtection="1"/>
    <xf numFmtId="168" fontId="0" fillId="0" borderId="0" xfId="1" applyNumberFormat="1" applyFont="1" applyAlignment="1" applyProtection="1">
      <alignment horizontal="center"/>
      <protection locked="0"/>
    </xf>
    <xf numFmtId="168" fontId="0" fillId="0" borderId="0" xfId="1" applyNumberFormat="1" applyFont="1" applyProtection="1">
      <protection locked="0"/>
    </xf>
    <xf numFmtId="49" fontId="4" fillId="8" borderId="1" xfId="0" applyNumberFormat="1" applyFont="1" applyFill="1" applyBorder="1" applyAlignment="1">
      <alignment horizontal="center"/>
    </xf>
    <xf numFmtId="164" fontId="4" fillId="0" borderId="0" xfId="2" applyFont="1" applyProtection="1"/>
    <xf numFmtId="164" fontId="1" fillId="2" borderId="7" xfId="2" applyFont="1" applyFill="1" applyBorder="1" applyProtection="1">
      <protection locked="0"/>
    </xf>
    <xf numFmtId="0" fontId="2" fillId="0" borderId="4" xfId="0" applyFont="1" applyBorder="1" applyAlignment="1">
      <alignment horizontal="center"/>
    </xf>
    <xf numFmtId="164" fontId="8" fillId="0" borderId="1" xfId="2" applyFont="1" applyFill="1" applyBorder="1" applyAlignment="1" applyProtection="1">
      <alignment horizontal="center"/>
    </xf>
    <xf numFmtId="164" fontId="1" fillId="2" borderId="2" xfId="2" applyFont="1" applyFill="1" applyBorder="1" applyProtection="1">
      <protection locked="0"/>
    </xf>
    <xf numFmtId="17" fontId="4" fillId="0" borderId="18" xfId="1" applyNumberFormat="1" applyFont="1" applyBorder="1" applyAlignment="1" applyProtection="1">
      <alignment horizontal="center"/>
    </xf>
    <xf numFmtId="17" fontId="4" fillId="0" borderId="17" xfId="1" applyNumberFormat="1" applyFont="1" applyBorder="1" applyAlignment="1" applyProtection="1">
      <alignment horizontal="center"/>
    </xf>
    <xf numFmtId="168" fontId="0" fillId="0" borderId="17" xfId="1" applyNumberFormat="1" applyFont="1" applyBorder="1" applyProtection="1"/>
    <xf numFmtId="17" fontId="4" fillId="0" borderId="0" xfId="1" applyNumberFormat="1" applyFont="1" applyBorder="1" applyAlignment="1" applyProtection="1">
      <alignment horizontal="center"/>
    </xf>
    <xf numFmtId="168" fontId="0" fillId="0" borderId="0" xfId="1" applyNumberFormat="1" applyFont="1" applyBorder="1" applyProtection="1"/>
    <xf numFmtId="169" fontId="0" fillId="0" borderId="0" xfId="1" applyNumberFormat="1" applyFont="1" applyBorder="1" applyProtection="1">
      <protection locked="0"/>
    </xf>
    <xf numFmtId="17" fontId="4" fillId="0" borderId="5" xfId="1" applyNumberFormat="1" applyFont="1" applyBorder="1" applyAlignment="1" applyProtection="1">
      <alignment horizontal="center"/>
    </xf>
    <xf numFmtId="49" fontId="4" fillId="0" borderId="1" xfId="0" applyNumberFormat="1" applyFont="1" applyBorder="1" applyAlignment="1">
      <alignment horizontal="center"/>
    </xf>
    <xf numFmtId="0" fontId="16" fillId="0" borderId="0" xfId="0" applyFont="1"/>
    <xf numFmtId="164" fontId="16" fillId="0" borderId="0" xfId="2" applyFont="1" applyProtection="1"/>
    <xf numFmtId="164" fontId="1" fillId="2" borderId="4" xfId="2" applyFont="1" applyFill="1" applyBorder="1" applyProtection="1">
      <protection locked="0"/>
    </xf>
    <xf numFmtId="0" fontId="1" fillId="0" borderId="4" xfId="0" applyFont="1" applyBorder="1" applyAlignment="1">
      <alignment horizontal="center"/>
    </xf>
    <xf numFmtId="10" fontId="1" fillId="8" borderId="0" xfId="1" applyNumberFormat="1" applyFont="1" applyFill="1" applyProtection="1"/>
    <xf numFmtId="166" fontId="18" fillId="0" borderId="0" xfId="1" applyNumberFormat="1" applyFont="1" applyProtection="1"/>
    <xf numFmtId="0" fontId="4" fillId="0" borderId="0" xfId="0" applyFont="1" applyAlignment="1">
      <alignment horizontal="center"/>
    </xf>
    <xf numFmtId="10" fontId="1" fillId="0" borderId="0" xfId="1" applyNumberFormat="1" applyFont="1" applyFill="1" applyProtection="1"/>
    <xf numFmtId="164" fontId="0" fillId="0" borderId="4" xfId="0" applyNumberFormat="1" applyBorder="1"/>
    <xf numFmtId="164" fontId="13" fillId="0" borderId="8" xfId="2" applyFont="1" applyBorder="1" applyAlignment="1" applyProtection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4" fontId="8" fillId="8" borderId="8" xfId="2" applyFont="1" applyFill="1" applyBorder="1" applyAlignment="1" applyProtection="1">
      <alignment horizontal="center"/>
    </xf>
    <xf numFmtId="164" fontId="8" fillId="0" borderId="8" xfId="2" applyFont="1" applyFill="1" applyBorder="1" applyAlignment="1" applyProtection="1">
      <alignment horizontal="center"/>
    </xf>
    <xf numFmtId="164" fontId="8" fillId="0" borderId="1" xfId="2" applyFont="1" applyBorder="1" applyAlignment="1" applyProtection="1">
      <alignment horizontal="center" vertical="center"/>
    </xf>
    <xf numFmtId="164" fontId="1" fillId="0" borderId="4" xfId="0" applyNumberFormat="1" applyFont="1" applyBorder="1"/>
    <xf numFmtId="0" fontId="20" fillId="0" borderId="4" xfId="0" applyFont="1" applyBorder="1" applyAlignment="1">
      <alignment horizontal="center"/>
    </xf>
    <xf numFmtId="164" fontId="1" fillId="0" borderId="0" xfId="2" applyFont="1" applyFill="1" applyProtection="1"/>
    <xf numFmtId="0" fontId="2" fillId="8" borderId="4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0" fillId="0" borderId="5" xfId="2" applyFont="1" applyFill="1" applyBorder="1" applyProtection="1"/>
    <xf numFmtId="164" fontId="0" fillId="0" borderId="8" xfId="2" applyFont="1" applyFill="1" applyBorder="1" applyProtection="1"/>
    <xf numFmtId="164" fontId="1" fillId="0" borderId="5" xfId="2" applyFont="1" applyFill="1" applyBorder="1" applyProtection="1"/>
    <xf numFmtId="164" fontId="4" fillId="0" borderId="4" xfId="2" applyFont="1" applyBorder="1" applyProtection="1"/>
    <xf numFmtId="165" fontId="4" fillId="3" borderId="4" xfId="1" applyNumberFormat="1" applyFont="1" applyFill="1" applyBorder="1" applyProtection="1"/>
    <xf numFmtId="165" fontId="4" fillId="4" borderId="4" xfId="1" applyNumberFormat="1" applyFont="1" applyFill="1" applyBorder="1" applyProtection="1"/>
    <xf numFmtId="10" fontId="4" fillId="8" borderId="0" xfId="1" applyNumberFormat="1" applyFont="1" applyFill="1" applyProtection="1"/>
    <xf numFmtId="165" fontId="6" fillId="8" borderId="4" xfId="1" applyNumberFormat="1" applyFont="1" applyFill="1" applyBorder="1" applyProtection="1"/>
    <xf numFmtId="17" fontId="4" fillId="9" borderId="21" xfId="0" applyNumberFormat="1" applyFont="1" applyFill="1" applyBorder="1" applyAlignment="1" applyProtection="1">
      <alignment horizontal="center"/>
      <protection locked="0"/>
    </xf>
    <xf numFmtId="17" fontId="4" fillId="9" borderId="22" xfId="0" applyNumberFormat="1" applyFont="1" applyFill="1" applyBorder="1" applyAlignment="1" applyProtection="1">
      <alignment horizontal="center"/>
      <protection locked="0"/>
    </xf>
    <xf numFmtId="17" fontId="4" fillId="9" borderId="19" xfId="0" applyNumberFormat="1" applyFont="1" applyFill="1" applyBorder="1" applyAlignment="1" applyProtection="1">
      <alignment horizontal="center"/>
      <protection locked="0"/>
    </xf>
    <xf numFmtId="17" fontId="8" fillId="9" borderId="19" xfId="0" applyNumberFormat="1" applyFont="1" applyFill="1" applyBorder="1" applyAlignment="1" applyProtection="1">
      <alignment horizontal="center"/>
      <protection locked="0"/>
    </xf>
    <xf numFmtId="17" fontId="8" fillId="9" borderId="22" xfId="0" applyNumberFormat="1" applyFont="1" applyFill="1" applyBorder="1" applyAlignment="1" applyProtection="1">
      <alignment horizontal="center"/>
      <protection locked="0"/>
    </xf>
    <xf numFmtId="17" fontId="4" fillId="9" borderId="23" xfId="0" applyNumberFormat="1" applyFont="1" applyFill="1" applyBorder="1" applyAlignment="1" applyProtection="1">
      <alignment horizontal="center"/>
      <protection locked="0"/>
    </xf>
    <xf numFmtId="168" fontId="1" fillId="8" borderId="24" xfId="1" applyNumberFormat="1" applyFont="1" applyFill="1" applyBorder="1" applyProtection="1"/>
    <xf numFmtId="0" fontId="20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4" fontId="4" fillId="2" borderId="7" xfId="2" applyFont="1" applyFill="1" applyBorder="1" applyProtection="1">
      <protection locked="0"/>
    </xf>
    <xf numFmtId="164" fontId="4" fillId="0" borderId="4" xfId="2" applyFont="1" applyFill="1" applyBorder="1" applyProtection="1"/>
    <xf numFmtId="164" fontId="1" fillId="0" borderId="4" xfId="2" applyFont="1" applyFill="1" applyBorder="1" applyProtection="1"/>
    <xf numFmtId="171" fontId="0" fillId="0" borderId="3" xfId="1" applyNumberFormat="1" applyFont="1" applyBorder="1" applyProtection="1"/>
    <xf numFmtId="171" fontId="0" fillId="0" borderId="4" xfId="1" applyNumberFormat="1" applyFont="1" applyBorder="1" applyProtection="1"/>
    <xf numFmtId="171" fontId="0" fillId="0" borderId="2" xfId="1" applyNumberFormat="1" applyFont="1" applyBorder="1" applyProtection="1"/>
    <xf numFmtId="171" fontId="0" fillId="0" borderId="7" xfId="1" applyNumberFormat="1" applyFont="1" applyBorder="1" applyProtection="1"/>
    <xf numFmtId="171" fontId="0" fillId="0" borderId="18" xfId="1" applyNumberFormat="1" applyFont="1" applyBorder="1" applyProtection="1"/>
    <xf numFmtId="171" fontId="0" fillId="0" borderId="17" xfId="1" applyNumberFormat="1" applyFont="1" applyBorder="1" applyProtection="1"/>
    <xf numFmtId="0" fontId="16" fillId="0" borderId="0" xfId="0" applyFont="1" applyAlignment="1">
      <alignment horizontal="center" vertical="center"/>
    </xf>
    <xf numFmtId="43" fontId="0" fillId="0" borderId="0" xfId="0" applyNumberFormat="1"/>
    <xf numFmtId="0" fontId="0" fillId="11" borderId="0" xfId="0" applyFill="1"/>
    <xf numFmtId="0" fontId="0" fillId="12" borderId="0" xfId="0" applyFill="1"/>
    <xf numFmtId="164" fontId="0" fillId="0" borderId="20" xfId="2" applyFont="1" applyFill="1" applyBorder="1" applyProtection="1"/>
    <xf numFmtId="43" fontId="0" fillId="0" borderId="20" xfId="0" applyNumberFormat="1" applyBorder="1"/>
    <xf numFmtId="164" fontId="0" fillId="0" borderId="30" xfId="2" applyFont="1" applyFill="1" applyBorder="1" applyProtection="1"/>
    <xf numFmtId="43" fontId="0" fillId="0" borderId="30" xfId="0" applyNumberFormat="1" applyBorder="1"/>
    <xf numFmtId="0" fontId="0" fillId="0" borderId="20" xfId="0" applyBorder="1"/>
    <xf numFmtId="164" fontId="0" fillId="0" borderId="20" xfId="2" applyFont="1" applyBorder="1"/>
    <xf numFmtId="164" fontId="0" fillId="8" borderId="20" xfId="2" applyFont="1" applyFill="1" applyBorder="1"/>
    <xf numFmtId="164" fontId="0" fillId="0" borderId="0" xfId="2" applyFont="1" applyBorder="1"/>
    <xf numFmtId="164" fontId="0" fillId="8" borderId="0" xfId="2" applyFont="1" applyFill="1" applyBorder="1"/>
    <xf numFmtId="0" fontId="0" fillId="0" borderId="30" xfId="0" applyBorder="1"/>
    <xf numFmtId="164" fontId="0" fillId="0" borderId="30" xfId="2" applyFont="1" applyBorder="1"/>
    <xf numFmtId="164" fontId="0" fillId="8" borderId="30" xfId="2" applyFont="1" applyFill="1" applyBorder="1"/>
    <xf numFmtId="0" fontId="0" fillId="11" borderId="20" xfId="0" applyFill="1" applyBorder="1"/>
    <xf numFmtId="43" fontId="0" fillId="11" borderId="20" xfId="0" applyNumberFormat="1" applyFill="1" applyBorder="1"/>
    <xf numFmtId="0" fontId="0" fillId="11" borderId="30" xfId="0" applyFill="1" applyBorder="1"/>
    <xf numFmtId="43" fontId="0" fillId="11" borderId="30" xfId="0" applyNumberFormat="1" applyFill="1" applyBorder="1"/>
    <xf numFmtId="164" fontId="0" fillId="0" borderId="20" xfId="0" applyNumberFormat="1" applyBorder="1"/>
    <xf numFmtId="0" fontId="0" fillId="12" borderId="30" xfId="0" applyFill="1" applyBorder="1"/>
    <xf numFmtId="43" fontId="0" fillId="12" borderId="30" xfId="0" applyNumberFormat="1" applyFill="1" applyBorder="1"/>
    <xf numFmtId="43" fontId="0" fillId="12" borderId="31" xfId="0" applyNumberFormat="1" applyFill="1" applyBorder="1"/>
    <xf numFmtId="17" fontId="4" fillId="0" borderId="0" xfId="0" applyNumberFormat="1" applyFont="1" applyAlignment="1">
      <alignment horizontal="center" vertical="center"/>
    </xf>
    <xf numFmtId="164" fontId="0" fillId="0" borderId="0" xfId="2" applyFont="1" applyBorder="1" applyProtection="1"/>
    <xf numFmtId="164" fontId="1" fillId="8" borderId="0" xfId="2" applyFont="1" applyFill="1" applyBorder="1" applyProtection="1"/>
    <xf numFmtId="164" fontId="4" fillId="0" borderId="0" xfId="2" applyFont="1" applyFill="1" applyBorder="1" applyProtection="1"/>
    <xf numFmtId="164" fontId="1" fillId="0" borderId="0" xfId="2" applyFont="1" applyFill="1" applyBorder="1" applyProtection="1"/>
    <xf numFmtId="164" fontId="0" fillId="0" borderId="3" xfId="0" applyNumberFormat="1" applyBorder="1"/>
    <xf numFmtId="10" fontId="0" fillId="0" borderId="7" xfId="1" applyNumberFormat="1" applyFont="1" applyFill="1" applyBorder="1"/>
    <xf numFmtId="164" fontId="0" fillId="0" borderId="5" xfId="0" applyNumberFormat="1" applyBorder="1"/>
    <xf numFmtId="164" fontId="0" fillId="0" borderId="20" xfId="2" applyFont="1" applyFill="1" applyBorder="1"/>
    <xf numFmtId="164" fontId="0" fillId="0" borderId="0" xfId="2" applyFont="1" applyFill="1" applyBorder="1"/>
    <xf numFmtId="164" fontId="0" fillId="0" borderId="30" xfId="2" applyFont="1" applyFill="1" applyBorder="1"/>
    <xf numFmtId="43" fontId="0" fillId="0" borderId="26" xfId="0" applyNumberFormat="1" applyBorder="1"/>
    <xf numFmtId="0" fontId="0" fillId="0" borderId="28" xfId="0" applyBorder="1"/>
    <xf numFmtId="43" fontId="0" fillId="0" borderId="31" xfId="0" applyNumberFormat="1" applyBorder="1"/>
    <xf numFmtId="164" fontId="0" fillId="0" borderId="26" xfId="2" applyFont="1" applyFill="1" applyBorder="1"/>
    <xf numFmtId="164" fontId="0" fillId="0" borderId="28" xfId="2" applyFont="1" applyFill="1" applyBorder="1"/>
    <xf numFmtId="164" fontId="0" fillId="0" borderId="31" xfId="2" applyFont="1" applyFill="1" applyBorder="1"/>
    <xf numFmtId="164" fontId="0" fillId="0" borderId="0" xfId="2" applyFont="1"/>
    <xf numFmtId="164" fontId="4" fillId="0" borderId="5" xfId="2" applyFont="1" applyFill="1" applyBorder="1" applyAlignment="1" applyProtection="1">
      <alignment horizontal="center"/>
    </xf>
    <xf numFmtId="164" fontId="1" fillId="0" borderId="5" xfId="2" applyFont="1" applyBorder="1" applyProtection="1"/>
    <xf numFmtId="164" fontId="1" fillId="0" borderId="3" xfId="0" applyNumberFormat="1" applyFont="1" applyBorder="1"/>
    <xf numFmtId="10" fontId="1" fillId="0" borderId="7" xfId="1" applyNumberFormat="1" applyFont="1" applyFill="1" applyBorder="1"/>
    <xf numFmtId="164" fontId="1" fillId="0" borderId="5" xfId="0" applyNumberFormat="1" applyFont="1" applyBorder="1"/>
    <xf numFmtId="43" fontId="1" fillId="0" borderId="20" xfId="0" applyNumberFormat="1" applyFont="1" applyBorder="1"/>
    <xf numFmtId="43" fontId="1" fillId="0" borderId="30" xfId="0" applyNumberFormat="1" applyFont="1" applyBorder="1"/>
    <xf numFmtId="164" fontId="1" fillId="0" borderId="20" xfId="2" applyFont="1" applyBorder="1"/>
    <xf numFmtId="164" fontId="1" fillId="0" borderId="0" xfId="2" applyFont="1" applyBorder="1"/>
    <xf numFmtId="164" fontId="1" fillId="0" borderId="30" xfId="2" applyFont="1" applyBorder="1"/>
    <xf numFmtId="43" fontId="1" fillId="11" borderId="20" xfId="0" applyNumberFormat="1" applyFont="1" applyFill="1" applyBorder="1"/>
    <xf numFmtId="43" fontId="1" fillId="11" borderId="30" xfId="0" applyNumberFormat="1" applyFont="1" applyFill="1" applyBorder="1"/>
    <xf numFmtId="43" fontId="1" fillId="12" borderId="30" xfId="0" applyNumberFormat="1" applyFont="1" applyFill="1" applyBorder="1"/>
    <xf numFmtId="164" fontId="4" fillId="12" borderId="4" xfId="2" applyFont="1" applyFill="1" applyBorder="1" applyProtection="1"/>
    <xf numFmtId="10" fontId="4" fillId="13" borderId="4" xfId="1" applyNumberFormat="1" applyFont="1" applyFill="1" applyBorder="1" applyProtection="1"/>
    <xf numFmtId="10" fontId="4" fillId="13" borderId="7" xfId="1" applyNumberFormat="1" applyFont="1" applyFill="1" applyBorder="1"/>
    <xf numFmtId="164" fontId="0" fillId="0" borderId="0" xfId="0" applyNumberFormat="1"/>
    <xf numFmtId="43" fontId="0" fillId="8" borderId="0" xfId="0" applyNumberFormat="1" applyFill="1"/>
    <xf numFmtId="43" fontId="1" fillId="0" borderId="0" xfId="0" applyNumberFormat="1" applyFont="1"/>
    <xf numFmtId="164" fontId="0" fillId="0" borderId="0" xfId="2" applyFont="1" applyFill="1" applyBorder="1" applyProtection="1"/>
    <xf numFmtId="0" fontId="8" fillId="12" borderId="1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10" fontId="0" fillId="14" borderId="16" xfId="1" applyNumberFormat="1" applyFont="1" applyFill="1" applyBorder="1" applyAlignment="1">
      <alignment horizontal="center"/>
    </xf>
    <xf numFmtId="0" fontId="1" fillId="14" borderId="16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0" fillId="0" borderId="16" xfId="1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4" fontId="4" fillId="13" borderId="5" xfId="2" applyFont="1" applyFill="1" applyBorder="1" applyProtection="1"/>
    <xf numFmtId="164" fontId="4" fillId="13" borderId="3" xfId="2" applyFont="1" applyFill="1" applyBorder="1" applyProtection="1"/>
    <xf numFmtId="164" fontId="0" fillId="13" borderId="3" xfId="0" applyNumberFormat="1" applyFill="1" applyBorder="1"/>
    <xf numFmtId="164" fontId="1" fillId="13" borderId="5" xfId="2" applyFont="1" applyFill="1" applyBorder="1" applyProtection="1"/>
    <xf numFmtId="164" fontId="1" fillId="13" borderId="3" xfId="0" applyNumberFormat="1" applyFont="1" applyFill="1" applyBorder="1"/>
    <xf numFmtId="170" fontId="0" fillId="0" borderId="0" xfId="0" applyNumberFormat="1"/>
    <xf numFmtId="17" fontId="4" fillId="9" borderId="10" xfId="0" applyNumberFormat="1" applyFont="1" applyFill="1" applyBorder="1" applyAlignment="1" applyProtection="1">
      <alignment horizontal="center"/>
      <protection locked="0"/>
    </xf>
    <xf numFmtId="0" fontId="4" fillId="9" borderId="10" xfId="0" applyFont="1" applyFill="1" applyBorder="1" applyAlignment="1">
      <alignment horizontal="centerContinuous"/>
    </xf>
    <xf numFmtId="0" fontId="4" fillId="9" borderId="11" xfId="0" applyFont="1" applyFill="1" applyBorder="1" applyAlignment="1">
      <alignment horizontal="centerContinuous"/>
    </xf>
    <xf numFmtId="17" fontId="4" fillId="11" borderId="0" xfId="1" applyNumberFormat="1" applyFont="1" applyFill="1" applyBorder="1" applyAlignment="1" applyProtection="1">
      <alignment horizontal="center"/>
    </xf>
    <xf numFmtId="165" fontId="0" fillId="11" borderId="0" xfId="1" applyNumberFormat="1" applyFont="1" applyFill="1" applyBorder="1" applyProtection="1"/>
    <xf numFmtId="0" fontId="4" fillId="9" borderId="0" xfId="0" applyFont="1" applyFill="1" applyProtection="1">
      <protection locked="0"/>
    </xf>
    <xf numFmtId="0" fontId="4" fillId="9" borderId="35" xfId="0" applyFont="1" applyFill="1" applyBorder="1" applyAlignment="1" applyProtection="1">
      <alignment horizontal="center"/>
      <protection locked="0"/>
    </xf>
    <xf numFmtId="0" fontId="4" fillId="9" borderId="36" xfId="0" applyFont="1" applyFill="1" applyBorder="1" applyAlignment="1" applyProtection="1">
      <alignment horizontal="center"/>
      <protection locked="0"/>
    </xf>
    <xf numFmtId="10" fontId="4" fillId="9" borderId="37" xfId="0" applyNumberFormat="1" applyFont="1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20" fillId="0" borderId="3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0" fillId="0" borderId="41" xfId="0" applyBorder="1" applyAlignment="1" applyProtection="1">
      <alignment horizontal="center"/>
      <protection locked="0"/>
    </xf>
    <xf numFmtId="0" fontId="2" fillId="0" borderId="42" xfId="0" applyFont="1" applyBorder="1" applyAlignment="1">
      <alignment horizontal="center"/>
    </xf>
    <xf numFmtId="168" fontId="1" fillId="8" borderId="40" xfId="1" applyNumberFormat="1" applyFont="1" applyFill="1" applyBorder="1" applyProtection="1"/>
    <xf numFmtId="168" fontId="1" fillId="8" borderId="43" xfId="1" applyNumberFormat="1" applyFont="1" applyFill="1" applyBorder="1" applyProtection="1"/>
    <xf numFmtId="4" fontId="0" fillId="0" borderId="0" xfId="0" applyNumberFormat="1"/>
    <xf numFmtId="164" fontId="2" fillId="11" borderId="4" xfId="2" applyFont="1" applyFill="1" applyBorder="1" applyProtection="1"/>
    <xf numFmtId="14" fontId="0" fillId="0" borderId="0" xfId="0" applyNumberFormat="1"/>
    <xf numFmtId="0" fontId="4" fillId="8" borderId="9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49" fontId="4" fillId="8" borderId="9" xfId="0" applyNumberFormat="1" applyFont="1" applyFill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4" fontId="4" fillId="8" borderId="9" xfId="5" applyFont="1" applyFill="1" applyBorder="1" applyAlignment="1">
      <alignment horizontal="center"/>
    </xf>
    <xf numFmtId="44" fontId="4" fillId="0" borderId="9" xfId="5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4" fontId="13" fillId="0" borderId="1" xfId="2" applyFont="1" applyBorder="1" applyAlignment="1" applyProtection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4" fillId="8" borderId="0" xfId="2" applyFont="1" applyFill="1" applyBorder="1" applyAlignment="1" applyProtection="1">
      <alignment horizontal="center" wrapText="1"/>
    </xf>
    <xf numFmtId="49" fontId="4" fillId="8" borderId="0" xfId="2" applyNumberFormat="1" applyFont="1" applyFill="1" applyBorder="1" applyAlignment="1" applyProtection="1">
      <alignment horizontal="left" wrapText="1"/>
    </xf>
    <xf numFmtId="0" fontId="4" fillId="0" borderId="0" xfId="0" applyFont="1" applyAlignment="1">
      <alignment wrapText="1"/>
    </xf>
    <xf numFmtId="164" fontId="0" fillId="2" borderId="3" xfId="2" applyFont="1" applyFill="1" applyBorder="1" applyProtection="1"/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/>
    <xf numFmtId="0" fontId="4" fillId="8" borderId="0" xfId="2" applyNumberFormat="1" applyFont="1" applyFill="1" applyBorder="1" applyAlignment="1" applyProtection="1">
      <alignment horizontal="center" wrapText="1"/>
    </xf>
    <xf numFmtId="10" fontId="0" fillId="0" borderId="18" xfId="1" applyNumberFormat="1" applyFont="1" applyFill="1" applyBorder="1"/>
    <xf numFmtId="2" fontId="0" fillId="0" borderId="0" xfId="0" applyNumberFormat="1"/>
    <xf numFmtId="2" fontId="16" fillId="0" borderId="1" xfId="2" applyNumberFormat="1" applyFont="1" applyBorder="1" applyProtection="1"/>
    <xf numFmtId="0" fontId="4" fillId="0" borderId="9" xfId="5" applyNumberFormat="1" applyFont="1" applyFill="1" applyBorder="1" applyAlignment="1">
      <alignment horizontal="center"/>
    </xf>
    <xf numFmtId="0" fontId="16" fillId="0" borderId="0" xfId="2" applyNumberFormat="1" applyFont="1" applyProtection="1"/>
    <xf numFmtId="164" fontId="0" fillId="0" borderId="16" xfId="2" applyFont="1" applyBorder="1" applyProtection="1"/>
    <xf numFmtId="0" fontId="24" fillId="0" borderId="0" xfId="0" applyFont="1"/>
    <xf numFmtId="0" fontId="26" fillId="0" borderId="0" xfId="0" applyFont="1"/>
    <xf numFmtId="44" fontId="16" fillId="0" borderId="16" xfId="5" applyFont="1" applyBorder="1" applyProtection="1"/>
    <xf numFmtId="44" fontId="0" fillId="0" borderId="0" xfId="5" applyFont="1"/>
    <xf numFmtId="164" fontId="26" fillId="13" borderId="16" xfId="2" applyFont="1" applyFill="1" applyBorder="1" applyProtection="1"/>
    <xf numFmtId="44" fontId="26" fillId="13" borderId="16" xfId="5" applyFont="1" applyFill="1" applyBorder="1" applyProtection="1"/>
    <xf numFmtId="17" fontId="4" fillId="0" borderId="9" xfId="5" applyNumberFormat="1" applyFont="1" applyFill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44" fontId="4" fillId="0" borderId="1" xfId="5" applyFont="1" applyFill="1" applyBorder="1" applyAlignment="1" applyProtection="1">
      <alignment horizontal="center"/>
      <protection locked="0"/>
    </xf>
    <xf numFmtId="44" fontId="4" fillId="0" borderId="9" xfId="5" applyFont="1" applyFill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8" borderId="9" xfId="0" applyFont="1" applyFill="1" applyBorder="1" applyAlignment="1" applyProtection="1">
      <alignment horizontal="center"/>
      <protection locked="0"/>
    </xf>
    <xf numFmtId="49" fontId="4" fillId="8" borderId="9" xfId="0" applyNumberFormat="1" applyFont="1" applyFill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9" fontId="26" fillId="13" borderId="16" xfId="1" applyFont="1" applyFill="1" applyBorder="1" applyProtection="1"/>
    <xf numFmtId="9" fontId="16" fillId="0" borderId="16" xfId="1" applyFont="1" applyBorder="1" applyProtection="1"/>
    <xf numFmtId="164" fontId="21" fillId="0" borderId="8" xfId="2" applyFont="1" applyFill="1" applyBorder="1" applyAlignment="1" applyProtection="1">
      <alignment horizontal="center"/>
    </xf>
    <xf numFmtId="0" fontId="22" fillId="0" borderId="1" xfId="0" applyFont="1" applyBorder="1" applyAlignment="1">
      <alignment horizontal="center"/>
    </xf>
    <xf numFmtId="0" fontId="22" fillId="0" borderId="9" xfId="0" applyFont="1" applyBorder="1" applyAlignment="1" applyProtection="1">
      <alignment horizontal="center"/>
      <protection locked="0"/>
    </xf>
    <xf numFmtId="0" fontId="22" fillId="0" borderId="9" xfId="0" applyFont="1" applyBorder="1" applyAlignment="1">
      <alignment horizontal="center"/>
    </xf>
    <xf numFmtId="0" fontId="24" fillId="0" borderId="0" xfId="0" applyFont="1" applyAlignment="1">
      <alignment vertical="center"/>
    </xf>
    <xf numFmtId="0" fontId="28" fillId="0" borderId="9" xfId="0" applyFont="1" applyBorder="1" applyAlignment="1">
      <alignment horizontal="center"/>
    </xf>
    <xf numFmtId="14" fontId="10" fillId="0" borderId="0" xfId="1" applyNumberFormat="1" applyFont="1" applyAlignment="1" applyProtection="1">
      <protection locked="0"/>
    </xf>
    <xf numFmtId="169" fontId="4" fillId="9" borderId="10" xfId="1" applyNumberFormat="1" applyFont="1" applyFill="1" applyBorder="1" applyAlignment="1" applyProtection="1">
      <alignment horizontal="center"/>
    </xf>
    <xf numFmtId="169" fontId="4" fillId="9" borderId="15" xfId="1" applyNumberFormat="1" applyFont="1" applyFill="1" applyBorder="1" applyAlignment="1" applyProtection="1">
      <alignment horizontal="center"/>
    </xf>
    <xf numFmtId="169" fontId="4" fillId="9" borderId="11" xfId="1" applyNumberFormat="1" applyFont="1" applyFill="1" applyBorder="1" applyAlignment="1" applyProtection="1">
      <alignment horizontal="center"/>
    </xf>
    <xf numFmtId="169" fontId="4" fillId="9" borderId="10" xfId="1" applyNumberFormat="1" applyFont="1" applyFill="1" applyBorder="1" applyAlignment="1" applyProtection="1">
      <alignment horizontal="center"/>
      <protection locked="0"/>
    </xf>
    <xf numFmtId="169" fontId="4" fillId="9" borderId="15" xfId="1" applyNumberFormat="1" applyFont="1" applyFill="1" applyBorder="1" applyAlignment="1" applyProtection="1">
      <alignment horizontal="center"/>
      <protection locked="0"/>
    </xf>
    <xf numFmtId="169" fontId="4" fillId="9" borderId="11" xfId="1" applyNumberFormat="1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alignment horizontal="center"/>
      <protection locked="0"/>
    </xf>
    <xf numFmtId="17" fontId="4" fillId="0" borderId="12" xfId="0" applyNumberFormat="1" applyFont="1" applyBorder="1" applyAlignment="1">
      <alignment horizontal="center" vertical="center" wrapText="1"/>
    </xf>
    <xf numFmtId="17" fontId="4" fillId="0" borderId="13" xfId="0" applyNumberFormat="1" applyFont="1" applyBorder="1" applyAlignment="1">
      <alignment horizontal="center" vertical="center" wrapText="1"/>
    </xf>
    <xf numFmtId="17" fontId="4" fillId="0" borderId="14" xfId="0" applyNumberFormat="1" applyFont="1" applyBorder="1" applyAlignment="1">
      <alignment horizontal="center" vertical="center" wrapText="1"/>
    </xf>
    <xf numFmtId="17" fontId="4" fillId="0" borderId="19" xfId="0" applyNumberFormat="1" applyFont="1" applyBorder="1" applyAlignment="1">
      <alignment horizontal="center" vertical="center" wrapText="1"/>
    </xf>
    <xf numFmtId="17" fontId="4" fillId="0" borderId="2" xfId="0" applyNumberFormat="1" applyFont="1" applyBorder="1" applyAlignment="1">
      <alignment horizontal="center" vertical="center"/>
    </xf>
    <xf numFmtId="17" fontId="4" fillId="0" borderId="4" xfId="0" applyNumberFormat="1" applyFont="1" applyBorder="1" applyAlignment="1">
      <alignment horizontal="center" vertical="center"/>
    </xf>
    <xf numFmtId="17" fontId="4" fillId="0" borderId="5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17" fontId="4" fillId="0" borderId="16" xfId="0" applyNumberFormat="1" applyFont="1" applyBorder="1" applyAlignment="1">
      <alignment horizontal="center" vertical="center"/>
    </xf>
    <xf numFmtId="17" fontId="4" fillId="0" borderId="32" xfId="0" applyNumberFormat="1" applyFont="1" applyBorder="1" applyAlignment="1">
      <alignment horizontal="center" vertical="center"/>
    </xf>
    <xf numFmtId="17" fontId="4" fillId="0" borderId="33" xfId="0" applyNumberFormat="1" applyFont="1" applyBorder="1" applyAlignment="1">
      <alignment horizontal="center" vertical="center"/>
    </xf>
    <xf numFmtId="17" fontId="4" fillId="0" borderId="34" xfId="0" applyNumberFormat="1" applyFont="1" applyBorder="1" applyAlignment="1">
      <alignment horizontal="center" vertical="center"/>
    </xf>
    <xf numFmtId="17" fontId="27" fillId="13" borderId="16" xfId="0" applyNumberFormat="1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6" fillId="0" borderId="0" xfId="0" applyNumberFormat="1" applyFont="1"/>
    <xf numFmtId="0" fontId="8" fillId="0" borderId="0" xfId="0" applyNumberFormat="1" applyFont="1" applyAlignment="1">
      <alignment wrapText="1"/>
    </xf>
    <xf numFmtId="0" fontId="8" fillId="0" borderId="1" xfId="2" applyNumberFormat="1" applyFont="1" applyBorder="1" applyAlignment="1" applyProtection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</cellXfs>
  <cellStyles count="6">
    <cellStyle name="Moeda" xfId="5" builtinId="4"/>
    <cellStyle name="Normal" xfId="0" builtinId="0"/>
    <cellStyle name="Normal 2" xfId="3" xr:uid="{00000000-0005-0000-0000-000001000000}"/>
    <cellStyle name="Porcentagem" xfId="1" builtinId="5"/>
    <cellStyle name="Vírgula" xfId="2" builtinId="3"/>
    <cellStyle name="Vírgula 2" xfId="4" xr:uid="{00000000-0005-0000-0000-000004000000}"/>
  </cellStyles>
  <dxfs count="2">
    <dxf>
      <font>
        <b/>
        <i/>
      </font>
      <fill>
        <patternFill>
          <bgColor rgb="FF92D050"/>
        </patternFill>
      </fill>
    </dxf>
    <dxf>
      <font>
        <b/>
        <i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1562100</xdr:colOff>
      <xdr:row>1</xdr:row>
      <xdr:rowOff>47625</xdr:rowOff>
    </xdr:from>
    <xdr:to>
      <xdr:col>0</xdr:col>
      <xdr:colOff>2952750</xdr:colOff>
      <xdr:row>2</xdr:row>
      <xdr:rowOff>447675</xdr:rowOff>
    </xdr:to>
    <xdr:sp macro="[0]!Competência.competenc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0DAD2C4-4437-F35A-24F4-99CA2C5121A3}"/>
            </a:ext>
          </a:extLst>
        </xdr:cNvPr>
        <xdr:cNvSpPr/>
      </xdr:nvSpPr>
      <xdr:spPr>
        <a:xfrm>
          <a:off x="1562100" y="209550"/>
          <a:ext cx="13906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6" tint="0.59999389629810485"/>
  </sheetPr>
  <dimension ref="B2:O83"/>
  <sheetViews>
    <sheetView showGridLines="0" showZeros="0" zoomScaleNormal="100" workbookViewId="0">
      <selection activeCell="K8" sqref="K8"/>
    </sheetView>
  </sheetViews>
  <sheetFormatPr defaultColWidth="9.140625" defaultRowHeight="12.75" x14ac:dyDescent="0.2"/>
  <cols>
    <col min="1" max="1" width="4.140625" style="1" customWidth="1"/>
    <col min="2" max="3" width="15.5703125" style="33" customWidth="1"/>
    <col min="4" max="4" width="11.85546875" style="1" customWidth="1"/>
    <col min="5" max="5" width="11.42578125" style="109" customWidth="1"/>
    <col min="6" max="6" width="16.42578125" style="4" customWidth="1"/>
    <col min="7" max="7" width="11.7109375" style="4" customWidth="1"/>
    <col min="8" max="8" width="14.42578125" style="4" customWidth="1"/>
    <col min="9" max="10" width="18" style="4" customWidth="1"/>
    <col min="11" max="11" width="15.42578125" style="1" customWidth="1"/>
    <col min="12" max="12" width="11.28515625" style="1" bestFit="1" customWidth="1"/>
    <col min="13" max="13" width="9" style="1" bestFit="1" customWidth="1"/>
    <col min="14" max="14" width="14.7109375" style="1" bestFit="1" customWidth="1"/>
    <col min="15" max="16384" width="9.140625" style="1"/>
  </cols>
  <sheetData>
    <row r="2" spans="2:15" ht="19.5" x14ac:dyDescent="0.3">
      <c r="B2" s="39"/>
      <c r="C2" s="39"/>
      <c r="D2" s="39"/>
      <c r="E2" s="39"/>
      <c r="F2" s="311"/>
      <c r="G2" s="39"/>
      <c r="H2" s="39"/>
      <c r="I2" s="39"/>
      <c r="J2" s="39"/>
      <c r="K2" s="39"/>
      <c r="L2" s="39"/>
      <c r="M2" s="39"/>
      <c r="N2" s="39"/>
      <c r="O2" s="39"/>
    </row>
    <row r="4" spans="2:15" ht="26.25" x14ac:dyDescent="0.4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15" ht="13.5" thickBot="1" x14ac:dyDescent="0.25"/>
    <row r="6" spans="2:15" ht="13.5" thickBot="1" x14ac:dyDescent="0.25">
      <c r="E6" s="108"/>
      <c r="G6" s="315" t="s">
        <v>48</v>
      </c>
      <c r="H6" s="316"/>
      <c r="I6" s="316"/>
      <c r="J6" s="317"/>
    </row>
    <row r="7" spans="2:15" ht="13.5" thickBot="1" x14ac:dyDescent="0.25">
      <c r="B7" s="34"/>
      <c r="C7" s="34"/>
      <c r="D7" s="56" t="s">
        <v>27</v>
      </c>
      <c r="E7" s="92">
        <f>SUM(E9:E80)</f>
        <v>0</v>
      </c>
      <c r="F7" s="5"/>
      <c r="G7" s="312" t="s">
        <v>157</v>
      </c>
      <c r="H7" s="313"/>
      <c r="I7" s="313"/>
      <c r="J7" s="314"/>
      <c r="N7" s="250" t="s">
        <v>183</v>
      </c>
    </row>
    <row r="8" spans="2:15" ht="14.25" thickTop="1" thickBot="1" x14ac:dyDescent="0.25">
      <c r="B8" s="57" t="s">
        <v>3</v>
      </c>
      <c r="C8" s="245" t="s">
        <v>182</v>
      </c>
      <c r="D8" s="246" t="s">
        <v>29</v>
      </c>
      <c r="E8" s="247"/>
      <c r="F8" s="6"/>
      <c r="G8" s="76"/>
      <c r="H8" s="77" t="s">
        <v>2</v>
      </c>
      <c r="I8" s="77" t="s">
        <v>4</v>
      </c>
      <c r="J8" s="78" t="s">
        <v>31</v>
      </c>
      <c r="L8" s="251" t="s">
        <v>185</v>
      </c>
      <c r="M8" s="252" t="s">
        <v>186</v>
      </c>
      <c r="N8" s="253">
        <f>SUM(N9:N68)</f>
        <v>1.0000000200000008</v>
      </c>
    </row>
    <row r="9" spans="2:15" x14ac:dyDescent="0.2">
      <c r="B9" s="152">
        <v>43586</v>
      </c>
      <c r="C9" s="152" t="s">
        <v>190</v>
      </c>
      <c r="D9" s="159">
        <v>11</v>
      </c>
      <c r="E9" s="158">
        <f t="shared" ref="E9:E40" si="0">IF(B9="","",IF(C9="VENDA",VLOOKUP(D9,M:N,2,0),-VLOOKUP(D9,M:N,2,0)))</f>
        <v>1.600418E-2</v>
      </c>
      <c r="F9" s="129"/>
      <c r="G9" s="41">
        <v>43556</v>
      </c>
      <c r="H9" s="42">
        <f t="shared" ref="H9:H49" si="1">SUMIFS(E:E,B:B,G9)</f>
        <v>0</v>
      </c>
      <c r="I9" s="164">
        <f>+H9</f>
        <v>0</v>
      </c>
      <c r="J9" s="164">
        <v>1</v>
      </c>
      <c r="L9" s="254" t="str">
        <f>IF(SUMIFS(E:E,D:D,M9)*100&gt;0,"VENDIDO","ESTOQUE")</f>
        <v>VENDIDO</v>
      </c>
      <c r="M9" s="255">
        <v>11</v>
      </c>
      <c r="N9" s="261">
        <v>1.600418E-2</v>
      </c>
    </row>
    <row r="10" spans="2:15" x14ac:dyDescent="0.2">
      <c r="B10" s="153">
        <v>43586</v>
      </c>
      <c r="C10" s="152" t="s">
        <v>49</v>
      </c>
      <c r="D10" s="113">
        <v>12</v>
      </c>
      <c r="E10" s="158">
        <f t="shared" si="0"/>
        <v>-1.600418E-2</v>
      </c>
      <c r="F10" s="7"/>
      <c r="G10" s="10">
        <v>43586</v>
      </c>
      <c r="H10" s="64">
        <f t="shared" si="1"/>
        <v>0</v>
      </c>
      <c r="I10" s="165">
        <f>+I9+H10</f>
        <v>0</v>
      </c>
      <c r="J10" s="166">
        <f>100%-I10</f>
        <v>1</v>
      </c>
      <c r="L10" s="254" t="str">
        <f t="shared" ref="L10:L68" si="2">IF(SUMIFS(E:E,D:D,M10)*100&gt;0,"VENDIDO","ESTOQUE")</f>
        <v>ESTOQUE</v>
      </c>
      <c r="M10" s="256">
        <v>12</v>
      </c>
      <c r="N10" s="261">
        <v>1.600418E-2</v>
      </c>
    </row>
    <row r="11" spans="2:15" x14ac:dyDescent="0.2">
      <c r="B11" s="153"/>
      <c r="C11" s="152"/>
      <c r="D11" s="113">
        <v>13</v>
      </c>
      <c r="E11" s="158" t="str">
        <f t="shared" si="0"/>
        <v/>
      </c>
      <c r="F11" s="7"/>
      <c r="G11" s="10">
        <v>43617</v>
      </c>
      <c r="H11" s="64">
        <f t="shared" si="1"/>
        <v>0</v>
      </c>
      <c r="I11" s="165">
        <f t="shared" ref="I11:I49" si="3">+I10+H11</f>
        <v>0</v>
      </c>
      <c r="J11" s="166">
        <f>100%-I11</f>
        <v>1</v>
      </c>
      <c r="L11" s="254" t="str">
        <f t="shared" si="2"/>
        <v>ESTOQUE</v>
      </c>
      <c r="M11" s="256">
        <v>13</v>
      </c>
      <c r="N11" s="261">
        <v>1.600418E-2</v>
      </c>
    </row>
    <row r="12" spans="2:15" x14ac:dyDescent="0.2">
      <c r="B12" s="153"/>
      <c r="C12" s="152"/>
      <c r="D12" s="113">
        <v>14</v>
      </c>
      <c r="E12" s="158" t="str">
        <f t="shared" si="0"/>
        <v/>
      </c>
      <c r="F12" s="7"/>
      <c r="G12" s="10">
        <v>43647</v>
      </c>
      <c r="H12" s="64">
        <f t="shared" si="1"/>
        <v>0</v>
      </c>
      <c r="I12" s="165">
        <f t="shared" si="3"/>
        <v>0</v>
      </c>
      <c r="J12" s="166">
        <f t="shared" ref="J12:J49" si="4">100%-I12</f>
        <v>1</v>
      </c>
      <c r="L12" s="254" t="str">
        <f t="shared" si="2"/>
        <v>ESTOQUE</v>
      </c>
      <c r="M12" s="256">
        <v>14</v>
      </c>
      <c r="N12" s="261">
        <v>1.600418E-2</v>
      </c>
    </row>
    <row r="13" spans="2:15" x14ac:dyDescent="0.2">
      <c r="B13" s="153"/>
      <c r="C13" s="152"/>
      <c r="D13" s="142">
        <v>21</v>
      </c>
      <c r="E13" s="158" t="str">
        <f t="shared" si="0"/>
        <v/>
      </c>
      <c r="F13" s="7"/>
      <c r="G13" s="10">
        <v>43678</v>
      </c>
      <c r="H13" s="64">
        <f t="shared" si="1"/>
        <v>0</v>
      </c>
      <c r="I13" s="165">
        <f t="shared" si="3"/>
        <v>0</v>
      </c>
      <c r="J13" s="166">
        <f t="shared" si="4"/>
        <v>1</v>
      </c>
      <c r="L13" s="254" t="str">
        <f t="shared" si="2"/>
        <v>ESTOQUE</v>
      </c>
      <c r="M13" s="257">
        <v>21</v>
      </c>
      <c r="N13" s="261">
        <v>1.600418E-2</v>
      </c>
    </row>
    <row r="14" spans="2:15" x14ac:dyDescent="0.2">
      <c r="B14" s="153"/>
      <c r="C14" s="152"/>
      <c r="D14" s="113">
        <v>22</v>
      </c>
      <c r="E14" s="158" t="str">
        <f t="shared" si="0"/>
        <v/>
      </c>
      <c r="F14" s="7"/>
      <c r="G14" s="10">
        <v>43709</v>
      </c>
      <c r="H14" s="64">
        <f t="shared" si="1"/>
        <v>0</v>
      </c>
      <c r="I14" s="165">
        <f t="shared" si="3"/>
        <v>0</v>
      </c>
      <c r="J14" s="166">
        <f t="shared" si="4"/>
        <v>1</v>
      </c>
      <c r="L14" s="254" t="str">
        <f t="shared" si="2"/>
        <v>ESTOQUE</v>
      </c>
      <c r="M14" s="256">
        <v>22</v>
      </c>
      <c r="N14" s="261">
        <v>1.600418E-2</v>
      </c>
    </row>
    <row r="15" spans="2:15" x14ac:dyDescent="0.2">
      <c r="B15" s="153"/>
      <c r="C15" s="152"/>
      <c r="D15" s="142">
        <v>23</v>
      </c>
      <c r="E15" s="158" t="str">
        <f t="shared" si="0"/>
        <v/>
      </c>
      <c r="F15" s="7"/>
      <c r="G15" s="10">
        <v>43739</v>
      </c>
      <c r="H15" s="64">
        <f t="shared" si="1"/>
        <v>0</v>
      </c>
      <c r="I15" s="165">
        <f t="shared" si="3"/>
        <v>0</v>
      </c>
      <c r="J15" s="166">
        <f t="shared" si="4"/>
        <v>1</v>
      </c>
      <c r="L15" s="254" t="str">
        <f t="shared" si="2"/>
        <v>ESTOQUE</v>
      </c>
      <c r="M15" s="257">
        <v>23</v>
      </c>
      <c r="N15" s="261">
        <v>1.600418E-2</v>
      </c>
    </row>
    <row r="16" spans="2:15" x14ac:dyDescent="0.2">
      <c r="B16" s="153"/>
      <c r="C16" s="152"/>
      <c r="D16" s="113">
        <v>24</v>
      </c>
      <c r="E16" s="158" t="str">
        <f t="shared" si="0"/>
        <v/>
      </c>
      <c r="F16" s="7"/>
      <c r="G16" s="10">
        <v>43770</v>
      </c>
      <c r="H16" s="64">
        <f t="shared" si="1"/>
        <v>0</v>
      </c>
      <c r="I16" s="165">
        <f t="shared" si="3"/>
        <v>0</v>
      </c>
      <c r="J16" s="166">
        <f t="shared" si="4"/>
        <v>1</v>
      </c>
      <c r="L16" s="254" t="str">
        <f t="shared" si="2"/>
        <v>ESTOQUE</v>
      </c>
      <c r="M16" s="256">
        <v>24</v>
      </c>
      <c r="N16" s="261">
        <v>1.600418E-2</v>
      </c>
    </row>
    <row r="17" spans="2:14" x14ac:dyDescent="0.2">
      <c r="B17" s="153"/>
      <c r="C17" s="152"/>
      <c r="D17" s="113">
        <v>31</v>
      </c>
      <c r="E17" s="158" t="str">
        <f t="shared" si="0"/>
        <v/>
      </c>
      <c r="F17" s="7"/>
      <c r="G17" s="10">
        <v>43800</v>
      </c>
      <c r="H17" s="64">
        <f t="shared" si="1"/>
        <v>0</v>
      </c>
      <c r="I17" s="165">
        <f t="shared" si="3"/>
        <v>0</v>
      </c>
      <c r="J17" s="166">
        <f t="shared" si="4"/>
        <v>1</v>
      </c>
      <c r="L17" s="254" t="str">
        <f t="shared" si="2"/>
        <v>ESTOQUE</v>
      </c>
      <c r="M17" s="256">
        <v>31</v>
      </c>
      <c r="N17" s="261">
        <v>1.600418E-2</v>
      </c>
    </row>
    <row r="18" spans="2:14" x14ac:dyDescent="0.2">
      <c r="B18" s="153"/>
      <c r="C18" s="152"/>
      <c r="D18" s="142">
        <v>32</v>
      </c>
      <c r="E18" s="158" t="str">
        <f t="shared" si="0"/>
        <v/>
      </c>
      <c r="F18" s="7"/>
      <c r="G18" s="10">
        <v>43831</v>
      </c>
      <c r="H18" s="64">
        <f t="shared" si="1"/>
        <v>0</v>
      </c>
      <c r="I18" s="165">
        <f t="shared" si="3"/>
        <v>0</v>
      </c>
      <c r="J18" s="166">
        <f t="shared" si="4"/>
        <v>1</v>
      </c>
      <c r="L18" s="254" t="str">
        <f t="shared" si="2"/>
        <v>ESTOQUE</v>
      </c>
      <c r="M18" s="257">
        <v>32</v>
      </c>
      <c r="N18" s="261">
        <v>1.600418E-2</v>
      </c>
    </row>
    <row r="19" spans="2:14" x14ac:dyDescent="0.2">
      <c r="B19" s="153"/>
      <c r="C19" s="152"/>
      <c r="D19" s="113">
        <v>33</v>
      </c>
      <c r="E19" s="158" t="str">
        <f t="shared" si="0"/>
        <v/>
      </c>
      <c r="F19" s="7"/>
      <c r="G19" s="10">
        <v>43862</v>
      </c>
      <c r="H19" s="64">
        <f t="shared" si="1"/>
        <v>0</v>
      </c>
      <c r="I19" s="165">
        <f t="shared" si="3"/>
        <v>0</v>
      </c>
      <c r="J19" s="166">
        <f t="shared" si="4"/>
        <v>1</v>
      </c>
      <c r="L19" s="254" t="str">
        <f t="shared" si="2"/>
        <v>ESTOQUE</v>
      </c>
      <c r="M19" s="256">
        <v>33</v>
      </c>
      <c r="N19" s="261">
        <v>1.600418E-2</v>
      </c>
    </row>
    <row r="20" spans="2:14" x14ac:dyDescent="0.2">
      <c r="B20" s="153"/>
      <c r="C20" s="152"/>
      <c r="D20" s="113">
        <v>33</v>
      </c>
      <c r="E20" s="158" t="str">
        <f t="shared" si="0"/>
        <v/>
      </c>
      <c r="F20" s="129"/>
      <c r="G20" s="10">
        <v>43891</v>
      </c>
      <c r="H20" s="64">
        <f t="shared" si="1"/>
        <v>0</v>
      </c>
      <c r="I20" s="165">
        <f t="shared" si="3"/>
        <v>0</v>
      </c>
      <c r="J20" s="166">
        <f t="shared" si="4"/>
        <v>1</v>
      </c>
      <c r="L20" s="254" t="str">
        <f t="shared" si="2"/>
        <v>ESTOQUE</v>
      </c>
      <c r="M20" s="256">
        <v>34</v>
      </c>
      <c r="N20" s="261">
        <v>1.600418E-2</v>
      </c>
    </row>
    <row r="21" spans="2:14" x14ac:dyDescent="0.2">
      <c r="B21" s="153"/>
      <c r="C21" s="152"/>
      <c r="D21" s="113">
        <v>33</v>
      </c>
      <c r="E21" s="158" t="str">
        <f t="shared" si="0"/>
        <v/>
      </c>
      <c r="F21" s="7"/>
      <c r="G21" s="10">
        <v>43922</v>
      </c>
      <c r="H21" s="64">
        <f t="shared" si="1"/>
        <v>0</v>
      </c>
      <c r="I21" s="165">
        <f t="shared" si="3"/>
        <v>0</v>
      </c>
      <c r="J21" s="166">
        <f t="shared" si="4"/>
        <v>1</v>
      </c>
      <c r="L21" s="254" t="str">
        <f t="shared" si="2"/>
        <v>ESTOQUE</v>
      </c>
      <c r="M21" s="255">
        <v>41</v>
      </c>
      <c r="N21" s="261">
        <v>1.600418E-2</v>
      </c>
    </row>
    <row r="22" spans="2:14" x14ac:dyDescent="0.2">
      <c r="B22" s="153"/>
      <c r="C22" s="152"/>
      <c r="D22" s="113">
        <v>34</v>
      </c>
      <c r="E22" s="158" t="str">
        <f t="shared" si="0"/>
        <v/>
      </c>
      <c r="F22" s="7"/>
      <c r="G22" s="10">
        <v>43952</v>
      </c>
      <c r="H22" s="64">
        <f t="shared" si="1"/>
        <v>0</v>
      </c>
      <c r="I22" s="165">
        <f t="shared" si="3"/>
        <v>0</v>
      </c>
      <c r="J22" s="166">
        <f t="shared" si="4"/>
        <v>1</v>
      </c>
      <c r="L22" s="254" t="str">
        <f t="shared" si="2"/>
        <v>ESTOQUE</v>
      </c>
      <c r="M22" s="255">
        <v>42</v>
      </c>
      <c r="N22" s="261">
        <v>1.600418E-2</v>
      </c>
    </row>
    <row r="23" spans="2:14" x14ac:dyDescent="0.2">
      <c r="B23" s="153"/>
      <c r="C23" s="152"/>
      <c r="D23" s="140">
        <v>41</v>
      </c>
      <c r="E23" s="158" t="str">
        <f t="shared" si="0"/>
        <v/>
      </c>
      <c r="F23" s="55"/>
      <c r="G23" s="10">
        <v>43983</v>
      </c>
      <c r="H23" s="64">
        <f t="shared" si="1"/>
        <v>0</v>
      </c>
      <c r="I23" s="165">
        <f t="shared" si="3"/>
        <v>0</v>
      </c>
      <c r="J23" s="166">
        <f t="shared" si="4"/>
        <v>1</v>
      </c>
      <c r="L23" s="254" t="str">
        <f t="shared" si="2"/>
        <v>ESTOQUE</v>
      </c>
      <c r="M23" s="257">
        <v>43</v>
      </c>
      <c r="N23" s="261">
        <v>1.600418E-2</v>
      </c>
    </row>
    <row r="24" spans="2:14" x14ac:dyDescent="0.2">
      <c r="B24" s="153"/>
      <c r="C24" s="152"/>
      <c r="D24" s="140">
        <v>42</v>
      </c>
      <c r="E24" s="158" t="str">
        <f t="shared" si="0"/>
        <v/>
      </c>
      <c r="F24" s="7"/>
      <c r="G24" s="10">
        <v>44013</v>
      </c>
      <c r="H24" s="64">
        <f t="shared" si="1"/>
        <v>0</v>
      </c>
      <c r="I24" s="165">
        <f t="shared" si="3"/>
        <v>0</v>
      </c>
      <c r="J24" s="166">
        <f t="shared" si="4"/>
        <v>1</v>
      </c>
      <c r="L24" s="254" t="str">
        <f t="shared" si="2"/>
        <v>ESTOQUE</v>
      </c>
      <c r="M24" s="257">
        <v>44</v>
      </c>
      <c r="N24" s="261">
        <v>1.600418E-2</v>
      </c>
    </row>
    <row r="25" spans="2:14" x14ac:dyDescent="0.2">
      <c r="B25" s="153"/>
      <c r="C25" s="152"/>
      <c r="D25" s="142">
        <v>43</v>
      </c>
      <c r="E25" s="158" t="str">
        <f t="shared" si="0"/>
        <v/>
      </c>
      <c r="F25" s="7"/>
      <c r="G25" s="10">
        <v>44044</v>
      </c>
      <c r="H25" s="64">
        <f t="shared" si="1"/>
        <v>0</v>
      </c>
      <c r="I25" s="165">
        <f t="shared" si="3"/>
        <v>0</v>
      </c>
      <c r="J25" s="166">
        <f t="shared" si="4"/>
        <v>1</v>
      </c>
      <c r="L25" s="254" t="str">
        <f t="shared" si="2"/>
        <v>ESTOQUE</v>
      </c>
      <c r="M25" s="256">
        <v>51</v>
      </c>
      <c r="N25" s="261">
        <v>1.6556250000000002E-2</v>
      </c>
    </row>
    <row r="26" spans="2:14" x14ac:dyDescent="0.2">
      <c r="B26" s="153"/>
      <c r="C26" s="152"/>
      <c r="D26" s="142">
        <v>44</v>
      </c>
      <c r="E26" s="158" t="str">
        <f t="shared" si="0"/>
        <v/>
      </c>
      <c r="F26" s="7"/>
      <c r="G26" s="10">
        <v>44075</v>
      </c>
      <c r="H26" s="64">
        <f t="shared" si="1"/>
        <v>0</v>
      </c>
      <c r="I26" s="165">
        <f t="shared" si="3"/>
        <v>0</v>
      </c>
      <c r="J26" s="166">
        <f t="shared" si="4"/>
        <v>1</v>
      </c>
      <c r="L26" s="254" t="str">
        <f t="shared" si="2"/>
        <v>ESTOQUE</v>
      </c>
      <c r="M26" s="256">
        <v>52</v>
      </c>
      <c r="N26" s="261">
        <v>1.6556250000000002E-2</v>
      </c>
    </row>
    <row r="27" spans="2:14" x14ac:dyDescent="0.2">
      <c r="B27" s="153"/>
      <c r="C27" s="152"/>
      <c r="D27" s="113">
        <v>51</v>
      </c>
      <c r="E27" s="158" t="str">
        <f t="shared" si="0"/>
        <v/>
      </c>
      <c r="F27" s="7"/>
      <c r="G27" s="10">
        <v>44105</v>
      </c>
      <c r="H27" s="64">
        <f t="shared" si="1"/>
        <v>0</v>
      </c>
      <c r="I27" s="165">
        <f t="shared" si="3"/>
        <v>0</v>
      </c>
      <c r="J27" s="166">
        <f t="shared" si="4"/>
        <v>1</v>
      </c>
      <c r="L27" s="254" t="str">
        <f t="shared" si="2"/>
        <v>ESTOQUE</v>
      </c>
      <c r="M27" s="258">
        <v>53</v>
      </c>
      <c r="N27" s="261">
        <v>1.6556250000000002E-2</v>
      </c>
    </row>
    <row r="28" spans="2:14" x14ac:dyDescent="0.2">
      <c r="B28" s="153"/>
      <c r="C28" s="152"/>
      <c r="D28" s="113">
        <v>52</v>
      </c>
      <c r="E28" s="158" t="str">
        <f t="shared" si="0"/>
        <v/>
      </c>
      <c r="F28" s="7"/>
      <c r="G28" s="10">
        <v>44136</v>
      </c>
      <c r="H28" s="64">
        <f t="shared" si="1"/>
        <v>0</v>
      </c>
      <c r="I28" s="165">
        <f t="shared" si="3"/>
        <v>0</v>
      </c>
      <c r="J28" s="166">
        <f t="shared" si="4"/>
        <v>1</v>
      </c>
      <c r="L28" s="254" t="str">
        <f t="shared" si="2"/>
        <v>ESTOQUE</v>
      </c>
      <c r="M28" s="256">
        <v>54</v>
      </c>
      <c r="N28" s="261">
        <v>1.600418E-2</v>
      </c>
    </row>
    <row r="29" spans="2:14" x14ac:dyDescent="0.2">
      <c r="B29" s="153"/>
      <c r="C29" s="152"/>
      <c r="D29" s="127">
        <v>53</v>
      </c>
      <c r="E29" s="158" t="str">
        <f t="shared" si="0"/>
        <v/>
      </c>
      <c r="F29" s="8"/>
      <c r="G29" s="10">
        <v>44166</v>
      </c>
      <c r="H29" s="64">
        <f t="shared" si="1"/>
        <v>0</v>
      </c>
      <c r="I29" s="165">
        <f>+I28+H29</f>
        <v>0</v>
      </c>
      <c r="J29" s="166">
        <f t="shared" si="4"/>
        <v>1</v>
      </c>
      <c r="L29" s="254" t="str">
        <f t="shared" si="2"/>
        <v>ESTOQUE</v>
      </c>
      <c r="M29" s="256">
        <v>61</v>
      </c>
      <c r="N29" s="261">
        <v>1.6556250000000002E-2</v>
      </c>
    </row>
    <row r="30" spans="2:14" x14ac:dyDescent="0.2">
      <c r="B30" s="153"/>
      <c r="C30" s="152"/>
      <c r="D30" s="113">
        <v>54</v>
      </c>
      <c r="E30" s="158" t="str">
        <f t="shared" si="0"/>
        <v/>
      </c>
      <c r="F30" s="8"/>
      <c r="G30" s="10">
        <v>44197</v>
      </c>
      <c r="H30" s="64">
        <f t="shared" si="1"/>
        <v>0</v>
      </c>
      <c r="I30" s="165">
        <f t="shared" si="3"/>
        <v>0</v>
      </c>
      <c r="J30" s="166">
        <f t="shared" si="4"/>
        <v>1</v>
      </c>
      <c r="L30" s="254" t="str">
        <f t="shared" si="2"/>
        <v>ESTOQUE</v>
      </c>
      <c r="M30" s="256">
        <v>62</v>
      </c>
      <c r="N30" s="261">
        <v>1.6556250000000002E-2</v>
      </c>
    </row>
    <row r="31" spans="2:14" x14ac:dyDescent="0.2">
      <c r="B31" s="153"/>
      <c r="C31" s="152"/>
      <c r="D31" s="113">
        <v>61</v>
      </c>
      <c r="E31" s="158" t="str">
        <f t="shared" si="0"/>
        <v/>
      </c>
      <c r="F31" s="8"/>
      <c r="G31" s="10">
        <v>44228</v>
      </c>
      <c r="H31" s="64">
        <f t="shared" si="1"/>
        <v>0</v>
      </c>
      <c r="I31" s="165">
        <f t="shared" si="3"/>
        <v>0</v>
      </c>
      <c r="J31" s="166">
        <f t="shared" si="4"/>
        <v>1</v>
      </c>
      <c r="L31" s="254" t="str">
        <f t="shared" si="2"/>
        <v>ESTOQUE</v>
      </c>
      <c r="M31" s="256">
        <v>63</v>
      </c>
      <c r="N31" s="261">
        <v>1.6556250000000002E-2</v>
      </c>
    </row>
    <row r="32" spans="2:14" x14ac:dyDescent="0.2">
      <c r="B32" s="153"/>
      <c r="C32" s="152"/>
      <c r="D32" s="113">
        <v>61</v>
      </c>
      <c r="E32" s="158" t="str">
        <f t="shared" si="0"/>
        <v/>
      </c>
      <c r="F32" s="8"/>
      <c r="G32" s="10">
        <v>44256</v>
      </c>
      <c r="H32" s="64">
        <f t="shared" si="1"/>
        <v>0</v>
      </c>
      <c r="I32" s="165">
        <f t="shared" si="3"/>
        <v>0</v>
      </c>
      <c r="J32" s="166">
        <f t="shared" si="4"/>
        <v>1</v>
      </c>
      <c r="L32" s="254" t="str">
        <f t="shared" si="2"/>
        <v>ESTOQUE</v>
      </c>
      <c r="M32" s="257">
        <v>64</v>
      </c>
      <c r="N32" s="261">
        <v>1.6556250000000002E-2</v>
      </c>
    </row>
    <row r="33" spans="2:14" x14ac:dyDescent="0.2">
      <c r="B33" s="153"/>
      <c r="C33" s="152"/>
      <c r="D33" s="113">
        <v>61</v>
      </c>
      <c r="E33" s="158" t="str">
        <f t="shared" si="0"/>
        <v/>
      </c>
      <c r="F33" s="8"/>
      <c r="G33" s="10">
        <v>44287</v>
      </c>
      <c r="H33" s="64">
        <f t="shared" si="1"/>
        <v>0</v>
      </c>
      <c r="I33" s="165">
        <f t="shared" si="3"/>
        <v>0</v>
      </c>
      <c r="J33" s="166">
        <f t="shared" si="4"/>
        <v>1</v>
      </c>
      <c r="L33" s="254" t="str">
        <f t="shared" si="2"/>
        <v>ESTOQUE</v>
      </c>
      <c r="M33" s="256">
        <v>71</v>
      </c>
      <c r="N33" s="261">
        <v>1.6556250000000002E-2</v>
      </c>
    </row>
    <row r="34" spans="2:14" x14ac:dyDescent="0.2">
      <c r="B34" s="153"/>
      <c r="C34" s="152"/>
      <c r="D34" s="113">
        <v>62</v>
      </c>
      <c r="E34" s="158" t="str">
        <f t="shared" si="0"/>
        <v/>
      </c>
      <c r="F34" s="8"/>
      <c r="G34" s="10">
        <v>44317</v>
      </c>
      <c r="H34" s="64">
        <f t="shared" si="1"/>
        <v>0</v>
      </c>
      <c r="I34" s="165">
        <f t="shared" si="3"/>
        <v>0</v>
      </c>
      <c r="J34" s="166">
        <f t="shared" si="4"/>
        <v>1</v>
      </c>
      <c r="L34" s="254" t="str">
        <f t="shared" si="2"/>
        <v>ESTOQUE</v>
      </c>
      <c r="M34" s="256">
        <v>72</v>
      </c>
      <c r="N34" s="261">
        <v>1.6556250000000002E-2</v>
      </c>
    </row>
    <row r="35" spans="2:14" x14ac:dyDescent="0.2">
      <c r="B35" s="153"/>
      <c r="C35" s="152"/>
      <c r="D35" s="113">
        <v>63</v>
      </c>
      <c r="E35" s="158" t="str">
        <f t="shared" si="0"/>
        <v/>
      </c>
      <c r="F35" s="8"/>
      <c r="G35" s="10">
        <v>44348</v>
      </c>
      <c r="H35" s="64">
        <f t="shared" si="1"/>
        <v>0</v>
      </c>
      <c r="I35" s="165">
        <f t="shared" si="3"/>
        <v>0</v>
      </c>
      <c r="J35" s="166">
        <f t="shared" si="4"/>
        <v>1</v>
      </c>
      <c r="L35" s="254" t="str">
        <f t="shared" si="2"/>
        <v>ESTOQUE</v>
      </c>
      <c r="M35" s="256">
        <v>73</v>
      </c>
      <c r="N35" s="261">
        <v>1.6556250000000002E-2</v>
      </c>
    </row>
    <row r="36" spans="2:14" x14ac:dyDescent="0.2">
      <c r="B36" s="153"/>
      <c r="C36" s="152"/>
      <c r="D36" s="142">
        <v>64</v>
      </c>
      <c r="E36" s="158" t="str">
        <f t="shared" si="0"/>
        <v/>
      </c>
      <c r="F36" s="8"/>
      <c r="G36" s="10">
        <v>44378</v>
      </c>
      <c r="H36" s="64">
        <f t="shared" si="1"/>
        <v>0</v>
      </c>
      <c r="I36" s="165">
        <f>+I35+H36</f>
        <v>0</v>
      </c>
      <c r="J36" s="166">
        <f t="shared" si="4"/>
        <v>1</v>
      </c>
      <c r="L36" s="254" t="str">
        <f t="shared" si="2"/>
        <v>ESTOQUE</v>
      </c>
      <c r="M36" s="256">
        <v>74</v>
      </c>
      <c r="N36" s="261">
        <v>1.6556250000000002E-2</v>
      </c>
    </row>
    <row r="37" spans="2:14" x14ac:dyDescent="0.2">
      <c r="B37" s="153"/>
      <c r="C37" s="152"/>
      <c r="D37" s="113">
        <v>71</v>
      </c>
      <c r="E37" s="158" t="str">
        <f t="shared" si="0"/>
        <v/>
      </c>
      <c r="F37" s="8"/>
      <c r="G37" s="10">
        <v>44409</v>
      </c>
      <c r="H37" s="64">
        <f t="shared" si="1"/>
        <v>0</v>
      </c>
      <c r="I37" s="165">
        <f t="shared" si="3"/>
        <v>0</v>
      </c>
      <c r="J37" s="166">
        <f t="shared" si="4"/>
        <v>1</v>
      </c>
      <c r="L37" s="254" t="str">
        <f t="shared" si="2"/>
        <v>ESTOQUE</v>
      </c>
      <c r="M37" s="256">
        <v>81</v>
      </c>
      <c r="N37" s="261">
        <v>1.6556250000000002E-2</v>
      </c>
    </row>
    <row r="38" spans="2:14" x14ac:dyDescent="0.2">
      <c r="B38" s="153"/>
      <c r="C38" s="152"/>
      <c r="D38" s="113">
        <v>71</v>
      </c>
      <c r="E38" s="158" t="str">
        <f t="shared" si="0"/>
        <v/>
      </c>
      <c r="F38" s="8"/>
      <c r="G38" s="10">
        <v>44440</v>
      </c>
      <c r="H38" s="64">
        <f t="shared" si="1"/>
        <v>0</v>
      </c>
      <c r="I38" s="165">
        <f t="shared" si="3"/>
        <v>0</v>
      </c>
      <c r="J38" s="166">
        <f t="shared" si="4"/>
        <v>1</v>
      </c>
      <c r="L38" s="254" t="str">
        <f t="shared" si="2"/>
        <v>ESTOQUE</v>
      </c>
      <c r="M38" s="256">
        <v>82</v>
      </c>
      <c r="N38" s="261">
        <v>1.6556250000000002E-2</v>
      </c>
    </row>
    <row r="39" spans="2:14" x14ac:dyDescent="0.2">
      <c r="B39" s="153"/>
      <c r="C39" s="152"/>
      <c r="D39" s="113">
        <v>71</v>
      </c>
      <c r="E39" s="158" t="str">
        <f t="shared" si="0"/>
        <v/>
      </c>
      <c r="F39" s="8"/>
      <c r="G39" s="10">
        <v>44470</v>
      </c>
      <c r="H39" s="64">
        <f t="shared" si="1"/>
        <v>0</v>
      </c>
      <c r="I39" s="165">
        <f t="shared" si="3"/>
        <v>0</v>
      </c>
      <c r="J39" s="166">
        <f t="shared" si="4"/>
        <v>1</v>
      </c>
      <c r="L39" s="254" t="str">
        <f t="shared" si="2"/>
        <v>ESTOQUE</v>
      </c>
      <c r="M39" s="256">
        <v>83</v>
      </c>
      <c r="N39" s="261">
        <v>1.6556250000000002E-2</v>
      </c>
    </row>
    <row r="40" spans="2:14" x14ac:dyDescent="0.2">
      <c r="B40" s="153"/>
      <c r="C40" s="152"/>
      <c r="D40" s="113">
        <v>72</v>
      </c>
      <c r="E40" s="158" t="str">
        <f t="shared" si="0"/>
        <v/>
      </c>
      <c r="F40" s="8"/>
      <c r="G40" s="10">
        <v>44501</v>
      </c>
      <c r="H40" s="64">
        <f t="shared" si="1"/>
        <v>0</v>
      </c>
      <c r="I40" s="165">
        <f t="shared" si="3"/>
        <v>0</v>
      </c>
      <c r="J40" s="166">
        <f t="shared" si="4"/>
        <v>1</v>
      </c>
      <c r="L40" s="254" t="str">
        <f t="shared" si="2"/>
        <v>ESTOQUE</v>
      </c>
      <c r="M40" s="257">
        <v>84</v>
      </c>
      <c r="N40" s="261">
        <v>1.6556250000000002E-2</v>
      </c>
    </row>
    <row r="41" spans="2:14" x14ac:dyDescent="0.2">
      <c r="B41" s="153"/>
      <c r="C41" s="152"/>
      <c r="D41" s="113">
        <v>73</v>
      </c>
      <c r="E41" s="158" t="str">
        <f t="shared" ref="E41:E72" si="5">IF(B41="","",IF(C41="VENDA",VLOOKUP(D41,M:N,2,0),-VLOOKUP(D41,M:N,2,0)))</f>
        <v/>
      </c>
      <c r="F41" s="7"/>
      <c r="G41" s="10">
        <v>44531</v>
      </c>
      <c r="H41" s="64">
        <f t="shared" si="1"/>
        <v>0</v>
      </c>
      <c r="I41" s="165">
        <f t="shared" si="3"/>
        <v>0</v>
      </c>
      <c r="J41" s="166">
        <f t="shared" si="4"/>
        <v>1</v>
      </c>
      <c r="L41" s="254" t="str">
        <f t="shared" si="2"/>
        <v>ESTOQUE</v>
      </c>
      <c r="M41" s="256">
        <v>91</v>
      </c>
      <c r="N41" s="261">
        <v>1.6556250000000002E-2</v>
      </c>
    </row>
    <row r="42" spans="2:14" x14ac:dyDescent="0.2">
      <c r="B42" s="153"/>
      <c r="C42" s="152"/>
      <c r="D42" s="113">
        <v>74</v>
      </c>
      <c r="E42" s="158" t="str">
        <f t="shared" si="5"/>
        <v/>
      </c>
      <c r="F42" s="7"/>
      <c r="G42" s="10">
        <v>44562</v>
      </c>
      <c r="H42" s="64">
        <f t="shared" si="1"/>
        <v>0</v>
      </c>
      <c r="I42" s="165">
        <f t="shared" si="3"/>
        <v>0</v>
      </c>
      <c r="J42" s="166">
        <f t="shared" si="4"/>
        <v>1</v>
      </c>
      <c r="L42" s="254" t="str">
        <f t="shared" si="2"/>
        <v>ESTOQUE</v>
      </c>
      <c r="M42" s="256">
        <v>92</v>
      </c>
      <c r="N42" s="261">
        <v>1.6556250000000002E-2</v>
      </c>
    </row>
    <row r="43" spans="2:14" x14ac:dyDescent="0.2">
      <c r="B43" s="153"/>
      <c r="C43" s="152"/>
      <c r="D43" s="113">
        <v>81</v>
      </c>
      <c r="E43" s="158" t="str">
        <f t="shared" si="5"/>
        <v/>
      </c>
      <c r="F43" s="8"/>
      <c r="G43" s="10">
        <v>44593</v>
      </c>
      <c r="H43" s="64">
        <f t="shared" si="1"/>
        <v>0</v>
      </c>
      <c r="I43" s="165">
        <f t="shared" si="3"/>
        <v>0</v>
      </c>
      <c r="J43" s="166">
        <f t="shared" si="4"/>
        <v>1</v>
      </c>
      <c r="L43" s="254" t="str">
        <f t="shared" si="2"/>
        <v>ESTOQUE</v>
      </c>
      <c r="M43" s="256">
        <v>93</v>
      </c>
      <c r="N43" s="261">
        <v>1.6556250000000002E-2</v>
      </c>
    </row>
    <row r="44" spans="2:14" x14ac:dyDescent="0.2">
      <c r="B44" s="153"/>
      <c r="C44" s="152"/>
      <c r="D44" s="113">
        <v>82</v>
      </c>
      <c r="E44" s="158" t="str">
        <f t="shared" si="5"/>
        <v/>
      </c>
      <c r="F44" s="8"/>
      <c r="G44" s="10">
        <v>44621</v>
      </c>
      <c r="H44" s="64">
        <f t="shared" si="1"/>
        <v>0</v>
      </c>
      <c r="I44" s="165">
        <f t="shared" si="3"/>
        <v>0</v>
      </c>
      <c r="J44" s="166">
        <f t="shared" si="4"/>
        <v>1</v>
      </c>
      <c r="L44" s="254" t="str">
        <f t="shared" si="2"/>
        <v>ESTOQUE</v>
      </c>
      <c r="M44" s="256">
        <v>94</v>
      </c>
      <c r="N44" s="261">
        <v>1.6556250000000002E-2</v>
      </c>
    </row>
    <row r="45" spans="2:14" x14ac:dyDescent="0.2">
      <c r="B45" s="153"/>
      <c r="C45" s="152"/>
      <c r="D45" s="113">
        <v>83</v>
      </c>
      <c r="E45" s="158" t="str">
        <f t="shared" si="5"/>
        <v/>
      </c>
      <c r="F45" s="7"/>
      <c r="G45" s="10">
        <v>44652</v>
      </c>
      <c r="H45" s="64">
        <f t="shared" si="1"/>
        <v>0</v>
      </c>
      <c r="I45" s="165">
        <f t="shared" si="3"/>
        <v>0</v>
      </c>
      <c r="J45" s="166">
        <f t="shared" si="4"/>
        <v>1</v>
      </c>
      <c r="L45" s="254" t="str">
        <f t="shared" si="2"/>
        <v>ESTOQUE</v>
      </c>
      <c r="M45" s="256">
        <v>101</v>
      </c>
      <c r="N45" s="261">
        <v>1.6556250000000002E-2</v>
      </c>
    </row>
    <row r="46" spans="2:14" x14ac:dyDescent="0.2">
      <c r="B46" s="153"/>
      <c r="C46" s="152"/>
      <c r="D46" s="142">
        <v>84</v>
      </c>
      <c r="E46" s="158" t="str">
        <f t="shared" si="5"/>
        <v/>
      </c>
      <c r="F46" s="36"/>
      <c r="G46" s="10">
        <v>44682</v>
      </c>
      <c r="H46" s="64">
        <f t="shared" si="1"/>
        <v>0</v>
      </c>
      <c r="I46" s="165">
        <f t="shared" si="3"/>
        <v>0</v>
      </c>
      <c r="J46" s="166">
        <f t="shared" si="4"/>
        <v>1</v>
      </c>
      <c r="L46" s="254" t="str">
        <f t="shared" si="2"/>
        <v>ESTOQUE</v>
      </c>
      <c r="M46" s="256">
        <v>102</v>
      </c>
      <c r="N46" s="261">
        <v>1.6556250000000002E-2</v>
      </c>
    </row>
    <row r="47" spans="2:14" x14ac:dyDescent="0.2">
      <c r="B47" s="153"/>
      <c r="C47" s="152"/>
      <c r="D47" s="113">
        <v>91</v>
      </c>
      <c r="E47" s="158" t="str">
        <f t="shared" si="5"/>
        <v/>
      </c>
      <c r="F47" s="7"/>
      <c r="G47" s="10">
        <v>44713</v>
      </c>
      <c r="H47" s="64">
        <f t="shared" si="1"/>
        <v>0</v>
      </c>
      <c r="I47" s="165">
        <f t="shared" si="3"/>
        <v>0</v>
      </c>
      <c r="J47" s="166">
        <f t="shared" si="4"/>
        <v>1</v>
      </c>
      <c r="L47" s="254" t="str">
        <f t="shared" si="2"/>
        <v>ESTOQUE</v>
      </c>
      <c r="M47" s="256">
        <v>103</v>
      </c>
      <c r="N47" s="261">
        <v>1.6556250000000002E-2</v>
      </c>
    </row>
    <row r="48" spans="2:14" x14ac:dyDescent="0.2">
      <c r="B48" s="153"/>
      <c r="C48" s="152"/>
      <c r="D48" s="113">
        <v>92</v>
      </c>
      <c r="E48" s="158" t="str">
        <f t="shared" si="5"/>
        <v/>
      </c>
      <c r="F48" s="5"/>
      <c r="G48" s="10">
        <v>44743</v>
      </c>
      <c r="H48" s="64">
        <f t="shared" si="1"/>
        <v>0</v>
      </c>
      <c r="I48" s="165">
        <f t="shared" si="3"/>
        <v>0</v>
      </c>
      <c r="J48" s="166">
        <f t="shared" si="4"/>
        <v>1</v>
      </c>
      <c r="L48" s="254" t="str">
        <f t="shared" si="2"/>
        <v>ESTOQUE</v>
      </c>
      <c r="M48" s="256">
        <v>104</v>
      </c>
      <c r="N48" s="261">
        <v>1.6556250000000002E-2</v>
      </c>
    </row>
    <row r="49" spans="2:14" ht="13.5" thickBot="1" x14ac:dyDescent="0.25">
      <c r="B49" s="153"/>
      <c r="C49" s="152"/>
      <c r="D49" s="113">
        <v>93</v>
      </c>
      <c r="E49" s="158" t="str">
        <f t="shared" si="5"/>
        <v/>
      </c>
      <c r="F49" s="5"/>
      <c r="G49" s="116">
        <v>44774</v>
      </c>
      <c r="H49" s="64">
        <f t="shared" si="1"/>
        <v>0</v>
      </c>
      <c r="I49" s="167">
        <f t="shared" si="3"/>
        <v>0</v>
      </c>
      <c r="J49" s="168">
        <f t="shared" si="4"/>
        <v>1</v>
      </c>
      <c r="L49" s="254" t="str">
        <f t="shared" si="2"/>
        <v>ESTOQUE</v>
      </c>
      <c r="M49" s="256">
        <v>111</v>
      </c>
      <c r="N49" s="261">
        <v>1.76604E-2</v>
      </c>
    </row>
    <row r="50" spans="2:14" x14ac:dyDescent="0.2">
      <c r="B50" s="153"/>
      <c r="C50" s="152"/>
      <c r="D50" s="113">
        <v>94</v>
      </c>
      <c r="E50" s="158" t="str">
        <f t="shared" si="5"/>
        <v/>
      </c>
      <c r="F50" s="5"/>
      <c r="G50" s="117"/>
      <c r="H50" s="118">
        <f>SUM(H9:H49)</f>
        <v>0</v>
      </c>
      <c r="I50" s="169"/>
      <c r="J50" s="169"/>
      <c r="L50" s="254" t="str">
        <f t="shared" si="2"/>
        <v>ESTOQUE</v>
      </c>
      <c r="M50" s="256">
        <v>112</v>
      </c>
      <c r="N50" s="261">
        <v>1.76604E-2</v>
      </c>
    </row>
    <row r="51" spans="2:14" x14ac:dyDescent="0.2">
      <c r="B51" s="153"/>
      <c r="C51" s="152"/>
      <c r="D51" s="113">
        <v>101</v>
      </c>
      <c r="E51" s="158" t="str">
        <f t="shared" si="5"/>
        <v/>
      </c>
      <c r="F51" s="53"/>
      <c r="G51" s="248" t="s">
        <v>184</v>
      </c>
      <c r="H51" s="249">
        <f>H50-E7</f>
        <v>0</v>
      </c>
      <c r="I51" s="120"/>
      <c r="J51" s="120"/>
      <c r="L51" s="254" t="str">
        <f t="shared" si="2"/>
        <v>ESTOQUE</v>
      </c>
      <c r="M51" s="256">
        <v>113</v>
      </c>
      <c r="N51" s="261">
        <v>1.6556250000000002E-2</v>
      </c>
    </row>
    <row r="52" spans="2:14" x14ac:dyDescent="0.2">
      <c r="B52" s="153"/>
      <c r="C52" s="152"/>
      <c r="D52" s="113">
        <v>102</v>
      </c>
      <c r="E52" s="158" t="str">
        <f t="shared" si="5"/>
        <v/>
      </c>
      <c r="F52" s="5"/>
      <c r="G52" s="119"/>
      <c r="H52" s="120"/>
      <c r="I52" s="120"/>
      <c r="J52" s="120"/>
      <c r="L52" s="254" t="str">
        <f t="shared" si="2"/>
        <v>ESTOQUE</v>
      </c>
      <c r="M52" s="256">
        <v>114</v>
      </c>
      <c r="N52" s="261">
        <v>1.6556250000000002E-2</v>
      </c>
    </row>
    <row r="53" spans="2:14" x14ac:dyDescent="0.2">
      <c r="B53" s="153"/>
      <c r="C53" s="152"/>
      <c r="D53" s="113">
        <v>103</v>
      </c>
      <c r="E53" s="158" t="str">
        <f t="shared" si="5"/>
        <v/>
      </c>
      <c r="F53" s="5"/>
      <c r="G53" s="119"/>
      <c r="H53" s="120"/>
      <c r="I53" s="120"/>
      <c r="J53" s="120"/>
      <c r="L53" s="254" t="str">
        <f t="shared" si="2"/>
        <v>ESTOQUE</v>
      </c>
      <c r="M53" s="256">
        <v>121</v>
      </c>
      <c r="N53" s="261">
        <v>1.76604E-2</v>
      </c>
    </row>
    <row r="54" spans="2:14" x14ac:dyDescent="0.2">
      <c r="B54" s="153"/>
      <c r="C54" s="152"/>
      <c r="D54" s="113">
        <v>104</v>
      </c>
      <c r="E54" s="158" t="str">
        <f t="shared" si="5"/>
        <v/>
      </c>
      <c r="F54" s="5"/>
      <c r="G54" s="119"/>
      <c r="H54" s="120"/>
      <c r="I54" s="120"/>
      <c r="J54" s="120"/>
      <c r="L54" s="254" t="str">
        <f t="shared" si="2"/>
        <v>ESTOQUE</v>
      </c>
      <c r="M54" s="256">
        <v>122</v>
      </c>
      <c r="N54" s="261">
        <v>1.76604E-2</v>
      </c>
    </row>
    <row r="55" spans="2:14" x14ac:dyDescent="0.2">
      <c r="B55" s="153"/>
      <c r="C55" s="152"/>
      <c r="D55" s="113">
        <v>111</v>
      </c>
      <c r="E55" s="158" t="str">
        <f t="shared" si="5"/>
        <v/>
      </c>
      <c r="F55" s="5"/>
      <c r="G55" s="119"/>
      <c r="H55" s="120"/>
      <c r="I55" s="120"/>
      <c r="J55" s="120"/>
      <c r="L55" s="254" t="str">
        <f t="shared" si="2"/>
        <v>ESTOQUE</v>
      </c>
      <c r="M55" s="256">
        <v>123</v>
      </c>
      <c r="N55" s="261">
        <v>1.76604E-2</v>
      </c>
    </row>
    <row r="56" spans="2:14" x14ac:dyDescent="0.2">
      <c r="B56" s="153"/>
      <c r="C56" s="152"/>
      <c r="D56" s="113">
        <v>112</v>
      </c>
      <c r="E56" s="158" t="str">
        <f t="shared" si="5"/>
        <v/>
      </c>
      <c r="G56" s="119"/>
      <c r="H56" s="120"/>
      <c r="I56" s="120"/>
      <c r="J56" s="120"/>
      <c r="L56" s="254" t="str">
        <f t="shared" si="2"/>
        <v>ESTOQUE</v>
      </c>
      <c r="M56" s="256">
        <v>124</v>
      </c>
      <c r="N56" s="261">
        <v>1.76604E-2</v>
      </c>
    </row>
    <row r="57" spans="2:14" x14ac:dyDescent="0.2">
      <c r="B57" s="153"/>
      <c r="C57" s="152"/>
      <c r="D57" s="113">
        <v>113</v>
      </c>
      <c r="E57" s="158" t="str">
        <f t="shared" si="5"/>
        <v/>
      </c>
      <c r="G57" s="119"/>
      <c r="H57" s="120"/>
      <c r="I57" s="120"/>
      <c r="J57" s="120"/>
      <c r="L57" s="254" t="str">
        <f t="shared" si="2"/>
        <v>ESTOQUE</v>
      </c>
      <c r="M57" s="256">
        <v>131</v>
      </c>
      <c r="N57" s="261">
        <v>1.7108330000000001E-2</v>
      </c>
    </row>
    <row r="58" spans="2:14" x14ac:dyDescent="0.2">
      <c r="B58" s="153"/>
      <c r="C58" s="152"/>
      <c r="D58" s="113">
        <v>114</v>
      </c>
      <c r="E58" s="158" t="str">
        <f t="shared" si="5"/>
        <v/>
      </c>
      <c r="G58" s="121"/>
      <c r="H58" s="121"/>
      <c r="I58" s="121"/>
      <c r="J58" s="121"/>
      <c r="L58" s="254" t="str">
        <f t="shared" si="2"/>
        <v>ESTOQUE</v>
      </c>
      <c r="M58" s="256">
        <v>132</v>
      </c>
      <c r="N58" s="261">
        <v>1.76604E-2</v>
      </c>
    </row>
    <row r="59" spans="2:14" x14ac:dyDescent="0.2">
      <c r="B59" s="153"/>
      <c r="C59" s="152"/>
      <c r="D59" s="113">
        <v>121</v>
      </c>
      <c r="E59" s="158" t="str">
        <f t="shared" si="5"/>
        <v/>
      </c>
      <c r="L59" s="254" t="str">
        <f t="shared" si="2"/>
        <v>ESTOQUE</v>
      </c>
      <c r="M59" s="256">
        <v>133</v>
      </c>
      <c r="N59" s="261">
        <v>1.76604E-2</v>
      </c>
    </row>
    <row r="60" spans="2:14" x14ac:dyDescent="0.2">
      <c r="B60" s="153"/>
      <c r="C60" s="152"/>
      <c r="D60" s="113">
        <v>122</v>
      </c>
      <c r="E60" s="158" t="str">
        <f t="shared" si="5"/>
        <v/>
      </c>
      <c r="L60" s="254" t="str">
        <f t="shared" si="2"/>
        <v>ESTOQUE</v>
      </c>
      <c r="M60" s="256">
        <v>134</v>
      </c>
      <c r="N60" s="261">
        <v>1.76604E-2</v>
      </c>
    </row>
    <row r="61" spans="2:14" x14ac:dyDescent="0.2">
      <c r="B61" s="153"/>
      <c r="C61" s="152"/>
      <c r="D61" s="113">
        <v>123</v>
      </c>
      <c r="E61" s="158" t="str">
        <f t="shared" si="5"/>
        <v/>
      </c>
      <c r="L61" s="254" t="str">
        <f t="shared" si="2"/>
        <v>ESTOQUE</v>
      </c>
      <c r="M61" s="256">
        <v>141</v>
      </c>
      <c r="N61" s="261">
        <v>1.7108330000000001E-2</v>
      </c>
    </row>
    <row r="62" spans="2:14" x14ac:dyDescent="0.2">
      <c r="B62" s="153"/>
      <c r="C62" s="152"/>
      <c r="D62" s="113">
        <v>124</v>
      </c>
      <c r="E62" s="158" t="str">
        <f t="shared" si="5"/>
        <v/>
      </c>
      <c r="L62" s="254" t="str">
        <f t="shared" si="2"/>
        <v>ESTOQUE</v>
      </c>
      <c r="M62" s="256">
        <v>142</v>
      </c>
      <c r="N62" s="261">
        <v>1.7108330000000001E-2</v>
      </c>
    </row>
    <row r="63" spans="2:14" x14ac:dyDescent="0.2">
      <c r="B63" s="153"/>
      <c r="C63" s="152"/>
      <c r="D63" s="113">
        <v>131</v>
      </c>
      <c r="E63" s="158" t="str">
        <f t="shared" si="5"/>
        <v/>
      </c>
      <c r="L63" s="254" t="str">
        <f t="shared" si="2"/>
        <v>ESTOQUE</v>
      </c>
      <c r="M63" s="256">
        <v>143</v>
      </c>
      <c r="N63" s="261">
        <v>1.7108330000000001E-2</v>
      </c>
    </row>
    <row r="64" spans="2:14" x14ac:dyDescent="0.2">
      <c r="B64" s="153"/>
      <c r="C64" s="152"/>
      <c r="D64" s="113">
        <v>132</v>
      </c>
      <c r="E64" s="158" t="str">
        <f t="shared" si="5"/>
        <v/>
      </c>
      <c r="L64" s="254" t="str">
        <f t="shared" si="2"/>
        <v>ESTOQUE</v>
      </c>
      <c r="M64" s="256">
        <v>144</v>
      </c>
      <c r="N64" s="261">
        <v>1.7108330000000001E-2</v>
      </c>
    </row>
    <row r="65" spans="2:14" x14ac:dyDescent="0.2">
      <c r="B65" s="153"/>
      <c r="C65" s="152"/>
      <c r="D65" s="113">
        <v>132</v>
      </c>
      <c r="E65" s="158" t="str">
        <f t="shared" si="5"/>
        <v/>
      </c>
      <c r="L65" s="254" t="str">
        <f t="shared" si="2"/>
        <v>ESTOQUE</v>
      </c>
      <c r="M65" s="256">
        <v>151</v>
      </c>
      <c r="N65" s="261">
        <v>1.76604E-2</v>
      </c>
    </row>
    <row r="66" spans="2:14" x14ac:dyDescent="0.2">
      <c r="B66" s="153"/>
      <c r="C66" s="152"/>
      <c r="D66" s="113">
        <v>132</v>
      </c>
      <c r="E66" s="158" t="str">
        <f t="shared" si="5"/>
        <v/>
      </c>
      <c r="L66" s="254" t="str">
        <f t="shared" si="2"/>
        <v>ESTOQUE</v>
      </c>
      <c r="M66" s="256">
        <v>152</v>
      </c>
      <c r="N66" s="261">
        <v>1.76604E-2</v>
      </c>
    </row>
    <row r="67" spans="2:14" x14ac:dyDescent="0.2">
      <c r="B67" s="153"/>
      <c r="C67" s="152"/>
      <c r="D67" s="113">
        <v>133</v>
      </c>
      <c r="E67" s="158" t="str">
        <f t="shared" si="5"/>
        <v/>
      </c>
      <c r="L67" s="254" t="str">
        <f t="shared" si="2"/>
        <v>ESTOQUE</v>
      </c>
      <c r="M67" s="256">
        <v>153</v>
      </c>
      <c r="N67" s="261">
        <v>1.7108330000000001E-2</v>
      </c>
    </row>
    <row r="68" spans="2:14" ht="13.5" thickBot="1" x14ac:dyDescent="0.25">
      <c r="B68" s="153"/>
      <c r="C68" s="152"/>
      <c r="D68" s="113">
        <v>134</v>
      </c>
      <c r="E68" s="158" t="str">
        <f t="shared" si="5"/>
        <v/>
      </c>
      <c r="L68" s="259" t="str">
        <f t="shared" si="2"/>
        <v>ESTOQUE</v>
      </c>
      <c r="M68" s="260">
        <v>154</v>
      </c>
      <c r="N68" s="262">
        <v>1.7108330000000001E-2</v>
      </c>
    </row>
    <row r="69" spans="2:14" ht="13.5" thickTop="1" x14ac:dyDescent="0.2">
      <c r="B69" s="153"/>
      <c r="C69" s="152"/>
      <c r="D69" s="113">
        <v>141</v>
      </c>
      <c r="E69" s="158" t="str">
        <f t="shared" si="5"/>
        <v/>
      </c>
    </row>
    <row r="70" spans="2:14" x14ac:dyDescent="0.2">
      <c r="B70" s="153"/>
      <c r="C70" s="152"/>
      <c r="D70" s="113">
        <v>142</v>
      </c>
      <c r="E70" s="158" t="str">
        <f t="shared" si="5"/>
        <v/>
      </c>
    </row>
    <row r="71" spans="2:14" ht="12" customHeight="1" x14ac:dyDescent="0.2">
      <c r="B71" s="153"/>
      <c r="C71" s="152"/>
      <c r="D71" s="113">
        <v>143</v>
      </c>
      <c r="E71" s="158" t="str">
        <f t="shared" si="5"/>
        <v/>
      </c>
    </row>
    <row r="72" spans="2:14" x14ac:dyDescent="0.2">
      <c r="B72" s="153"/>
      <c r="C72" s="152"/>
      <c r="D72" s="113">
        <v>144</v>
      </c>
      <c r="E72" s="158" t="str">
        <f t="shared" si="5"/>
        <v/>
      </c>
    </row>
    <row r="73" spans="2:14" x14ac:dyDescent="0.2">
      <c r="B73" s="153"/>
      <c r="C73" s="152"/>
      <c r="D73" s="113">
        <v>151</v>
      </c>
      <c r="E73" s="158" t="str">
        <f t="shared" ref="E73:E80" si="6">IF(B73="","",IF(C73="VENDA",VLOOKUP(D73,M:N,2,0),-VLOOKUP(D73,M:N,2,0)))</f>
        <v/>
      </c>
    </row>
    <row r="74" spans="2:14" x14ac:dyDescent="0.2">
      <c r="B74" s="153"/>
      <c r="C74" s="152"/>
      <c r="D74" s="113">
        <v>152</v>
      </c>
      <c r="E74" s="158" t="str">
        <f t="shared" si="6"/>
        <v/>
      </c>
    </row>
    <row r="75" spans="2:14" x14ac:dyDescent="0.2">
      <c r="B75" s="154"/>
      <c r="C75" s="152"/>
      <c r="D75" s="113">
        <v>153</v>
      </c>
      <c r="E75" s="158" t="str">
        <f t="shared" si="6"/>
        <v/>
      </c>
    </row>
    <row r="76" spans="2:14" x14ac:dyDescent="0.2">
      <c r="B76" s="155"/>
      <c r="C76" s="152"/>
      <c r="D76" s="143">
        <v>154</v>
      </c>
      <c r="E76" s="158" t="str">
        <f t="shared" si="6"/>
        <v/>
      </c>
    </row>
    <row r="77" spans="2:14" x14ac:dyDescent="0.2">
      <c r="B77" s="156"/>
      <c r="C77" s="152"/>
      <c r="D77" s="113">
        <v>154</v>
      </c>
      <c r="E77" s="158" t="str">
        <f t="shared" si="6"/>
        <v/>
      </c>
    </row>
    <row r="78" spans="2:14" x14ac:dyDescent="0.2">
      <c r="B78" s="156"/>
      <c r="C78" s="152"/>
      <c r="D78" s="142">
        <v>154</v>
      </c>
      <c r="E78" s="158" t="str">
        <f t="shared" si="6"/>
        <v/>
      </c>
    </row>
    <row r="79" spans="2:14" x14ac:dyDescent="0.2">
      <c r="B79" s="153"/>
      <c r="C79" s="152"/>
      <c r="D79" s="113">
        <v>154</v>
      </c>
      <c r="E79" s="158" t="str">
        <f t="shared" si="6"/>
        <v/>
      </c>
    </row>
    <row r="80" spans="2:14" ht="13.5" thickBot="1" x14ac:dyDescent="0.25">
      <c r="B80" s="157"/>
      <c r="C80" s="152"/>
      <c r="D80" s="160">
        <v>154</v>
      </c>
      <c r="E80" s="158" t="str">
        <f t="shared" si="6"/>
        <v/>
      </c>
    </row>
    <row r="82" spans="2:3" x14ac:dyDescent="0.2">
      <c r="B82" s="1"/>
      <c r="C82" s="1"/>
    </row>
    <row r="83" spans="2:3" x14ac:dyDescent="0.2">
      <c r="B83" s="1"/>
      <c r="C83" s="1"/>
    </row>
  </sheetData>
  <sheetProtection algorithmName="SHA-512" hashValue="tkUwoR7gCwqNSkT2R9MJPD2ON920Zg+JZeu4v3ezXaP3FeIi6mp68tqepz4cwKnVa00lzkNbbTAlof7qhSZ6kg==" saltValue="6PHXp5HbJhP6tW4GgY1lZw==" spinCount="100000" sheet="1" selectLockedCells="1"/>
  <autoFilter ref="B8:N80" xr:uid="{00000000-0001-0000-0000-000000000000}">
    <filterColumn colId="2" showButton="0"/>
  </autoFilter>
  <mergeCells count="2">
    <mergeCell ref="G7:J7"/>
    <mergeCell ref="G6:J6"/>
  </mergeCells>
  <phoneticPr fontId="0" type="noConversion"/>
  <conditionalFormatting sqref="L9:L68">
    <cfRule type="containsText" dxfId="1" priority="1" operator="containsText" text="ESTOQUE">
      <formula>NOT(ISERROR(SEARCH("ESTOQUE",L9)))</formula>
    </cfRule>
    <cfRule type="containsText" dxfId="0" priority="2" operator="containsText" text="VENDIDO">
      <formula>NOT(ISERROR(SEARCH("VENDIDO",L9)))</formula>
    </cfRule>
  </conditionalFormatting>
  <dataValidations count="1">
    <dataValidation type="list" allowBlank="1" showInputMessage="1" showErrorMessage="1" sqref="C9:C80" xr:uid="{E6D34891-1599-4F5C-9CE1-66F0C2E27A58}">
      <formula1>"VENDA,DISTRATO,"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A2:S56"/>
  <sheetViews>
    <sheetView showGridLines="0" topLeftCell="A3" zoomScaleNormal="100" workbookViewId="0">
      <pane xSplit="2" ySplit="8" topLeftCell="C11" activePane="bottomRight" state="frozen"/>
      <selection activeCell="A3" sqref="A3"/>
      <selection pane="topRight" activeCell="C3" sqref="C3"/>
      <selection pane="bottomLeft" activeCell="A11" sqref="A11"/>
      <selection pane="bottomRight" activeCell="L36" sqref="L36"/>
    </sheetView>
  </sheetViews>
  <sheetFormatPr defaultColWidth="9.140625" defaultRowHeight="12.75" x14ac:dyDescent="0.2"/>
  <cols>
    <col min="1" max="1" width="12" customWidth="1"/>
    <col min="2" max="2" width="14" style="2" customWidth="1"/>
    <col min="3" max="3" width="17.28515625" style="2" bestFit="1" customWidth="1"/>
    <col min="4" max="4" width="14.28515625" style="2" bestFit="1" customWidth="1"/>
    <col min="5" max="5" width="20.5703125" bestFit="1" customWidth="1"/>
    <col min="6" max="6" width="2.28515625" customWidth="1"/>
    <col min="7" max="7" width="16.140625" customWidth="1"/>
    <col min="8" max="8" width="13.140625" customWidth="1"/>
    <col min="9" max="9" width="2.28515625" customWidth="1"/>
    <col min="10" max="10" width="17.7109375" customWidth="1"/>
    <col min="11" max="11" width="16.5703125" bestFit="1" customWidth="1"/>
    <col min="12" max="12" width="13.140625" style="2" customWidth="1"/>
    <col min="13" max="13" width="14" bestFit="1" customWidth="1"/>
    <col min="14" max="16" width="11.7109375" customWidth="1"/>
  </cols>
  <sheetData>
    <row r="2" spans="1:19" s="1" customFormat="1" ht="19.5" x14ac:dyDescent="0.3">
      <c r="A2" s="33"/>
      <c r="B2" s="320">
        <f>'ESTOQUE '!B2:J2</f>
        <v>0</v>
      </c>
      <c r="C2" s="320"/>
      <c r="D2" s="320"/>
      <c r="E2" s="320"/>
      <c r="F2" s="320"/>
      <c r="G2" s="320"/>
      <c r="H2" s="320"/>
      <c r="I2" s="320"/>
      <c r="J2" s="320"/>
      <c r="K2" s="39"/>
      <c r="L2" s="39"/>
      <c r="M2" s="39"/>
    </row>
    <row r="3" spans="1:19" s="1" customFormat="1" x14ac:dyDescent="0.2">
      <c r="A3" s="33"/>
      <c r="C3" s="4"/>
      <c r="D3" s="4"/>
      <c r="E3" s="4"/>
      <c r="F3" s="4"/>
      <c r="G3" s="4"/>
      <c r="H3" s="4"/>
    </row>
    <row r="4" spans="1:19" s="1" customFormat="1" ht="26.25" x14ac:dyDescent="0.4">
      <c r="A4" s="33"/>
      <c r="B4" s="319">
        <f>'ESTOQUE '!B4:J4</f>
        <v>0</v>
      </c>
      <c r="C4" s="319"/>
      <c r="D4" s="319"/>
      <c r="E4" s="319"/>
      <c r="F4" s="319"/>
      <c r="G4" s="319"/>
      <c r="H4" s="319"/>
      <c r="I4" s="319"/>
      <c r="J4" s="319"/>
      <c r="K4" s="40"/>
      <c r="L4" s="40"/>
      <c r="M4" s="40"/>
    </row>
    <row r="5" spans="1:19" s="1" customFormat="1" ht="17.25" customHeight="1" thickBot="1" x14ac:dyDescent="0.45">
      <c r="A5" s="33"/>
      <c r="B5" s="38"/>
      <c r="C5" s="38"/>
      <c r="D5" s="38"/>
      <c r="E5" s="38"/>
      <c r="F5" s="38"/>
      <c r="G5" s="38"/>
      <c r="H5" s="102"/>
      <c r="I5" s="38"/>
      <c r="J5" s="38"/>
      <c r="K5" s="40"/>
      <c r="L5" s="40"/>
      <c r="M5" s="40"/>
    </row>
    <row r="6" spans="1:19" ht="12.75" customHeight="1" x14ac:dyDescent="0.2">
      <c r="A6" s="14" t="s">
        <v>0</v>
      </c>
      <c r="B6" s="15">
        <f>10350000+1750000+450000+3500000+2500000</f>
        <v>18550000</v>
      </c>
      <c r="D6" s="84"/>
      <c r="E6" s="85"/>
      <c r="H6" s="102"/>
    </row>
    <row r="7" spans="1:19" x14ac:dyDescent="0.2">
      <c r="A7" s="16" t="s">
        <v>1</v>
      </c>
      <c r="B7" s="17">
        <v>100</v>
      </c>
      <c r="D7" s="84"/>
      <c r="E7" s="85"/>
      <c r="H7" s="102"/>
    </row>
    <row r="8" spans="1:19" ht="13.5" thickBot="1" x14ac:dyDescent="0.25">
      <c r="A8" s="18" t="s">
        <v>21</v>
      </c>
      <c r="B8" s="19">
        <f>+B6/B7</f>
        <v>185500</v>
      </c>
      <c r="D8" s="84"/>
      <c r="E8" s="85"/>
      <c r="H8" s="102"/>
    </row>
    <row r="9" spans="1:19" ht="13.5" thickBot="1" x14ac:dyDescent="0.25">
      <c r="D9" s="83"/>
      <c r="E9" s="65"/>
      <c r="G9" s="318" t="s">
        <v>20</v>
      </c>
      <c r="H9" s="318"/>
      <c r="J9" s="318" t="s">
        <v>20</v>
      </c>
      <c r="K9" s="318"/>
    </row>
    <row r="10" spans="1:19" ht="13.5" thickBot="1" x14ac:dyDescent="0.25">
      <c r="A10" s="60" t="s">
        <v>15</v>
      </c>
      <c r="B10" s="11" t="s">
        <v>16</v>
      </c>
      <c r="C10" s="73" t="s">
        <v>17</v>
      </c>
      <c r="D10" s="12" t="s">
        <v>24</v>
      </c>
      <c r="E10" s="13" t="s">
        <v>25</v>
      </c>
      <c r="G10" s="26" t="s">
        <v>18</v>
      </c>
      <c r="H10" s="60" t="s">
        <v>2</v>
      </c>
      <c r="J10" s="26" t="s">
        <v>19</v>
      </c>
      <c r="K10" s="26" t="s">
        <v>28</v>
      </c>
    </row>
    <row r="11" spans="1:19" x14ac:dyDescent="0.2">
      <c r="A11" s="41">
        <v>43556</v>
      </c>
      <c r="B11" s="51">
        <v>100000</v>
      </c>
      <c r="C11" s="20">
        <f>+B11</f>
        <v>100000</v>
      </c>
      <c r="D11" s="82">
        <v>0.1</v>
      </c>
      <c r="E11" s="21">
        <f>D11</f>
        <v>0.1</v>
      </c>
      <c r="G11" s="52">
        <f>B11</f>
        <v>100000</v>
      </c>
      <c r="H11" s="20" t="e">
        <f>G11/'ESTOQUE '!E7*'ESTOQUE '!H9</f>
        <v>#DIV/0!</v>
      </c>
      <c r="J11" s="20">
        <f>G11</f>
        <v>100000</v>
      </c>
      <c r="K11" s="20">
        <f>B11*'ESTOQUE '!I9</f>
        <v>0</v>
      </c>
    </row>
    <row r="12" spans="1:19" x14ac:dyDescent="0.2">
      <c r="A12" s="10">
        <v>43586</v>
      </c>
      <c r="B12" s="37"/>
      <c r="C12" s="23">
        <f t="shared" ref="C12:C42" si="0">+C11+B12</f>
        <v>100000</v>
      </c>
      <c r="D12" s="81">
        <f t="shared" ref="D12:D48" si="1">+B12/$B$6</f>
        <v>0</v>
      </c>
      <c r="E12" s="47">
        <f>D12+E11</f>
        <v>0.1</v>
      </c>
      <c r="G12" s="48">
        <f t="shared" ref="G12:G41" si="2">+G11+J12-H12</f>
        <v>100000</v>
      </c>
      <c r="H12" s="35">
        <f>+G11/'ESTOQUE '!J9*'ESTOQUE '!H10</f>
        <v>0</v>
      </c>
      <c r="J12" s="49">
        <f>(B12/'ESTOQUE '!J$9)*'ESTOQUE '!J10</f>
        <v>0</v>
      </c>
      <c r="K12" s="35">
        <f>B12*'ESTOQUE '!I10</f>
        <v>0</v>
      </c>
    </row>
    <row r="13" spans="1:19" s="97" customFormat="1" x14ac:dyDescent="0.2">
      <c r="A13" s="10">
        <v>43617</v>
      </c>
      <c r="B13" s="112"/>
      <c r="C13" s="99">
        <f t="shared" si="0"/>
        <v>100000</v>
      </c>
      <c r="D13" s="100">
        <f t="shared" si="1"/>
        <v>0</v>
      </c>
      <c r="E13" s="101">
        <f t="shared" ref="E13:E20" si="3">D13+E12</f>
        <v>0.1</v>
      </c>
      <c r="F13" s="102"/>
      <c r="G13" s="48">
        <f t="shared" si="2"/>
        <v>100000</v>
      </c>
      <c r="H13" s="35">
        <f>+G12/'ESTOQUE '!J10*'ESTOQUE '!H11</f>
        <v>0</v>
      </c>
      <c r="I13" s="102"/>
      <c r="J13" s="49">
        <f>(B13/'ESTOQUE '!J$9)*'ESTOQUE '!J11</f>
        <v>0</v>
      </c>
      <c r="K13" s="35">
        <f>B13*'ESTOQUE '!I11</f>
        <v>0</v>
      </c>
      <c r="L13" s="111"/>
    </row>
    <row r="14" spans="1:19" s="102" customFormat="1" x14ac:dyDescent="0.2">
      <c r="A14" s="10">
        <v>43647</v>
      </c>
      <c r="B14" s="104"/>
      <c r="C14" s="99">
        <f t="shared" si="0"/>
        <v>100000</v>
      </c>
      <c r="D14" s="100">
        <f t="shared" si="1"/>
        <v>0</v>
      </c>
      <c r="E14" s="101">
        <f t="shared" si="3"/>
        <v>0.1</v>
      </c>
      <c r="G14" s="48">
        <f t="shared" si="2"/>
        <v>100000</v>
      </c>
      <c r="H14" s="35">
        <f>+G13/'ESTOQUE '!J11*'ESTOQUE '!H12</f>
        <v>0</v>
      </c>
      <c r="I14" s="103"/>
      <c r="J14" s="49">
        <f>(B14/'ESTOQUE '!J$9)*'ESTOQUE '!J12</f>
        <v>0</v>
      </c>
      <c r="K14" s="35">
        <f>B14*'ESTOQUE '!I12</f>
        <v>0</v>
      </c>
      <c r="L14" s="106"/>
    </row>
    <row r="15" spans="1:19" x14ac:dyDescent="0.2">
      <c r="A15" s="10">
        <v>43678</v>
      </c>
      <c r="B15" s="115"/>
      <c r="C15" s="99">
        <f t="shared" si="0"/>
        <v>100000</v>
      </c>
      <c r="D15" s="100">
        <f t="shared" si="1"/>
        <v>0</v>
      </c>
      <c r="E15" s="101">
        <f t="shared" si="3"/>
        <v>0.1</v>
      </c>
      <c r="F15" s="102"/>
      <c r="G15" s="48">
        <f t="shared" si="2"/>
        <v>100000</v>
      </c>
      <c r="H15" s="35">
        <f>+G14/'ESTOQUE '!J12*'ESTOQUE '!H13</f>
        <v>0</v>
      </c>
      <c r="I15" s="103"/>
      <c r="J15" s="49">
        <f>(B15/'ESTOQUE '!J$9)*'ESTOQUE '!J13</f>
        <v>0</v>
      </c>
      <c r="K15" s="35">
        <f>B15*'ESTOQUE '!I13</f>
        <v>0</v>
      </c>
      <c r="L15" s="98"/>
      <c r="M15" s="97"/>
      <c r="N15" s="97"/>
      <c r="O15" s="97"/>
      <c r="P15" s="97"/>
      <c r="Q15" s="97"/>
      <c r="R15" s="97"/>
      <c r="S15" s="97"/>
    </row>
    <row r="16" spans="1:19" x14ac:dyDescent="0.2">
      <c r="A16" s="10">
        <v>43709</v>
      </c>
      <c r="B16" s="104"/>
      <c r="C16" s="99">
        <f>+C15+B16</f>
        <v>100000</v>
      </c>
      <c r="D16" s="100">
        <f t="shared" si="1"/>
        <v>0</v>
      </c>
      <c r="E16" s="101">
        <f t="shared" si="3"/>
        <v>0.1</v>
      </c>
      <c r="F16" s="102"/>
      <c r="G16" s="48">
        <f t="shared" si="2"/>
        <v>100000</v>
      </c>
      <c r="H16" s="35">
        <f>+G15/'ESTOQUE '!J13*'ESTOQUE '!H14</f>
        <v>0</v>
      </c>
      <c r="I16" s="102"/>
      <c r="J16" s="49">
        <f>(B16/'ESTOQUE '!J$9)*'ESTOQUE '!J14</f>
        <v>0</v>
      </c>
      <c r="K16" s="35">
        <f>B16*'ESTOQUE '!I14</f>
        <v>0</v>
      </c>
      <c r="L16" s="67"/>
    </row>
    <row r="17" spans="1:14" x14ac:dyDescent="0.2">
      <c r="A17" s="10">
        <v>43739</v>
      </c>
      <c r="B17" s="104"/>
      <c r="C17" s="99">
        <f t="shared" si="0"/>
        <v>100000</v>
      </c>
      <c r="D17" s="100">
        <f t="shared" si="1"/>
        <v>0</v>
      </c>
      <c r="E17" s="101">
        <f t="shared" si="3"/>
        <v>0.1</v>
      </c>
      <c r="F17" s="105"/>
      <c r="G17" s="48">
        <f t="shared" si="2"/>
        <v>100000</v>
      </c>
      <c r="H17" s="35">
        <f>+G16/'ESTOQUE '!J14*'ESTOQUE '!H15</f>
        <v>0</v>
      </c>
      <c r="I17" s="105"/>
      <c r="J17" s="49">
        <f>(B17/'ESTOQUE '!J$9)*'ESTOQUE '!J15</f>
        <v>0</v>
      </c>
      <c r="K17" s="35">
        <f>B17*'ESTOQUE '!I15</f>
        <v>0</v>
      </c>
    </row>
    <row r="18" spans="1:14" x14ac:dyDescent="0.2">
      <c r="A18" s="10">
        <v>43770</v>
      </c>
      <c r="B18" s="104"/>
      <c r="C18" s="99">
        <f t="shared" si="0"/>
        <v>100000</v>
      </c>
      <c r="D18" s="100">
        <f t="shared" si="1"/>
        <v>0</v>
      </c>
      <c r="E18" s="101">
        <f t="shared" si="3"/>
        <v>0.1</v>
      </c>
      <c r="F18" s="105"/>
      <c r="G18" s="48">
        <f t="shared" si="2"/>
        <v>100000</v>
      </c>
      <c r="H18" s="35">
        <f>+G17/'ESTOQUE '!J15*'ESTOQUE '!H16</f>
        <v>0</v>
      </c>
      <c r="I18" s="128"/>
      <c r="J18" s="49">
        <f>(B18/'ESTOQUE '!J$9)*'ESTOQUE '!J16</f>
        <v>0</v>
      </c>
      <c r="K18" s="35">
        <f>B18*'ESTOQUE '!I16</f>
        <v>0</v>
      </c>
      <c r="M18" s="5"/>
      <c r="N18" s="2"/>
    </row>
    <row r="19" spans="1:14" s="102" customFormat="1" x14ac:dyDescent="0.2">
      <c r="A19" s="10">
        <v>43800</v>
      </c>
      <c r="B19" s="104"/>
      <c r="C19" s="99">
        <f>+C18+B19</f>
        <v>100000</v>
      </c>
      <c r="D19" s="100">
        <f t="shared" si="1"/>
        <v>0</v>
      </c>
      <c r="E19" s="101">
        <f t="shared" si="3"/>
        <v>0.1</v>
      </c>
      <c r="F19" s="105"/>
      <c r="G19" s="48">
        <f t="shared" si="2"/>
        <v>100000</v>
      </c>
      <c r="H19" s="35">
        <f>+G18/'ESTOQUE '!J16*'ESTOQUE '!H17</f>
        <v>0</v>
      </c>
      <c r="I19" s="105"/>
      <c r="J19" s="49">
        <f>(B19/'ESTOQUE '!J$9)*'ESTOQUE '!J17</f>
        <v>0</v>
      </c>
      <c r="K19" s="35">
        <f>B19*'ESTOQUE '!I17</f>
        <v>0</v>
      </c>
      <c r="L19" s="106"/>
      <c r="M19" s="107"/>
      <c r="N19" s="106"/>
    </row>
    <row r="20" spans="1:14" x14ac:dyDescent="0.2">
      <c r="A20" s="10">
        <v>43831</v>
      </c>
      <c r="B20" s="104"/>
      <c r="C20" s="99">
        <f>+C19+B20</f>
        <v>100000</v>
      </c>
      <c r="D20" s="100">
        <f t="shared" si="1"/>
        <v>0</v>
      </c>
      <c r="E20" s="101">
        <f t="shared" si="3"/>
        <v>0.1</v>
      </c>
      <c r="F20" s="105"/>
      <c r="G20" s="48">
        <f t="shared" si="2"/>
        <v>100000</v>
      </c>
      <c r="H20" s="35">
        <f>+G19/'ESTOQUE '!J17*'ESTOQUE '!H18</f>
        <v>0</v>
      </c>
      <c r="I20" s="131"/>
      <c r="J20" s="49">
        <f>(B20/'ESTOQUE '!J$9)*'ESTOQUE '!J18</f>
        <v>0</v>
      </c>
      <c r="K20" s="35">
        <f>B20*'ESTOQUE '!I18</f>
        <v>0</v>
      </c>
      <c r="L20" s="141"/>
      <c r="M20" s="71"/>
      <c r="N20" s="2"/>
    </row>
    <row r="21" spans="1:14" x14ac:dyDescent="0.2">
      <c r="A21" s="10">
        <v>43862</v>
      </c>
      <c r="B21" s="126"/>
      <c r="C21" s="99">
        <f>+C20+B21</f>
        <v>100000</v>
      </c>
      <c r="D21" s="100">
        <v>0.14000000000000001</v>
      </c>
      <c r="E21" s="101">
        <f t="shared" ref="E21:E42" si="4">D21+E20</f>
        <v>0.24000000000000002</v>
      </c>
      <c r="F21" s="105"/>
      <c r="G21" s="48">
        <f t="shared" si="2"/>
        <v>100000</v>
      </c>
      <c r="H21" s="35">
        <f>+G20/'ESTOQUE '!J18*'ESTOQUE '!H19</f>
        <v>0</v>
      </c>
      <c r="I21" s="128"/>
      <c r="J21" s="49">
        <f>(B21/'ESTOQUE '!J$9)*'ESTOQUE '!J19</f>
        <v>0</v>
      </c>
      <c r="K21" s="35">
        <f>B21*'ESTOQUE '!I19</f>
        <v>0</v>
      </c>
    </row>
    <row r="22" spans="1:14" x14ac:dyDescent="0.2">
      <c r="A22" s="10">
        <v>43891</v>
      </c>
      <c r="B22" s="126"/>
      <c r="C22" s="99">
        <f t="shared" si="0"/>
        <v>100000</v>
      </c>
      <c r="D22" s="100">
        <f t="shared" si="1"/>
        <v>0</v>
      </c>
      <c r="E22" s="101">
        <f t="shared" si="4"/>
        <v>0.24000000000000002</v>
      </c>
      <c r="F22" s="105"/>
      <c r="G22" s="48">
        <f t="shared" si="2"/>
        <v>100000</v>
      </c>
      <c r="H22" s="35">
        <f>+G21/'ESTOQUE '!J19*'ESTOQUE '!H20</f>
        <v>0</v>
      </c>
      <c r="I22" s="105"/>
      <c r="J22" s="49">
        <f>(B22/'ESTOQUE '!J$9)*'ESTOQUE '!J20</f>
        <v>0</v>
      </c>
      <c r="K22" s="35">
        <f>B22*'ESTOQUE '!I20</f>
        <v>0</v>
      </c>
    </row>
    <row r="23" spans="1:14" x14ac:dyDescent="0.2">
      <c r="A23" s="10">
        <v>43922</v>
      </c>
      <c r="B23" s="126"/>
      <c r="C23" s="99">
        <f t="shared" si="0"/>
        <v>100000</v>
      </c>
      <c r="D23" s="100">
        <f t="shared" si="1"/>
        <v>0</v>
      </c>
      <c r="E23" s="101">
        <f t="shared" si="4"/>
        <v>0.24000000000000002</v>
      </c>
      <c r="F23" s="105"/>
      <c r="G23" s="48">
        <f t="shared" si="2"/>
        <v>100000</v>
      </c>
      <c r="H23" s="35">
        <f>+G22/'ESTOQUE '!J20*'ESTOQUE '!H21</f>
        <v>0</v>
      </c>
      <c r="I23" s="105"/>
      <c r="J23" s="49">
        <f>(B23/'ESTOQUE '!J$9)*'ESTOQUE '!J21</f>
        <v>0</v>
      </c>
      <c r="K23" s="35">
        <f>B23*'ESTOQUE '!I21</f>
        <v>0</v>
      </c>
    </row>
    <row r="24" spans="1:14" x14ac:dyDescent="0.2">
      <c r="A24" s="10">
        <v>43952</v>
      </c>
      <c r="B24" s="126"/>
      <c r="C24" s="99">
        <f t="shared" si="0"/>
        <v>100000</v>
      </c>
      <c r="D24" s="100">
        <f t="shared" si="1"/>
        <v>0</v>
      </c>
      <c r="E24" s="101">
        <f t="shared" si="4"/>
        <v>0.24000000000000002</v>
      </c>
      <c r="F24" s="105"/>
      <c r="G24" s="48">
        <f t="shared" si="2"/>
        <v>100000</v>
      </c>
      <c r="H24" s="35">
        <f>+G23/'ESTOQUE '!J21*'ESTOQUE '!H22</f>
        <v>0</v>
      </c>
      <c r="I24" s="131"/>
      <c r="J24" s="49">
        <f>(B24/'ESTOQUE '!J$9)*'ESTOQUE '!J22</f>
        <v>0</v>
      </c>
      <c r="K24" s="35">
        <f>B24*'ESTOQUE '!I22</f>
        <v>0</v>
      </c>
    </row>
    <row r="25" spans="1:14" x14ac:dyDescent="0.2">
      <c r="A25" s="10">
        <v>43983</v>
      </c>
      <c r="B25" s="126"/>
      <c r="C25" s="99">
        <f t="shared" si="0"/>
        <v>100000</v>
      </c>
      <c r="D25" s="100">
        <f t="shared" si="1"/>
        <v>0</v>
      </c>
      <c r="E25" s="101">
        <f t="shared" si="4"/>
        <v>0.24000000000000002</v>
      </c>
      <c r="F25" s="105"/>
      <c r="G25" s="48">
        <f t="shared" si="2"/>
        <v>100000</v>
      </c>
      <c r="H25" s="35">
        <f>+G24/'ESTOQUE '!J22*'ESTOQUE '!H23</f>
        <v>0</v>
      </c>
      <c r="I25" s="105"/>
      <c r="J25" s="49">
        <f>(B25/'ESTOQUE '!J$9)*'ESTOQUE '!J23</f>
        <v>0</v>
      </c>
      <c r="K25" s="35">
        <f>B25*'ESTOQUE '!I23</f>
        <v>0</v>
      </c>
    </row>
    <row r="26" spans="1:14" x14ac:dyDescent="0.2">
      <c r="A26" s="10">
        <v>44013</v>
      </c>
      <c r="B26" s="126"/>
      <c r="C26" s="99">
        <f>+C25+B26</f>
        <v>100000</v>
      </c>
      <c r="D26" s="100">
        <f t="shared" si="1"/>
        <v>0</v>
      </c>
      <c r="E26" s="101">
        <f>D26+E25</f>
        <v>0.24000000000000002</v>
      </c>
      <c r="F26" s="105"/>
      <c r="G26" s="48">
        <f t="shared" si="2"/>
        <v>100000</v>
      </c>
      <c r="H26" s="35">
        <f>+G25/'ESTOQUE '!J23*'ESTOQUE '!H24</f>
        <v>0</v>
      </c>
      <c r="I26" s="128"/>
      <c r="J26" s="49">
        <f>(B26/'ESTOQUE '!J$9)*'ESTOQUE '!J24</f>
        <v>0</v>
      </c>
      <c r="K26" s="35">
        <f>B26*'ESTOQUE '!I24</f>
        <v>0</v>
      </c>
    </row>
    <row r="27" spans="1:14" x14ac:dyDescent="0.2">
      <c r="A27" s="10">
        <v>44044</v>
      </c>
      <c r="B27" s="126"/>
      <c r="C27" s="99">
        <f t="shared" si="0"/>
        <v>100000</v>
      </c>
      <c r="D27" s="100">
        <f t="shared" si="1"/>
        <v>0</v>
      </c>
      <c r="E27" s="101">
        <f t="shared" si="4"/>
        <v>0.24000000000000002</v>
      </c>
      <c r="F27" s="105"/>
      <c r="G27" s="48">
        <f t="shared" si="2"/>
        <v>100000</v>
      </c>
      <c r="H27" s="35">
        <f>+G26/'ESTOQUE '!J24*'ESTOQUE '!H25</f>
        <v>0</v>
      </c>
      <c r="I27" s="128"/>
      <c r="J27" s="49">
        <f>(B27/'ESTOQUE '!J$9)*'ESTOQUE '!J25</f>
        <v>0</v>
      </c>
      <c r="K27" s="35">
        <f>B27*'ESTOQUE '!I25</f>
        <v>0</v>
      </c>
    </row>
    <row r="28" spans="1:14" x14ac:dyDescent="0.2">
      <c r="A28" s="10">
        <v>44075</v>
      </c>
      <c r="B28" s="126"/>
      <c r="C28" s="99">
        <f t="shared" si="0"/>
        <v>100000</v>
      </c>
      <c r="D28" s="100">
        <f t="shared" si="1"/>
        <v>0</v>
      </c>
      <c r="E28" s="101">
        <f t="shared" si="4"/>
        <v>0.24000000000000002</v>
      </c>
      <c r="F28" s="105"/>
      <c r="G28" s="48">
        <f t="shared" si="2"/>
        <v>100000</v>
      </c>
      <c r="H28" s="35">
        <f>+G27/'ESTOQUE '!J25*'ESTOQUE '!H26</f>
        <v>0</v>
      </c>
      <c r="I28" s="105"/>
      <c r="J28" s="49">
        <f>(B28/'ESTOQUE '!J$9)*'ESTOQUE '!J26</f>
        <v>0</v>
      </c>
      <c r="K28" s="35">
        <f>B28*'ESTOQUE '!I26</f>
        <v>0</v>
      </c>
    </row>
    <row r="29" spans="1:14" x14ac:dyDescent="0.2">
      <c r="A29" s="10">
        <v>44105</v>
      </c>
      <c r="B29" s="126"/>
      <c r="C29" s="99">
        <f t="shared" si="0"/>
        <v>100000</v>
      </c>
      <c r="D29" s="100">
        <f t="shared" si="1"/>
        <v>0</v>
      </c>
      <c r="E29" s="101">
        <f t="shared" si="4"/>
        <v>0.24000000000000002</v>
      </c>
      <c r="F29" s="105"/>
      <c r="G29" s="48">
        <f t="shared" si="2"/>
        <v>100000</v>
      </c>
      <c r="H29" s="35">
        <f>+G28/'ESTOQUE '!J26*'ESTOQUE '!H27</f>
        <v>0</v>
      </c>
      <c r="I29" s="105"/>
      <c r="J29" s="49">
        <f>(B29/'ESTOQUE '!J$9)*'ESTOQUE '!J27</f>
        <v>0</v>
      </c>
      <c r="K29" s="35">
        <f>B29*'ESTOQUE '!I27</f>
        <v>0</v>
      </c>
      <c r="L29" s="106"/>
    </row>
    <row r="30" spans="1:14" x14ac:dyDescent="0.2">
      <c r="A30" s="10">
        <v>44136</v>
      </c>
      <c r="B30" s="126"/>
      <c r="C30" s="99">
        <f t="shared" si="0"/>
        <v>100000</v>
      </c>
      <c r="D30" s="100">
        <f t="shared" si="1"/>
        <v>0</v>
      </c>
      <c r="E30" s="101">
        <f t="shared" si="4"/>
        <v>0.24000000000000002</v>
      </c>
      <c r="F30" s="105"/>
      <c r="G30" s="48">
        <f t="shared" si="2"/>
        <v>100000</v>
      </c>
      <c r="H30" s="35">
        <f>+G29/'ESTOQUE '!J27*'ESTOQUE '!H28</f>
        <v>0</v>
      </c>
      <c r="I30" s="105"/>
      <c r="J30" s="49">
        <f>(B30/'ESTOQUE '!J$9)*'ESTOQUE '!J28</f>
        <v>0</v>
      </c>
      <c r="K30" s="35">
        <f>B30*'ESTOQUE '!I28</f>
        <v>0</v>
      </c>
    </row>
    <row r="31" spans="1:14" x14ac:dyDescent="0.2">
      <c r="A31" s="10">
        <v>44166</v>
      </c>
      <c r="B31" s="126"/>
      <c r="C31" s="99">
        <f t="shared" si="0"/>
        <v>100000</v>
      </c>
      <c r="D31" s="100">
        <f t="shared" si="1"/>
        <v>0</v>
      </c>
      <c r="E31" s="101">
        <f t="shared" si="4"/>
        <v>0.24000000000000002</v>
      </c>
      <c r="F31" s="105"/>
      <c r="G31" s="48">
        <f t="shared" si="2"/>
        <v>100000</v>
      </c>
      <c r="H31" s="35">
        <f>+G30/'ESTOQUE '!J28*'ESTOQUE '!H29</f>
        <v>0</v>
      </c>
      <c r="I31" s="128"/>
      <c r="J31" s="49">
        <f>(B31/'ESTOQUE '!J$9)*'ESTOQUE '!J29</f>
        <v>0</v>
      </c>
      <c r="K31" s="35">
        <f>B31*'ESTOQUE '!I29</f>
        <v>0</v>
      </c>
    </row>
    <row r="32" spans="1:14" x14ac:dyDescent="0.2">
      <c r="A32" s="10">
        <v>44197</v>
      </c>
      <c r="B32" s="63"/>
      <c r="C32" s="58">
        <f t="shared" si="0"/>
        <v>100000</v>
      </c>
      <c r="D32" s="81">
        <f t="shared" si="1"/>
        <v>0</v>
      </c>
      <c r="E32" s="47">
        <f t="shared" si="4"/>
        <v>0.24000000000000002</v>
      </c>
      <c r="F32" s="59"/>
      <c r="G32" s="48">
        <f t="shared" si="2"/>
        <v>100000</v>
      </c>
      <c r="H32" s="35">
        <f>+G31/'ESTOQUE '!J29*'ESTOQUE '!H30</f>
        <v>0</v>
      </c>
      <c r="I32" s="68"/>
      <c r="J32" s="49">
        <f>(B32/'ESTOQUE '!J$9)*'ESTOQUE '!J30</f>
        <v>0</v>
      </c>
      <c r="K32" s="35">
        <f>B32*'ESTOQUE '!I30</f>
        <v>0</v>
      </c>
      <c r="L32" s="74"/>
      <c r="M32" s="66"/>
    </row>
    <row r="33" spans="1:14" x14ac:dyDescent="0.2">
      <c r="A33" s="10">
        <v>44228</v>
      </c>
      <c r="B33" s="126"/>
      <c r="C33" s="99">
        <f t="shared" si="0"/>
        <v>100000</v>
      </c>
      <c r="D33" s="100">
        <f t="shared" si="1"/>
        <v>0</v>
      </c>
      <c r="E33" s="101">
        <f t="shared" si="4"/>
        <v>0.24000000000000002</v>
      </c>
      <c r="F33" s="69"/>
      <c r="G33" s="48">
        <f t="shared" si="2"/>
        <v>100000</v>
      </c>
      <c r="H33" s="35">
        <f>+G32/'ESTOQUE '!J30*'ESTOQUE '!H31</f>
        <v>0</v>
      </c>
      <c r="I33" s="150"/>
      <c r="J33" s="49">
        <f>(B33/'ESTOQUE '!J$9)*'ESTOQUE '!J31</f>
        <v>0</v>
      </c>
      <c r="K33" s="35">
        <f>B33*'ESTOQUE '!I31</f>
        <v>0</v>
      </c>
    </row>
    <row r="34" spans="1:14" x14ac:dyDescent="0.2">
      <c r="A34" s="10">
        <v>44256</v>
      </c>
      <c r="B34" s="22"/>
      <c r="C34" s="23">
        <f t="shared" si="0"/>
        <v>100000</v>
      </c>
      <c r="D34" s="81">
        <f t="shared" si="1"/>
        <v>0</v>
      </c>
      <c r="E34" s="24">
        <f t="shared" si="4"/>
        <v>0.24000000000000002</v>
      </c>
      <c r="F34" s="3"/>
      <c r="G34" s="48">
        <f t="shared" si="2"/>
        <v>100000</v>
      </c>
      <c r="H34" s="35">
        <f>+G33/'ESTOQUE '!J31*'ESTOQUE '!H32</f>
        <v>0</v>
      </c>
      <c r="I34" s="75"/>
      <c r="J34" s="49">
        <f>(B34/'ESTOQUE '!J$9)*'ESTOQUE '!J32</f>
        <v>0</v>
      </c>
      <c r="K34" s="35">
        <f>B34*'ESTOQUE '!I32</f>
        <v>0</v>
      </c>
    </row>
    <row r="35" spans="1:14" x14ac:dyDescent="0.2">
      <c r="A35" s="10">
        <v>44287</v>
      </c>
      <c r="B35" s="112"/>
      <c r="C35" s="99">
        <f t="shared" si="0"/>
        <v>100000</v>
      </c>
      <c r="D35" s="100">
        <f t="shared" si="1"/>
        <v>0</v>
      </c>
      <c r="E35" s="101">
        <f t="shared" si="4"/>
        <v>0.24000000000000002</v>
      </c>
      <c r="F35" s="105"/>
      <c r="G35" s="48">
        <f t="shared" si="2"/>
        <v>100000</v>
      </c>
      <c r="H35" s="35">
        <f>+G34/'ESTOQUE '!J32*'ESTOQUE '!H33</f>
        <v>0</v>
      </c>
      <c r="I35" s="128"/>
      <c r="J35" s="49">
        <f>(B35/'ESTOQUE '!J$9)*'ESTOQUE '!J33</f>
        <v>0</v>
      </c>
      <c r="K35" s="163">
        <f>B35*'ESTOQUE '!I33</f>
        <v>0</v>
      </c>
    </row>
    <row r="36" spans="1:14" x14ac:dyDescent="0.2">
      <c r="A36" s="10">
        <v>44317</v>
      </c>
      <c r="B36" s="161"/>
      <c r="C36" s="147">
        <f t="shared" si="0"/>
        <v>100000</v>
      </c>
      <c r="D36" s="148">
        <f t="shared" si="1"/>
        <v>0</v>
      </c>
      <c r="E36" s="149">
        <f t="shared" si="4"/>
        <v>0.24000000000000002</v>
      </c>
      <c r="F36" s="69"/>
      <c r="G36" s="48">
        <f t="shared" si="2"/>
        <v>100000</v>
      </c>
      <c r="H36" s="35">
        <f>+G35/'ESTOQUE '!J33*'ESTOQUE '!H34</f>
        <v>0</v>
      </c>
      <c r="I36" s="150"/>
      <c r="J36" s="49">
        <f>(B36/'ESTOQUE '!J$9)*'ESTOQUE '!J34</f>
        <v>0</v>
      </c>
      <c r="K36" s="162">
        <f>B36*'ESTOQUE '!I34-0.02</f>
        <v>-0.02</v>
      </c>
      <c r="L36" s="2" t="s">
        <v>187</v>
      </c>
      <c r="N36" s="263">
        <v>8218.8700000000008</v>
      </c>
    </row>
    <row r="37" spans="1:14" ht="12" customHeight="1" x14ac:dyDescent="0.2">
      <c r="A37" s="10">
        <v>44348</v>
      </c>
      <c r="B37" s="79"/>
      <c r="C37" s="58">
        <f t="shared" si="0"/>
        <v>100000</v>
      </c>
      <c r="D37" s="81">
        <f t="shared" si="1"/>
        <v>0</v>
      </c>
      <c r="E37" s="47">
        <f t="shared" si="4"/>
        <v>0.24000000000000002</v>
      </c>
      <c r="F37" s="59"/>
      <c r="G37" s="48">
        <f t="shared" si="2"/>
        <v>100000</v>
      </c>
      <c r="H37" s="35">
        <f>+G36/'ESTOQUE '!J34*'ESTOQUE '!H35</f>
        <v>0</v>
      </c>
      <c r="I37" s="59"/>
      <c r="J37" s="49">
        <f>(B37/'ESTOQUE '!J$9)*'ESTOQUE '!J35</f>
        <v>0</v>
      </c>
      <c r="K37" s="35">
        <f>B37*'ESTOQUE '!I35</f>
        <v>0</v>
      </c>
      <c r="N37">
        <v>48</v>
      </c>
    </row>
    <row r="38" spans="1:14" x14ac:dyDescent="0.2">
      <c r="A38" s="10">
        <v>44378</v>
      </c>
      <c r="B38" s="37"/>
      <c r="C38" s="23">
        <f t="shared" si="0"/>
        <v>100000</v>
      </c>
      <c r="D38" s="81">
        <f t="shared" si="1"/>
        <v>0</v>
      </c>
      <c r="E38" s="24">
        <f t="shared" si="4"/>
        <v>0.24000000000000002</v>
      </c>
      <c r="F38" s="3"/>
      <c r="G38" s="48">
        <f t="shared" si="2"/>
        <v>100000</v>
      </c>
      <c r="H38" s="35">
        <f>+G37/'ESTOQUE '!J35*'ESTOQUE '!H36</f>
        <v>0</v>
      </c>
      <c r="I38" s="3"/>
      <c r="J38" s="49">
        <f>(B38/'ESTOQUE '!J$9)*'ESTOQUE '!J36</f>
        <v>0</v>
      </c>
      <c r="K38" s="35">
        <f>B38*'ESTOQUE '!I36</f>
        <v>0</v>
      </c>
    </row>
    <row r="39" spans="1:14" x14ac:dyDescent="0.2">
      <c r="A39" s="10">
        <v>44409</v>
      </c>
      <c r="B39" s="37"/>
      <c r="C39" s="23">
        <f t="shared" si="0"/>
        <v>100000</v>
      </c>
      <c r="D39" s="81">
        <f t="shared" si="1"/>
        <v>0</v>
      </c>
      <c r="E39" s="24">
        <f t="shared" si="4"/>
        <v>0.24000000000000002</v>
      </c>
      <c r="F39" s="3"/>
      <c r="G39" s="48">
        <f t="shared" si="2"/>
        <v>100000</v>
      </c>
      <c r="H39" s="35">
        <f>+G38/'ESTOQUE '!J36*'ESTOQUE '!H37</f>
        <v>0</v>
      </c>
      <c r="I39" s="3"/>
      <c r="J39" s="49">
        <f>(B39/'ESTOQUE '!J$9)*'ESTOQUE '!J37</f>
        <v>0</v>
      </c>
      <c r="K39" s="35">
        <f>B39*'ESTOQUE '!I37</f>
        <v>0</v>
      </c>
    </row>
    <row r="40" spans="1:14" x14ac:dyDescent="0.2">
      <c r="A40" s="10">
        <v>44440</v>
      </c>
      <c r="B40" s="37"/>
      <c r="C40" s="23">
        <f t="shared" si="0"/>
        <v>100000</v>
      </c>
      <c r="D40" s="81">
        <f t="shared" si="1"/>
        <v>0</v>
      </c>
      <c r="E40" s="24">
        <f t="shared" si="4"/>
        <v>0.24000000000000002</v>
      </c>
      <c r="F40" s="3"/>
      <c r="G40" s="48">
        <f t="shared" si="2"/>
        <v>100000</v>
      </c>
      <c r="H40" s="35">
        <f>+G39/'ESTOQUE '!J37*'ESTOQUE '!H38</f>
        <v>0</v>
      </c>
      <c r="I40" s="3"/>
      <c r="J40" s="49">
        <f>(B40/'ESTOQUE '!J$9)*'ESTOQUE '!J38</f>
        <v>0</v>
      </c>
      <c r="K40" s="35">
        <f>B40*'ESTOQUE '!I38</f>
        <v>0</v>
      </c>
    </row>
    <row r="41" spans="1:14" x14ac:dyDescent="0.2">
      <c r="A41" s="10">
        <v>44470</v>
      </c>
      <c r="B41" s="37"/>
      <c r="C41" s="23">
        <f t="shared" si="0"/>
        <v>100000</v>
      </c>
      <c r="D41" s="81">
        <f t="shared" si="1"/>
        <v>0</v>
      </c>
      <c r="E41" s="24">
        <f t="shared" si="4"/>
        <v>0.24000000000000002</v>
      </c>
      <c r="F41" s="3"/>
      <c r="G41" s="48">
        <f t="shared" si="2"/>
        <v>100000</v>
      </c>
      <c r="H41" s="35">
        <f>+G40/'ESTOQUE '!J38*'ESTOQUE '!H39</f>
        <v>0</v>
      </c>
      <c r="I41" s="3"/>
      <c r="J41" s="49">
        <f>(B41/'ESTOQUE '!J$9)*'ESTOQUE '!J39</f>
        <v>0</v>
      </c>
      <c r="K41" s="35">
        <f>B41*'ESTOQUE '!I39</f>
        <v>0</v>
      </c>
    </row>
    <row r="42" spans="1:14" x14ac:dyDescent="0.2">
      <c r="A42" s="10">
        <v>44501</v>
      </c>
      <c r="B42" s="79"/>
      <c r="C42" s="58">
        <f t="shared" si="0"/>
        <v>100000</v>
      </c>
      <c r="D42" s="81">
        <f t="shared" si="1"/>
        <v>0</v>
      </c>
      <c r="E42" s="47">
        <f t="shared" si="4"/>
        <v>0.24000000000000002</v>
      </c>
      <c r="F42" s="69"/>
      <c r="G42" s="48">
        <f t="shared" ref="G42:G51" si="5">+G41+J42-H42</f>
        <v>100000</v>
      </c>
      <c r="H42" s="35">
        <f>+G41/'ESTOQUE '!J39*'ESTOQUE '!H40</f>
        <v>0</v>
      </c>
      <c r="I42" s="69"/>
      <c r="J42" s="49">
        <f>(B42/'ESTOQUE '!J$9)*'ESTOQUE '!J40</f>
        <v>0</v>
      </c>
      <c r="K42" s="35">
        <f>B42*'ESTOQUE '!I40</f>
        <v>0</v>
      </c>
    </row>
    <row r="43" spans="1:14" x14ac:dyDescent="0.2">
      <c r="A43" s="10">
        <v>44531</v>
      </c>
      <c r="B43" s="37"/>
      <c r="C43" s="58">
        <f t="shared" ref="C43:C48" si="6">+C42+B43</f>
        <v>100000</v>
      </c>
      <c r="D43" s="43">
        <f t="shared" si="1"/>
        <v>0</v>
      </c>
      <c r="E43" s="47">
        <f t="shared" ref="E43:E48" si="7">D43+E42</f>
        <v>0.24000000000000002</v>
      </c>
      <c r="F43" s="59"/>
      <c r="G43" s="264">
        <f t="shared" si="5"/>
        <v>100000</v>
      </c>
      <c r="H43" s="35">
        <f>+G42/'ESTOQUE '!J40*'ESTOQUE '!H41</f>
        <v>0</v>
      </c>
      <c r="I43" s="59"/>
      <c r="J43" s="49">
        <f>(B43/'ESTOQUE '!J$9)*'ESTOQUE '!J41</f>
        <v>0</v>
      </c>
      <c r="K43" s="35">
        <f>B43*'ESTOQUE '!I41</f>
        <v>0</v>
      </c>
      <c r="L43" s="2">
        <f>K43+H43</f>
        <v>0</v>
      </c>
      <c r="M43" s="228"/>
    </row>
    <row r="44" spans="1:14" x14ac:dyDescent="0.2">
      <c r="A44" s="10">
        <v>44562</v>
      </c>
      <c r="B44" s="79"/>
      <c r="C44" s="58">
        <f t="shared" si="6"/>
        <v>100000</v>
      </c>
      <c r="D44" s="81">
        <f t="shared" si="1"/>
        <v>0</v>
      </c>
      <c r="E44" s="47">
        <f t="shared" si="7"/>
        <v>0.24000000000000002</v>
      </c>
      <c r="F44" s="69"/>
      <c r="G44" s="48">
        <f t="shared" si="5"/>
        <v>100000</v>
      </c>
      <c r="H44" s="35">
        <f>+G43/'ESTOQUE '!J41*'ESTOQUE '!H42</f>
        <v>0</v>
      </c>
      <c r="I44" s="69"/>
      <c r="J44" s="49">
        <f>(B44/'ESTOQUE '!J$9)*'ESTOQUE '!J42</f>
        <v>0</v>
      </c>
      <c r="K44" s="35">
        <f>B44*'ESTOQUE '!I42</f>
        <v>0</v>
      </c>
    </row>
    <row r="45" spans="1:14" x14ac:dyDescent="0.2">
      <c r="A45" s="10">
        <v>44593</v>
      </c>
      <c r="B45" s="79"/>
      <c r="C45" s="58">
        <f t="shared" si="6"/>
        <v>100000</v>
      </c>
      <c r="D45" s="81">
        <f t="shared" si="1"/>
        <v>0</v>
      </c>
      <c r="E45" s="47">
        <f t="shared" si="7"/>
        <v>0.24000000000000002</v>
      </c>
      <c r="F45" s="69"/>
      <c r="G45" s="48">
        <f t="shared" si="5"/>
        <v>100000</v>
      </c>
      <c r="H45" s="35">
        <f>+G44/'ESTOQUE '!J42*'ESTOQUE '!H43</f>
        <v>0</v>
      </c>
      <c r="I45" s="69"/>
      <c r="J45" s="49">
        <f>(B45/'ESTOQUE '!J$9)*'ESTOQUE '!J43</f>
        <v>0</v>
      </c>
      <c r="K45" s="35">
        <f>B45*'ESTOQUE '!I43</f>
        <v>0</v>
      </c>
      <c r="M45" s="171"/>
    </row>
    <row r="46" spans="1:14" x14ac:dyDescent="0.2">
      <c r="A46" s="10">
        <v>44621</v>
      </c>
      <c r="B46" s="79"/>
      <c r="C46" s="58">
        <f t="shared" si="6"/>
        <v>100000</v>
      </c>
      <c r="D46" s="81">
        <f t="shared" si="1"/>
        <v>0</v>
      </c>
      <c r="E46" s="47">
        <f t="shared" si="7"/>
        <v>0.24000000000000002</v>
      </c>
      <c r="F46" s="69"/>
      <c r="G46" s="48">
        <f t="shared" si="5"/>
        <v>100000</v>
      </c>
      <c r="H46" s="35">
        <f>+G45/'ESTOQUE '!J43*'ESTOQUE '!H44</f>
        <v>0</v>
      </c>
      <c r="I46" s="69"/>
      <c r="J46" s="49">
        <f>(B46/'ESTOQUE '!J$9)*'ESTOQUE '!J44</f>
        <v>0</v>
      </c>
      <c r="K46" s="35">
        <f>B46*'ESTOQUE '!I44</f>
        <v>0</v>
      </c>
      <c r="M46" s="171"/>
    </row>
    <row r="47" spans="1:14" x14ac:dyDescent="0.2">
      <c r="A47" s="10">
        <v>44652</v>
      </c>
      <c r="B47" s="79"/>
      <c r="C47" s="58">
        <f t="shared" si="6"/>
        <v>100000</v>
      </c>
      <c r="D47" s="81">
        <f t="shared" si="1"/>
        <v>0</v>
      </c>
      <c r="E47" s="47">
        <f t="shared" si="7"/>
        <v>0.24000000000000002</v>
      </c>
      <c r="F47" s="69"/>
      <c r="G47" s="48">
        <f t="shared" si="5"/>
        <v>100000</v>
      </c>
      <c r="H47" s="35">
        <f>+G46/'ESTOQUE '!J44*'ESTOQUE '!H45</f>
        <v>0</v>
      </c>
      <c r="I47" s="69"/>
      <c r="J47" s="49">
        <f>(B47/'ESTOQUE '!J$9)*'ESTOQUE '!J45</f>
        <v>0</v>
      </c>
      <c r="K47" s="35">
        <f>B47*'ESTOQUE '!I45</f>
        <v>0</v>
      </c>
    </row>
    <row r="48" spans="1:14" x14ac:dyDescent="0.2">
      <c r="A48" s="10">
        <v>44682</v>
      </c>
      <c r="B48" s="79"/>
      <c r="C48" s="58">
        <f t="shared" si="6"/>
        <v>100000</v>
      </c>
      <c r="D48" s="81">
        <f t="shared" si="1"/>
        <v>0</v>
      </c>
      <c r="E48" s="47">
        <f t="shared" si="7"/>
        <v>0.24000000000000002</v>
      </c>
      <c r="F48" s="69"/>
      <c r="G48" s="48">
        <f t="shared" si="5"/>
        <v>100000</v>
      </c>
      <c r="H48" s="35">
        <f>+G47/'ESTOQUE '!J45*'ESTOQUE '!H46</f>
        <v>0</v>
      </c>
      <c r="I48" s="69"/>
      <c r="J48" s="49">
        <f>(B48/'ESTOQUE '!J$9)*'ESTOQUE '!J46</f>
        <v>0</v>
      </c>
      <c r="K48" s="35">
        <f>B48*'ESTOQUE '!I46</f>
        <v>0</v>
      </c>
    </row>
    <row r="49" spans="1:11" x14ac:dyDescent="0.2">
      <c r="A49" s="10">
        <v>44713</v>
      </c>
      <c r="B49" s="79"/>
      <c r="C49" s="58">
        <f t="shared" ref="C49:C51" si="8">+C48+B49</f>
        <v>100000</v>
      </c>
      <c r="D49" s="81">
        <f t="shared" ref="D49:D51" si="9">+B49/$B$6</f>
        <v>0</v>
      </c>
      <c r="E49" s="47">
        <f t="shared" ref="E49:E51" si="10">D49+E48</f>
        <v>0.24000000000000002</v>
      </c>
      <c r="F49" s="69"/>
      <c r="G49" s="48">
        <f t="shared" si="5"/>
        <v>100000</v>
      </c>
      <c r="H49" s="35">
        <f>+G48/'ESTOQUE '!J46*'ESTOQUE '!H47</f>
        <v>0</v>
      </c>
      <c r="I49" s="69"/>
      <c r="J49" s="49">
        <f>(B49/'ESTOQUE '!J$9)*'ESTOQUE '!J47</f>
        <v>0</v>
      </c>
      <c r="K49" s="35">
        <f>B49*'ESTOQUE '!I47</f>
        <v>0</v>
      </c>
    </row>
    <row r="50" spans="1:11" x14ac:dyDescent="0.2">
      <c r="A50" s="10">
        <v>44743</v>
      </c>
      <c r="B50" s="79"/>
      <c r="C50" s="58">
        <f t="shared" si="8"/>
        <v>100000</v>
      </c>
      <c r="D50" s="81">
        <f t="shared" si="9"/>
        <v>0</v>
      </c>
      <c r="E50" s="47">
        <f t="shared" si="10"/>
        <v>0.24000000000000002</v>
      </c>
      <c r="F50" s="69"/>
      <c r="G50" s="48">
        <f t="shared" si="5"/>
        <v>100000</v>
      </c>
      <c r="H50" s="35">
        <f>+G49/'ESTOQUE '!J47*'ESTOQUE '!H48</f>
        <v>0</v>
      </c>
      <c r="I50" s="69"/>
      <c r="J50" s="49">
        <f>(B50/'ESTOQUE '!J$9)*'ESTOQUE '!J48</f>
        <v>0</v>
      </c>
      <c r="K50" s="35">
        <f>B50*'ESTOQUE '!I48</f>
        <v>0</v>
      </c>
    </row>
    <row r="51" spans="1:11" ht="13.5" thickBot="1" x14ac:dyDescent="0.25">
      <c r="A51" s="122">
        <v>44774</v>
      </c>
      <c r="B51" s="87"/>
      <c r="C51" s="88">
        <f t="shared" si="8"/>
        <v>100000</v>
      </c>
      <c r="D51" s="86">
        <f t="shared" si="9"/>
        <v>0</v>
      </c>
      <c r="E51" s="89">
        <f t="shared" si="10"/>
        <v>0.24000000000000002</v>
      </c>
      <c r="F51" s="69"/>
      <c r="G51" s="48">
        <f t="shared" si="5"/>
        <v>100000</v>
      </c>
      <c r="H51" s="35">
        <f>+G50/'ESTOQUE '!J48*'ESTOQUE '!H49</f>
        <v>0</v>
      </c>
      <c r="I51" s="69"/>
      <c r="J51" s="145">
        <f>(B51/'ESTOQUE '!J$9)*'ESTOQUE '!J49</f>
        <v>0</v>
      </c>
      <c r="K51" s="144">
        <f>B51*'ESTOQUE '!I49</f>
        <v>0</v>
      </c>
    </row>
    <row r="53" spans="1:11" x14ac:dyDescent="0.2">
      <c r="C53" s="95">
        <f>C51*'ESTOQUE '!J49+'ESTOQUE '!J49</f>
        <v>100001</v>
      </c>
      <c r="D53" s="93"/>
      <c r="E53" s="96">
        <f>C53-G51</f>
        <v>1</v>
      </c>
      <c r="F53" s="94"/>
      <c r="G53" s="94"/>
      <c r="H53" s="94"/>
      <c r="I53" s="94"/>
      <c r="J53" s="94"/>
      <c r="K53" s="94"/>
    </row>
    <row r="54" spans="1:11" x14ac:dyDescent="0.2">
      <c r="C54" s="95">
        <f>C51*'ESTOQUE '!I49</f>
        <v>0</v>
      </c>
      <c r="D54" s="93"/>
      <c r="E54" s="96" t="e">
        <f>H54+K54-C54+0.02</f>
        <v>#DIV/0!</v>
      </c>
      <c r="F54" s="94"/>
      <c r="G54" s="94"/>
      <c r="H54" s="96" t="e">
        <f>SUM(H11:H51)</f>
        <v>#DIV/0!</v>
      </c>
      <c r="I54" s="94"/>
      <c r="J54" s="94"/>
      <c r="K54" s="96">
        <f>SUM(K11:K51)</f>
        <v>-0.02</v>
      </c>
    </row>
    <row r="55" spans="1:11" x14ac:dyDescent="0.2">
      <c r="H55" s="2"/>
      <c r="K55" s="2"/>
    </row>
    <row r="56" spans="1:11" x14ac:dyDescent="0.2">
      <c r="H56" s="244"/>
    </row>
  </sheetData>
  <sheetProtection selectLockedCells="1"/>
  <mergeCells count="4">
    <mergeCell ref="J9:K9"/>
    <mergeCell ref="G9:H9"/>
    <mergeCell ref="B4:J4"/>
    <mergeCell ref="B2:J2"/>
  </mergeCells>
  <phoneticPr fontId="0" type="noConversion"/>
  <pageMargins left="0.78740157499999996" right="0.78740157499999996" top="0.984251969" bottom="0.984251969" header="0.49212598499999999" footer="0.49212598499999999"/>
  <pageSetup paperSize="9" scale="65" orientation="landscape" r:id="rId1"/>
  <headerFooter alignWithMargins="0"/>
  <ignoredErrors>
    <ignoredError sqref="B2:J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</sheetPr>
  <dimension ref="A1:CD274"/>
  <sheetViews>
    <sheetView showGridLines="0" tabSelected="1" topLeftCell="C1" zoomScale="95" zoomScaleNormal="95" workbookViewId="0">
      <selection activeCell="F9" sqref="F9"/>
    </sheetView>
  </sheetViews>
  <sheetFormatPr defaultColWidth="8.85546875" defaultRowHeight="12.75" x14ac:dyDescent="0.2"/>
  <cols>
    <col min="1" max="1" width="76.7109375" bestFit="1" customWidth="1"/>
    <col min="2" max="2" width="6.85546875" bestFit="1" customWidth="1"/>
    <col min="3" max="3" width="20" style="274" customWidth="1"/>
    <col min="4" max="4" width="27.85546875" style="2" customWidth="1"/>
    <col min="5" max="5" width="16.85546875" style="2" customWidth="1"/>
    <col min="6" max="65" width="15.7109375" style="2" customWidth="1"/>
    <col min="66" max="66" width="15.5703125" style="2" customWidth="1"/>
    <col min="67" max="72" width="14.7109375" customWidth="1"/>
  </cols>
  <sheetData>
    <row r="1" spans="1:67" x14ac:dyDescent="0.2">
      <c r="C1" s="277"/>
      <c r="D1" s="287"/>
    </row>
    <row r="2" spans="1:67" ht="13.5" thickBot="1" x14ac:dyDescent="0.25">
      <c r="C2" s="278"/>
    </row>
    <row r="3" spans="1:67" s="346" customFormat="1" ht="36.75" customHeight="1" thickBot="1" x14ac:dyDescent="0.25">
      <c r="C3" s="347"/>
      <c r="E3" s="348" t="s">
        <v>50</v>
      </c>
      <c r="F3" s="349" t="str">
        <f>_xlfn.CONCAT("Cliente ",SUBSTITUTE(ADDRESS(1,COLUMN(),4),"1",""))</f>
        <v>Cliente F</v>
      </c>
      <c r="G3" s="349" t="str">
        <f t="shared" ref="G3:BN3" si="0">_xlfn.CONCAT("Cliente ",SUBSTITUTE(ADDRESS(1,COLUMN(),4),"1",""))</f>
        <v>Cliente G</v>
      </c>
      <c r="H3" s="349" t="str">
        <f t="shared" si="0"/>
        <v>Cliente H</v>
      </c>
      <c r="I3" s="349" t="str">
        <f t="shared" si="0"/>
        <v>Cliente I</v>
      </c>
      <c r="J3" s="349" t="str">
        <f t="shared" si="0"/>
        <v>Cliente J</v>
      </c>
      <c r="K3" s="349" t="str">
        <f t="shared" si="0"/>
        <v>Cliente K</v>
      </c>
      <c r="L3" s="349" t="str">
        <f t="shared" si="0"/>
        <v>Cliente L</v>
      </c>
      <c r="M3" s="349" t="str">
        <f t="shared" si="0"/>
        <v>Cliente M</v>
      </c>
      <c r="N3" s="349" t="str">
        <f t="shared" si="0"/>
        <v>Cliente N</v>
      </c>
      <c r="O3" s="349" t="str">
        <f t="shared" si="0"/>
        <v>Cliente O</v>
      </c>
      <c r="P3" s="349" t="str">
        <f t="shared" si="0"/>
        <v>Cliente P</v>
      </c>
      <c r="Q3" s="349" t="str">
        <f t="shared" si="0"/>
        <v>Cliente Q</v>
      </c>
      <c r="R3" s="349" t="str">
        <f t="shared" si="0"/>
        <v>Cliente R</v>
      </c>
      <c r="S3" s="349" t="str">
        <f t="shared" si="0"/>
        <v>Cliente S</v>
      </c>
      <c r="T3" s="349" t="str">
        <f t="shared" si="0"/>
        <v>Cliente T</v>
      </c>
      <c r="U3" s="349" t="str">
        <f t="shared" si="0"/>
        <v>Cliente U</v>
      </c>
      <c r="V3" s="349" t="str">
        <f t="shared" si="0"/>
        <v>Cliente V</v>
      </c>
      <c r="W3" s="349" t="str">
        <f t="shared" si="0"/>
        <v>Cliente W</v>
      </c>
      <c r="X3" s="349" t="str">
        <f t="shared" si="0"/>
        <v>Cliente X</v>
      </c>
      <c r="Y3" s="349" t="str">
        <f t="shared" si="0"/>
        <v>Cliente Y</v>
      </c>
      <c r="Z3" s="349" t="str">
        <f t="shared" si="0"/>
        <v>Cliente Z</v>
      </c>
      <c r="AA3" s="349" t="str">
        <f t="shared" si="0"/>
        <v>Cliente AA</v>
      </c>
      <c r="AB3" s="349" t="str">
        <f t="shared" si="0"/>
        <v>Cliente AB</v>
      </c>
      <c r="AC3" s="349" t="str">
        <f t="shared" si="0"/>
        <v>Cliente AC</v>
      </c>
      <c r="AD3" s="349" t="str">
        <f t="shared" si="0"/>
        <v>Cliente AD</v>
      </c>
      <c r="AE3" s="349" t="str">
        <f t="shared" si="0"/>
        <v>Cliente AE</v>
      </c>
      <c r="AF3" s="349" t="str">
        <f t="shared" si="0"/>
        <v>Cliente AF</v>
      </c>
      <c r="AG3" s="349" t="str">
        <f t="shared" si="0"/>
        <v>Cliente AG</v>
      </c>
      <c r="AH3" s="349" t="str">
        <f t="shared" si="0"/>
        <v>Cliente AH</v>
      </c>
      <c r="AI3" s="349" t="str">
        <f t="shared" si="0"/>
        <v>Cliente AI</v>
      </c>
      <c r="AJ3" s="349" t="str">
        <f t="shared" si="0"/>
        <v>Cliente AJ</v>
      </c>
      <c r="AK3" s="349" t="str">
        <f t="shared" si="0"/>
        <v>Cliente AK</v>
      </c>
      <c r="AL3" s="349" t="str">
        <f t="shared" si="0"/>
        <v>Cliente AL</v>
      </c>
      <c r="AM3" s="349" t="str">
        <f t="shared" si="0"/>
        <v>Cliente AM</v>
      </c>
      <c r="AN3" s="349" t="str">
        <f t="shared" si="0"/>
        <v>Cliente AN</v>
      </c>
      <c r="AO3" s="349" t="str">
        <f t="shared" si="0"/>
        <v>Cliente AO</v>
      </c>
      <c r="AP3" s="349" t="str">
        <f t="shared" si="0"/>
        <v>Cliente AP</v>
      </c>
      <c r="AQ3" s="349" t="str">
        <f t="shared" si="0"/>
        <v>Cliente AQ</v>
      </c>
      <c r="AR3" s="349" t="str">
        <f t="shared" si="0"/>
        <v>Cliente AR</v>
      </c>
      <c r="AS3" s="349" t="str">
        <f t="shared" si="0"/>
        <v>Cliente AS</v>
      </c>
      <c r="AT3" s="349" t="str">
        <f t="shared" si="0"/>
        <v>Cliente AT</v>
      </c>
      <c r="AU3" s="349" t="str">
        <f t="shared" si="0"/>
        <v>Cliente AU</v>
      </c>
      <c r="AV3" s="349" t="str">
        <f t="shared" si="0"/>
        <v>Cliente AV</v>
      </c>
      <c r="AW3" s="349" t="str">
        <f t="shared" si="0"/>
        <v>Cliente AW</v>
      </c>
      <c r="AX3" s="349" t="str">
        <f t="shared" si="0"/>
        <v>Cliente AX</v>
      </c>
      <c r="AY3" s="349" t="str">
        <f t="shared" si="0"/>
        <v>Cliente AY</v>
      </c>
      <c r="AZ3" s="349" t="str">
        <f t="shared" si="0"/>
        <v>Cliente AZ</v>
      </c>
      <c r="BA3" s="349" t="str">
        <f t="shared" si="0"/>
        <v>Cliente BA</v>
      </c>
      <c r="BB3" s="349" t="str">
        <f t="shared" si="0"/>
        <v>Cliente BB</v>
      </c>
      <c r="BC3" s="349" t="str">
        <f t="shared" si="0"/>
        <v>Cliente BC</v>
      </c>
      <c r="BD3" s="349" t="str">
        <f t="shared" si="0"/>
        <v>Cliente BD</v>
      </c>
      <c r="BE3" s="349" t="str">
        <f t="shared" si="0"/>
        <v>Cliente BE</v>
      </c>
      <c r="BF3" s="349" t="str">
        <f t="shared" si="0"/>
        <v>Cliente BF</v>
      </c>
      <c r="BG3" s="349" t="str">
        <f t="shared" si="0"/>
        <v>Cliente BG</v>
      </c>
      <c r="BH3" s="349" t="str">
        <f t="shared" si="0"/>
        <v>Cliente BH</v>
      </c>
      <c r="BI3" s="349" t="str">
        <f t="shared" si="0"/>
        <v>Cliente BI</v>
      </c>
      <c r="BJ3" s="349" t="str">
        <f t="shared" si="0"/>
        <v>Cliente BJ</v>
      </c>
      <c r="BK3" s="349" t="str">
        <f t="shared" si="0"/>
        <v>Cliente BK</v>
      </c>
      <c r="BL3" s="349" t="str">
        <f t="shared" si="0"/>
        <v>Cliente BL</v>
      </c>
      <c r="BM3" s="349" t="str">
        <f t="shared" si="0"/>
        <v>Cliente BM</v>
      </c>
      <c r="BN3" s="349" t="str">
        <f t="shared" si="0"/>
        <v>Cliente BN</v>
      </c>
    </row>
    <row r="4" spans="1:67" s="44" customFormat="1" ht="13.5" thickBot="1" x14ac:dyDescent="0.25">
      <c r="C4" s="275"/>
      <c r="D4" s="125"/>
      <c r="E4" s="273"/>
      <c r="F4" s="136" t="s">
        <v>30</v>
      </c>
      <c r="G4" s="136" t="s">
        <v>30</v>
      </c>
      <c r="H4" s="136" t="s">
        <v>30</v>
      </c>
      <c r="I4" s="136" t="s">
        <v>30</v>
      </c>
      <c r="J4" s="137" t="s">
        <v>30</v>
      </c>
      <c r="K4" s="136" t="s">
        <v>30</v>
      </c>
      <c r="L4" s="137" t="s">
        <v>30</v>
      </c>
      <c r="M4" s="136" t="s">
        <v>30</v>
      </c>
      <c r="N4" s="136" t="s">
        <v>30</v>
      </c>
      <c r="O4" s="137" t="s">
        <v>30</v>
      </c>
      <c r="P4" s="137" t="s">
        <v>30</v>
      </c>
      <c r="Q4" s="305" t="s">
        <v>30</v>
      </c>
      <c r="R4" s="136" t="s">
        <v>30</v>
      </c>
      <c r="S4" s="136" t="s">
        <v>30</v>
      </c>
      <c r="T4" s="136" t="s">
        <v>30</v>
      </c>
      <c r="U4" s="136" t="s">
        <v>30</v>
      </c>
      <c r="V4" s="136" t="s">
        <v>30</v>
      </c>
      <c r="W4" s="136" t="s">
        <v>30</v>
      </c>
      <c r="X4" s="136" t="s">
        <v>30</v>
      </c>
      <c r="Y4" s="136" t="s">
        <v>30</v>
      </c>
      <c r="Z4" s="137" t="s">
        <v>30</v>
      </c>
      <c r="AA4" s="136" t="s">
        <v>30</v>
      </c>
      <c r="AB4" s="136" t="s">
        <v>30</v>
      </c>
      <c r="AC4" s="137" t="s">
        <v>30</v>
      </c>
      <c r="AD4" s="136" t="s">
        <v>30</v>
      </c>
      <c r="AE4" s="137" t="s">
        <v>30</v>
      </c>
      <c r="AF4" s="136" t="s">
        <v>30</v>
      </c>
      <c r="AG4" s="137" t="s">
        <v>30</v>
      </c>
      <c r="AH4" s="137" t="s">
        <v>30</v>
      </c>
      <c r="AI4" s="136" t="s">
        <v>30</v>
      </c>
      <c r="AJ4" s="90" t="s">
        <v>30</v>
      </c>
      <c r="AK4" s="136" t="s">
        <v>30</v>
      </c>
      <c r="AL4" s="136" t="s">
        <v>30</v>
      </c>
      <c r="AM4" s="136" t="s">
        <v>30</v>
      </c>
      <c r="AN4" s="136" t="s">
        <v>30</v>
      </c>
      <c r="AO4" s="136" t="s">
        <v>30</v>
      </c>
      <c r="AP4" s="137" t="s">
        <v>30</v>
      </c>
      <c r="AQ4" s="136" t="s">
        <v>30</v>
      </c>
      <c r="AR4" s="137" t="s">
        <v>30</v>
      </c>
      <c r="AS4" s="137" t="s">
        <v>30</v>
      </c>
      <c r="AT4" s="136" t="s">
        <v>30</v>
      </c>
      <c r="AU4" s="136" t="s">
        <v>30</v>
      </c>
      <c r="AV4" s="136" t="s">
        <v>30</v>
      </c>
      <c r="AW4" s="136" t="s">
        <v>30</v>
      </c>
      <c r="AX4" s="136" t="s">
        <v>30</v>
      </c>
      <c r="AY4" s="136" t="s">
        <v>30</v>
      </c>
      <c r="AZ4" s="136" t="s">
        <v>30</v>
      </c>
      <c r="BA4" s="136" t="s">
        <v>30</v>
      </c>
      <c r="BB4" s="137" t="s">
        <v>30</v>
      </c>
      <c r="BC4" s="136" t="s">
        <v>30</v>
      </c>
      <c r="BD4" s="137" t="s">
        <v>30</v>
      </c>
      <c r="BE4" s="136" t="s">
        <v>30</v>
      </c>
      <c r="BF4" s="136" t="s">
        <v>30</v>
      </c>
      <c r="BG4" s="136" t="s">
        <v>30</v>
      </c>
      <c r="BH4" s="136" t="s">
        <v>30</v>
      </c>
      <c r="BI4" s="137" t="s">
        <v>30</v>
      </c>
      <c r="BJ4" s="136" t="s">
        <v>30</v>
      </c>
      <c r="BK4" s="137" t="s">
        <v>30</v>
      </c>
      <c r="BL4" s="137" t="s">
        <v>30</v>
      </c>
      <c r="BM4" s="137" t="s">
        <v>30</v>
      </c>
      <c r="BN4" s="136" t="s">
        <v>30</v>
      </c>
    </row>
    <row r="5" spans="1:67" s="65" customFormat="1" ht="13.5" thickBot="1" x14ac:dyDescent="0.25">
      <c r="C5" s="276"/>
      <c r="E5" s="61" t="s">
        <v>8</v>
      </c>
      <c r="F5" s="61">
        <v>11</v>
      </c>
      <c r="G5" s="61">
        <v>11</v>
      </c>
      <c r="H5" s="61">
        <v>12</v>
      </c>
      <c r="I5" s="61">
        <v>13</v>
      </c>
      <c r="J5" s="60">
        <v>14</v>
      </c>
      <c r="K5" s="61">
        <v>21</v>
      </c>
      <c r="L5" s="60">
        <v>22</v>
      </c>
      <c r="M5" s="61">
        <v>23</v>
      </c>
      <c r="N5" s="61">
        <v>24</v>
      </c>
      <c r="O5" s="60">
        <v>31</v>
      </c>
      <c r="P5" s="60">
        <v>32</v>
      </c>
      <c r="Q5" s="306">
        <v>33</v>
      </c>
      <c r="R5" s="61">
        <v>34</v>
      </c>
      <c r="S5" s="61">
        <v>41</v>
      </c>
      <c r="T5" s="61">
        <v>42</v>
      </c>
      <c r="U5" s="61">
        <v>43</v>
      </c>
      <c r="V5" s="61">
        <v>44</v>
      </c>
      <c r="W5" s="61">
        <v>51</v>
      </c>
      <c r="X5" s="61">
        <v>52</v>
      </c>
      <c r="Y5" s="61">
        <v>53</v>
      </c>
      <c r="Z5" s="60">
        <v>54</v>
      </c>
      <c r="AA5" s="61">
        <v>61</v>
      </c>
      <c r="AB5" s="61">
        <v>62</v>
      </c>
      <c r="AC5" s="60">
        <v>63</v>
      </c>
      <c r="AD5" s="61">
        <v>64</v>
      </c>
      <c r="AE5" s="60">
        <v>71</v>
      </c>
      <c r="AF5" s="61">
        <v>72</v>
      </c>
      <c r="AG5" s="60">
        <v>73</v>
      </c>
      <c r="AH5" s="60">
        <v>74</v>
      </c>
      <c r="AI5" s="61">
        <v>81</v>
      </c>
      <c r="AJ5" s="61">
        <v>82</v>
      </c>
      <c r="AK5" s="61">
        <v>83</v>
      </c>
      <c r="AL5" s="61">
        <v>84</v>
      </c>
      <c r="AM5" s="61">
        <v>91</v>
      </c>
      <c r="AN5" s="61">
        <v>92</v>
      </c>
      <c r="AO5" s="61">
        <v>93</v>
      </c>
      <c r="AP5" s="60">
        <v>94</v>
      </c>
      <c r="AQ5" s="61">
        <v>101</v>
      </c>
      <c r="AR5" s="61">
        <v>102</v>
      </c>
      <c r="AS5" s="60">
        <v>103</v>
      </c>
      <c r="AT5" s="61">
        <v>104</v>
      </c>
      <c r="AU5" s="61">
        <v>111</v>
      </c>
      <c r="AV5" s="61">
        <v>112</v>
      </c>
      <c r="AW5" s="61">
        <v>113</v>
      </c>
      <c r="AX5" s="61">
        <v>114</v>
      </c>
      <c r="AY5" s="110" t="s">
        <v>32</v>
      </c>
      <c r="AZ5" s="110" t="s">
        <v>33</v>
      </c>
      <c r="BA5" s="110" t="s">
        <v>34</v>
      </c>
      <c r="BB5" s="123" t="s">
        <v>35</v>
      </c>
      <c r="BC5" s="110" t="s">
        <v>36</v>
      </c>
      <c r="BD5" s="123" t="s">
        <v>37</v>
      </c>
      <c r="BE5" s="110" t="s">
        <v>38</v>
      </c>
      <c r="BF5" s="110" t="s">
        <v>39</v>
      </c>
      <c r="BG5" s="110" t="s">
        <v>40</v>
      </c>
      <c r="BH5" s="110" t="s">
        <v>41</v>
      </c>
      <c r="BI5" s="123" t="s">
        <v>42</v>
      </c>
      <c r="BJ5" s="110" t="s">
        <v>43</v>
      </c>
      <c r="BK5" s="123" t="s">
        <v>44</v>
      </c>
      <c r="BL5" s="123" t="s">
        <v>45</v>
      </c>
      <c r="BM5" s="123" t="s">
        <v>46</v>
      </c>
      <c r="BN5" s="61" t="s">
        <v>47</v>
      </c>
    </row>
    <row r="6" spans="1:67" s="65" customFormat="1" ht="13.5" thickBot="1" x14ac:dyDescent="0.25">
      <c r="D6" s="272"/>
      <c r="E6" s="267" t="s">
        <v>188</v>
      </c>
      <c r="F6" s="295">
        <v>43556</v>
      </c>
      <c r="G6" s="295">
        <v>43586</v>
      </c>
      <c r="H6" s="295">
        <v>43556</v>
      </c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 s="295"/>
      <c r="AK6" s="295"/>
      <c r="AL6" s="295"/>
      <c r="AM6" s="295"/>
      <c r="AN6" s="295"/>
      <c r="AO6" s="295"/>
      <c r="AP6" s="295"/>
      <c r="AQ6" s="295"/>
      <c r="AR6" s="295"/>
      <c r="AS6" s="295"/>
      <c r="AT6" s="295"/>
      <c r="AU6" s="295"/>
      <c r="AV6" s="295"/>
      <c r="AW6" s="295"/>
      <c r="AX6" s="295"/>
      <c r="AY6" s="295"/>
      <c r="AZ6" s="295"/>
      <c r="BA6" s="295"/>
      <c r="BB6" s="295"/>
      <c r="BC6" s="295"/>
      <c r="BD6" s="295"/>
      <c r="BE6" s="295"/>
      <c r="BF6" s="295"/>
      <c r="BG6" s="295"/>
      <c r="BH6" s="295"/>
      <c r="BI6" s="295"/>
      <c r="BJ6" s="295"/>
      <c r="BK6" s="295"/>
      <c r="BL6" s="295"/>
      <c r="BM6" s="295"/>
      <c r="BN6" s="295"/>
      <c r="BO6" s="296"/>
    </row>
    <row r="7" spans="1:67" s="65" customFormat="1" ht="13.5" thickBot="1" x14ac:dyDescent="0.25">
      <c r="C7" s="282"/>
      <c r="D7" s="272"/>
      <c r="E7" s="267" t="s">
        <v>189</v>
      </c>
      <c r="F7" s="297">
        <v>500000</v>
      </c>
      <c r="G7" s="298">
        <v>450000</v>
      </c>
      <c r="H7" s="298">
        <v>500000</v>
      </c>
      <c r="I7" s="298">
        <v>0</v>
      </c>
      <c r="J7" s="298">
        <v>0</v>
      </c>
      <c r="K7" s="298">
        <v>0</v>
      </c>
      <c r="L7" s="298">
        <v>0</v>
      </c>
      <c r="M7" s="298">
        <v>0</v>
      </c>
      <c r="N7" s="298">
        <v>0</v>
      </c>
      <c r="O7" s="299"/>
      <c r="P7" s="299"/>
      <c r="Q7" s="307"/>
      <c r="R7" s="300"/>
      <c r="S7" s="300"/>
      <c r="T7" s="300"/>
      <c r="U7" s="300"/>
      <c r="V7" s="300"/>
      <c r="W7" s="300"/>
      <c r="X7" s="300"/>
      <c r="Y7" s="300"/>
      <c r="Z7" s="299"/>
      <c r="AA7" s="300"/>
      <c r="AB7" s="300"/>
      <c r="AC7" s="299"/>
      <c r="AD7" s="300"/>
      <c r="AE7" s="299"/>
      <c r="AF7" s="300"/>
      <c r="AG7" s="299"/>
      <c r="AH7" s="299"/>
      <c r="AI7" s="300"/>
      <c r="AJ7" s="300"/>
      <c r="AK7" s="300"/>
      <c r="AL7" s="300"/>
      <c r="AM7" s="300"/>
      <c r="AN7" s="300"/>
      <c r="AO7" s="300"/>
      <c r="AP7" s="299"/>
      <c r="AQ7" s="300"/>
      <c r="AR7" s="300"/>
      <c r="AS7" s="299"/>
      <c r="AT7" s="300"/>
      <c r="AU7" s="300"/>
      <c r="AV7" s="300"/>
      <c r="AW7" s="300"/>
      <c r="AX7" s="300"/>
      <c r="AY7" s="301"/>
      <c r="AZ7" s="301"/>
      <c r="BA7" s="301"/>
      <c r="BB7" s="302"/>
      <c r="BC7" s="301"/>
      <c r="BD7" s="302"/>
      <c r="BE7" s="301"/>
      <c r="BF7" s="301"/>
      <c r="BG7" s="301"/>
      <c r="BH7" s="301"/>
      <c r="BI7" s="302"/>
      <c r="BJ7" s="301"/>
      <c r="BK7" s="302"/>
      <c r="BL7" s="302"/>
      <c r="BM7" s="302"/>
      <c r="BN7" s="300"/>
      <c r="BO7" s="296"/>
    </row>
    <row r="8" spans="1:67" s="65" customFormat="1" ht="13.5" thickBot="1" x14ac:dyDescent="0.25">
      <c r="C8" s="276"/>
      <c r="D8" s="272"/>
      <c r="E8" s="267" t="s">
        <v>193</v>
      </c>
      <c r="F8" s="295">
        <v>43586</v>
      </c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5"/>
      <c r="AG8" s="295"/>
      <c r="AH8" s="295"/>
      <c r="AI8" s="295"/>
      <c r="AJ8" s="295"/>
      <c r="AK8" s="295"/>
      <c r="AL8" s="295"/>
      <c r="AM8" s="295"/>
      <c r="AN8" s="295"/>
      <c r="AO8" s="295"/>
      <c r="AP8" s="295"/>
      <c r="AQ8" s="295"/>
      <c r="AR8" s="295"/>
      <c r="AS8" s="295"/>
      <c r="AT8" s="295"/>
      <c r="AU8" s="295"/>
      <c r="AV8" s="295"/>
      <c r="AW8" s="295"/>
      <c r="AX8" s="295"/>
      <c r="AY8" s="295"/>
      <c r="AZ8" s="295"/>
      <c r="BA8" s="295"/>
      <c r="BB8" s="295"/>
      <c r="BC8" s="295"/>
      <c r="BD8" s="295"/>
      <c r="BE8" s="295"/>
      <c r="BF8" s="295"/>
      <c r="BG8" s="295"/>
      <c r="BH8" s="295"/>
      <c r="BI8" s="295"/>
      <c r="BJ8" s="295"/>
      <c r="BK8" s="295"/>
      <c r="BL8" s="295"/>
      <c r="BM8" s="295"/>
      <c r="BN8" s="295"/>
      <c r="BO8" s="296"/>
    </row>
    <row r="9" spans="1:67" s="65" customFormat="1" ht="13.5" thickBot="1" x14ac:dyDescent="0.25">
      <c r="E9" s="310" t="s">
        <v>191</v>
      </c>
      <c r="F9" s="286" t="str">
        <f>IF(F$8&lt;&gt;"","DISTRATO",IF(F$6&lt;&gt;"","VENDA",""))</f>
        <v>DISTRATO</v>
      </c>
      <c r="G9" s="286" t="str">
        <f t="shared" ref="G9:BN9" si="1">IF(G$8&lt;&gt;"","DISTRATO",IF(G$6&lt;&gt;"","VENDA",""))</f>
        <v>VENDA</v>
      </c>
      <c r="H9" s="286" t="str">
        <f t="shared" si="1"/>
        <v>VENDA</v>
      </c>
      <c r="I9" s="286" t="str">
        <f t="shared" si="1"/>
        <v/>
      </c>
      <c r="J9" s="286" t="str">
        <f t="shared" si="1"/>
        <v/>
      </c>
      <c r="K9" s="286" t="str">
        <f t="shared" si="1"/>
        <v/>
      </c>
      <c r="L9" s="286" t="str">
        <f t="shared" si="1"/>
        <v/>
      </c>
      <c r="M9" s="286" t="str">
        <f t="shared" si="1"/>
        <v/>
      </c>
      <c r="N9" s="286" t="str">
        <f t="shared" si="1"/>
        <v/>
      </c>
      <c r="O9" s="286" t="str">
        <f t="shared" si="1"/>
        <v/>
      </c>
      <c r="P9" s="286" t="str">
        <f t="shared" si="1"/>
        <v/>
      </c>
      <c r="Q9" s="286" t="str">
        <f t="shared" si="1"/>
        <v/>
      </c>
      <c r="R9" s="286" t="str">
        <f t="shared" si="1"/>
        <v/>
      </c>
      <c r="S9" s="286" t="str">
        <f t="shared" si="1"/>
        <v/>
      </c>
      <c r="T9" s="286" t="str">
        <f t="shared" si="1"/>
        <v/>
      </c>
      <c r="U9" s="286" t="str">
        <f t="shared" si="1"/>
        <v/>
      </c>
      <c r="V9" s="286" t="str">
        <f t="shared" si="1"/>
        <v/>
      </c>
      <c r="W9" s="286" t="str">
        <f t="shared" si="1"/>
        <v/>
      </c>
      <c r="X9" s="286" t="str">
        <f t="shared" si="1"/>
        <v/>
      </c>
      <c r="Y9" s="286" t="str">
        <f t="shared" si="1"/>
        <v/>
      </c>
      <c r="Z9" s="286" t="str">
        <f t="shared" si="1"/>
        <v/>
      </c>
      <c r="AA9" s="286" t="str">
        <f t="shared" si="1"/>
        <v/>
      </c>
      <c r="AB9" s="286" t="str">
        <f t="shared" si="1"/>
        <v/>
      </c>
      <c r="AC9" s="286" t="str">
        <f t="shared" si="1"/>
        <v/>
      </c>
      <c r="AD9" s="286" t="str">
        <f t="shared" si="1"/>
        <v/>
      </c>
      <c r="AE9" s="286" t="str">
        <f t="shared" si="1"/>
        <v/>
      </c>
      <c r="AF9" s="286" t="str">
        <f t="shared" si="1"/>
        <v/>
      </c>
      <c r="AG9" s="286" t="str">
        <f t="shared" si="1"/>
        <v/>
      </c>
      <c r="AH9" s="286" t="str">
        <f t="shared" si="1"/>
        <v/>
      </c>
      <c r="AI9" s="286" t="str">
        <f t="shared" si="1"/>
        <v/>
      </c>
      <c r="AJ9" s="286" t="str">
        <f t="shared" si="1"/>
        <v/>
      </c>
      <c r="AK9" s="286" t="str">
        <f t="shared" si="1"/>
        <v/>
      </c>
      <c r="AL9" s="286" t="str">
        <f t="shared" si="1"/>
        <v/>
      </c>
      <c r="AM9" s="286" t="str">
        <f t="shared" si="1"/>
        <v/>
      </c>
      <c r="AN9" s="286" t="str">
        <f t="shared" si="1"/>
        <v/>
      </c>
      <c r="AO9" s="286" t="str">
        <f t="shared" si="1"/>
        <v/>
      </c>
      <c r="AP9" s="286" t="str">
        <f t="shared" si="1"/>
        <v/>
      </c>
      <c r="AQ9" s="286" t="str">
        <f t="shared" si="1"/>
        <v/>
      </c>
      <c r="AR9" s="286" t="str">
        <f t="shared" si="1"/>
        <v/>
      </c>
      <c r="AS9" s="286" t="str">
        <f t="shared" si="1"/>
        <v/>
      </c>
      <c r="AT9" s="286" t="str">
        <f t="shared" si="1"/>
        <v/>
      </c>
      <c r="AU9" s="286" t="str">
        <f t="shared" si="1"/>
        <v/>
      </c>
      <c r="AV9" s="286" t="str">
        <f t="shared" si="1"/>
        <v/>
      </c>
      <c r="AW9" s="286" t="str">
        <f t="shared" si="1"/>
        <v/>
      </c>
      <c r="AX9" s="286" t="str">
        <f t="shared" si="1"/>
        <v/>
      </c>
      <c r="AY9" s="286" t="str">
        <f t="shared" si="1"/>
        <v/>
      </c>
      <c r="AZ9" s="286" t="str">
        <f t="shared" si="1"/>
        <v/>
      </c>
      <c r="BA9" s="286" t="str">
        <f t="shared" si="1"/>
        <v/>
      </c>
      <c r="BB9" s="286" t="str">
        <f t="shared" si="1"/>
        <v/>
      </c>
      <c r="BC9" s="286" t="str">
        <f t="shared" si="1"/>
        <v/>
      </c>
      <c r="BD9" s="286" t="str">
        <f t="shared" si="1"/>
        <v/>
      </c>
      <c r="BE9" s="286" t="str">
        <f t="shared" si="1"/>
        <v/>
      </c>
      <c r="BF9" s="286" t="str">
        <f t="shared" si="1"/>
        <v/>
      </c>
      <c r="BG9" s="286" t="str">
        <f t="shared" si="1"/>
        <v/>
      </c>
      <c r="BH9" s="286" t="str">
        <f t="shared" si="1"/>
        <v/>
      </c>
      <c r="BI9" s="286" t="str">
        <f t="shared" si="1"/>
        <v/>
      </c>
      <c r="BJ9" s="286" t="str">
        <f t="shared" si="1"/>
        <v/>
      </c>
      <c r="BK9" s="286" t="str">
        <f t="shared" si="1"/>
        <v/>
      </c>
      <c r="BL9" s="286" t="str">
        <f t="shared" si="1"/>
        <v/>
      </c>
      <c r="BM9" s="286" t="str">
        <f t="shared" si="1"/>
        <v/>
      </c>
      <c r="BN9" s="286" t="str">
        <f t="shared" si="1"/>
        <v/>
      </c>
    </row>
    <row r="10" spans="1:67" s="65" customFormat="1" ht="13.5" thickBot="1" x14ac:dyDescent="0.25">
      <c r="C10" s="276"/>
      <c r="D10" s="272"/>
      <c r="E10" s="60" t="s">
        <v>13</v>
      </c>
      <c r="F10" s="271"/>
      <c r="G10" s="271"/>
      <c r="H10" s="271"/>
      <c r="I10" s="271"/>
      <c r="J10" s="271"/>
      <c r="K10" s="270"/>
      <c r="L10" s="267"/>
      <c r="M10" s="266"/>
      <c r="N10" s="266"/>
      <c r="O10" s="267"/>
      <c r="P10" s="267"/>
      <c r="Q10" s="308"/>
      <c r="R10" s="266"/>
      <c r="S10" s="266"/>
      <c r="T10" s="266"/>
      <c r="U10" s="266"/>
      <c r="V10" s="266"/>
      <c r="W10" s="266"/>
      <c r="X10" s="266"/>
      <c r="Y10" s="266"/>
      <c r="Z10" s="267"/>
      <c r="AA10" s="266"/>
      <c r="AB10" s="266"/>
      <c r="AC10" s="267"/>
      <c r="AD10" s="266"/>
      <c r="AE10" s="267"/>
      <c r="AF10" s="266"/>
      <c r="AG10" s="267"/>
      <c r="AH10" s="267"/>
      <c r="AI10" s="266"/>
      <c r="AJ10" s="266"/>
      <c r="AK10" s="266"/>
      <c r="AL10" s="266"/>
      <c r="AM10" s="266"/>
      <c r="AN10" s="266"/>
      <c r="AO10" s="266"/>
      <c r="AP10" s="267"/>
      <c r="AQ10" s="266"/>
      <c r="AR10" s="266"/>
      <c r="AS10" s="267"/>
      <c r="AT10" s="266"/>
      <c r="AU10" s="266"/>
      <c r="AV10" s="266"/>
      <c r="AW10" s="266"/>
      <c r="AX10" s="266"/>
      <c r="AY10" s="268"/>
      <c r="AZ10" s="268"/>
      <c r="BA10" s="268"/>
      <c r="BB10" s="269"/>
      <c r="BC10" s="268"/>
      <c r="BD10" s="269"/>
      <c r="BE10" s="268"/>
      <c r="BF10" s="268"/>
      <c r="BG10" s="268"/>
      <c r="BH10" s="268"/>
      <c r="BI10" s="269"/>
      <c r="BJ10" s="268"/>
      <c r="BK10" s="269"/>
      <c r="BL10" s="269"/>
      <c r="BM10" s="269"/>
      <c r="BN10" s="266"/>
    </row>
    <row r="11" spans="1:67" x14ac:dyDescent="0.2">
      <c r="C11" s="324">
        <v>43556</v>
      </c>
      <c r="D11" s="23" t="s">
        <v>5</v>
      </c>
      <c r="E11" s="50">
        <f>SUMIF($F$6:$L$6,C11,$F$7:$L$7)</f>
        <v>1000000</v>
      </c>
      <c r="F11" s="279">
        <f>IF(F$6=$C11,F$7,0)</f>
        <v>500000</v>
      </c>
      <c r="G11" s="279">
        <f t="shared" ref="G11:BN11" si="2">IF(G$6=$C11,G$7,0)</f>
        <v>0</v>
      </c>
      <c r="H11" s="279">
        <f t="shared" si="2"/>
        <v>500000</v>
      </c>
      <c r="I11" s="279">
        <f t="shared" si="2"/>
        <v>0</v>
      </c>
      <c r="J11" s="279">
        <f t="shared" si="2"/>
        <v>0</v>
      </c>
      <c r="K11" s="279">
        <f t="shared" si="2"/>
        <v>0</v>
      </c>
      <c r="L11" s="279">
        <f t="shared" si="2"/>
        <v>0</v>
      </c>
      <c r="M11" s="279">
        <f t="shared" si="2"/>
        <v>0</v>
      </c>
      <c r="N11" s="279">
        <f t="shared" si="2"/>
        <v>0</v>
      </c>
      <c r="O11" s="279">
        <f t="shared" si="2"/>
        <v>0</v>
      </c>
      <c r="P11" s="279">
        <f t="shared" si="2"/>
        <v>0</v>
      </c>
      <c r="Q11" s="279">
        <f t="shared" si="2"/>
        <v>0</v>
      </c>
      <c r="R11" s="279">
        <f t="shared" si="2"/>
        <v>0</v>
      </c>
      <c r="S11" s="279">
        <f t="shared" si="2"/>
        <v>0</v>
      </c>
      <c r="T11" s="279">
        <f t="shared" si="2"/>
        <v>0</v>
      </c>
      <c r="U11" s="279">
        <f t="shared" si="2"/>
        <v>0</v>
      </c>
      <c r="V11" s="279">
        <f t="shared" si="2"/>
        <v>0</v>
      </c>
      <c r="W11" s="279">
        <f t="shared" si="2"/>
        <v>0</v>
      </c>
      <c r="X11" s="279">
        <f t="shared" si="2"/>
        <v>0</v>
      </c>
      <c r="Y11" s="279">
        <f t="shared" si="2"/>
        <v>0</v>
      </c>
      <c r="Z11" s="279">
        <f t="shared" si="2"/>
        <v>0</v>
      </c>
      <c r="AA11" s="279">
        <f t="shared" si="2"/>
        <v>0</v>
      </c>
      <c r="AB11" s="279">
        <f t="shared" si="2"/>
        <v>0</v>
      </c>
      <c r="AC11" s="279">
        <f t="shared" si="2"/>
        <v>0</v>
      </c>
      <c r="AD11" s="279">
        <f t="shared" si="2"/>
        <v>0</v>
      </c>
      <c r="AE11" s="279">
        <f t="shared" si="2"/>
        <v>0</v>
      </c>
      <c r="AF11" s="279">
        <f t="shared" si="2"/>
        <v>0</v>
      </c>
      <c r="AG11" s="279">
        <f t="shared" si="2"/>
        <v>0</v>
      </c>
      <c r="AH11" s="279">
        <f t="shared" si="2"/>
        <v>0</v>
      </c>
      <c r="AI11" s="279">
        <f t="shared" si="2"/>
        <v>0</v>
      </c>
      <c r="AJ11" s="279">
        <f t="shared" si="2"/>
        <v>0</v>
      </c>
      <c r="AK11" s="279">
        <f t="shared" si="2"/>
        <v>0</v>
      </c>
      <c r="AL11" s="279">
        <f t="shared" si="2"/>
        <v>0</v>
      </c>
      <c r="AM11" s="279">
        <f t="shared" si="2"/>
        <v>0</v>
      </c>
      <c r="AN11" s="279">
        <f t="shared" si="2"/>
        <v>0</v>
      </c>
      <c r="AO11" s="279">
        <f t="shared" si="2"/>
        <v>0</v>
      </c>
      <c r="AP11" s="279">
        <f t="shared" si="2"/>
        <v>0</v>
      </c>
      <c r="AQ11" s="279">
        <f t="shared" si="2"/>
        <v>0</v>
      </c>
      <c r="AR11" s="279">
        <f t="shared" si="2"/>
        <v>0</v>
      </c>
      <c r="AS11" s="279">
        <f t="shared" si="2"/>
        <v>0</v>
      </c>
      <c r="AT11" s="279">
        <f t="shared" si="2"/>
        <v>0</v>
      </c>
      <c r="AU11" s="279">
        <f t="shared" si="2"/>
        <v>0</v>
      </c>
      <c r="AV11" s="279">
        <f t="shared" si="2"/>
        <v>0</v>
      </c>
      <c r="AW11" s="279">
        <f t="shared" si="2"/>
        <v>0</v>
      </c>
      <c r="AX11" s="279">
        <f t="shared" si="2"/>
        <v>0</v>
      </c>
      <c r="AY11" s="279">
        <f t="shared" si="2"/>
        <v>0</v>
      </c>
      <c r="AZ11" s="279">
        <f t="shared" si="2"/>
        <v>0</v>
      </c>
      <c r="BA11" s="279">
        <f t="shared" si="2"/>
        <v>0</v>
      </c>
      <c r="BB11" s="279">
        <f t="shared" si="2"/>
        <v>0</v>
      </c>
      <c r="BC11" s="279">
        <f t="shared" si="2"/>
        <v>0</v>
      </c>
      <c r="BD11" s="279">
        <f t="shared" si="2"/>
        <v>0</v>
      </c>
      <c r="BE11" s="279">
        <f t="shared" si="2"/>
        <v>0</v>
      </c>
      <c r="BF11" s="279">
        <f t="shared" si="2"/>
        <v>0</v>
      </c>
      <c r="BG11" s="279">
        <f t="shared" si="2"/>
        <v>0</v>
      </c>
      <c r="BH11" s="279">
        <f t="shared" si="2"/>
        <v>0</v>
      </c>
      <c r="BI11" s="279">
        <f t="shared" si="2"/>
        <v>0</v>
      </c>
      <c r="BJ11" s="279">
        <f t="shared" si="2"/>
        <v>0</v>
      </c>
      <c r="BK11" s="279">
        <f t="shared" si="2"/>
        <v>0</v>
      </c>
      <c r="BL11" s="279">
        <f t="shared" si="2"/>
        <v>0</v>
      </c>
      <c r="BM11" s="279">
        <f t="shared" si="2"/>
        <v>0</v>
      </c>
      <c r="BN11" s="279">
        <f t="shared" si="2"/>
        <v>0</v>
      </c>
    </row>
    <row r="12" spans="1:67" ht="15.75" x14ac:dyDescent="0.25">
      <c r="A12" s="9" t="s">
        <v>26</v>
      </c>
      <c r="C12" s="322"/>
      <c r="D12" s="23" t="s">
        <v>7</v>
      </c>
      <c r="E12" s="91">
        <f>SUM(F12:AY12)</f>
        <v>4.5999999999999996</v>
      </c>
      <c r="F12" s="28">
        <f>IF(F11="",VLOOKUP($C11,'CUSTOS REALIZADOS'!$A$11:$E$995,4),(VLOOKUP($C11,'CUSTOS REALIZADOS'!$A$11:$E$995,5)))</f>
        <v>0.1</v>
      </c>
      <c r="G12" s="28">
        <f>IF(G11="",VLOOKUP($C11,'CUSTOS REALIZADOS'!$A$11:$E$995,4),(VLOOKUP($C11,'CUSTOS REALIZADOS'!$A$11:$E$995,5)))</f>
        <v>0.1</v>
      </c>
      <c r="H12" s="28">
        <f>IF(H11="",VLOOKUP($C11,'CUSTOS REALIZADOS'!$A$11:$E$995,4),(VLOOKUP($C11,'CUSTOS REALIZADOS'!$A$11:$E$995,5)))</f>
        <v>0.1</v>
      </c>
      <c r="I12" s="28">
        <f>IF(I11="",VLOOKUP($C11,'CUSTOS REALIZADOS'!$A$11:$E$995,4),(VLOOKUP($C11,'CUSTOS REALIZADOS'!$A$11:$E$995,5)))</f>
        <v>0.1</v>
      </c>
      <c r="J12" s="28">
        <f>IF(J11="",VLOOKUP($C11,'CUSTOS REALIZADOS'!$A$11:$E$995,4),(VLOOKUP($C11,'CUSTOS REALIZADOS'!$A$11:$E$995,5)))</f>
        <v>0.1</v>
      </c>
      <c r="K12" s="28">
        <f>IF(K11="",VLOOKUP($C11,'CUSTOS REALIZADOS'!$A$11:$E$995,4),(VLOOKUP($C11,'CUSTOS REALIZADOS'!$A$11:$E$995,5)))</f>
        <v>0.1</v>
      </c>
      <c r="L12" s="28">
        <f>IF(L11="",VLOOKUP($C11,'CUSTOS REALIZADOS'!$A$11:$E$995,4),(VLOOKUP($C11,'CUSTOS REALIZADOS'!$A$11:$E$995,5)))</f>
        <v>0.1</v>
      </c>
      <c r="M12" s="28">
        <f>IF(M11="",VLOOKUP($C11,'CUSTOS REALIZADOS'!$A$11:$E$995,4),(VLOOKUP($C11,'CUSTOS REALIZADOS'!$A$11:$E$995,5)))</f>
        <v>0.1</v>
      </c>
      <c r="N12" s="28">
        <f>IF(N11="",VLOOKUP($C11,'CUSTOS REALIZADOS'!$A$11:$E$995,4),(VLOOKUP($C11,'CUSTOS REALIZADOS'!$A$11:$E$995,5)))</f>
        <v>0.1</v>
      </c>
      <c r="O12" s="28">
        <f>IF(O11="",VLOOKUP($C11,'CUSTOS REALIZADOS'!$A$11:$E$995,4),(VLOOKUP($C11,'CUSTOS REALIZADOS'!$A$11:$E$995,5)))</f>
        <v>0.1</v>
      </c>
      <c r="P12" s="28">
        <f>IF(P11="",VLOOKUP($C11,'CUSTOS REALIZADOS'!$A$11:$E$995,4),(VLOOKUP($C11,'CUSTOS REALIZADOS'!$A$11:$E$995,5)))</f>
        <v>0.1</v>
      </c>
      <c r="Q12" s="28">
        <f>IF(Q11="",VLOOKUP($C11,'CUSTOS REALIZADOS'!$A$11:$E$995,4),(VLOOKUP($C11,'CUSTOS REALIZADOS'!$A$11:$E$995,5)))</f>
        <v>0.1</v>
      </c>
      <c r="R12" s="28">
        <f>IF(R11="",VLOOKUP($C11,'CUSTOS REALIZADOS'!$A$11:$E$995,4),(VLOOKUP($C11,'CUSTOS REALIZADOS'!$A$11:$E$995,5)))</f>
        <v>0.1</v>
      </c>
      <c r="S12" s="28">
        <f>IF(S11="",VLOOKUP($C11,'CUSTOS REALIZADOS'!$A$11:$E$995,4),(VLOOKUP($C11,'CUSTOS REALIZADOS'!$A$11:$E$995,5)))</f>
        <v>0.1</v>
      </c>
      <c r="T12" s="28">
        <f>IF(T11="",VLOOKUP($C11,'CUSTOS REALIZADOS'!$A$11:$E$995,4),(VLOOKUP($C11,'CUSTOS REALIZADOS'!$A$11:$E$995,5)))</f>
        <v>0.1</v>
      </c>
      <c r="U12" s="28">
        <f>IF(U11="",VLOOKUP($C11,'CUSTOS REALIZADOS'!$A$11:$E$995,4),(VLOOKUP($C11,'CUSTOS REALIZADOS'!$A$11:$E$995,5)))</f>
        <v>0.1</v>
      </c>
      <c r="V12" s="28">
        <f>IF(V11="",VLOOKUP($C11,'CUSTOS REALIZADOS'!$A$11:$E$995,4),(VLOOKUP($C11,'CUSTOS REALIZADOS'!$A$11:$E$995,5)))</f>
        <v>0.1</v>
      </c>
      <c r="W12" s="28">
        <f>IF(W11="",VLOOKUP($C11,'CUSTOS REALIZADOS'!$A$11:$E$995,4),(VLOOKUP($C11,'CUSTOS REALIZADOS'!$A$11:$E$995,5)))</f>
        <v>0.1</v>
      </c>
      <c r="X12" s="28">
        <f>IF(X11="",VLOOKUP($C11,'CUSTOS REALIZADOS'!$A$11:$E$995,4),(VLOOKUP($C11,'CUSTOS REALIZADOS'!$A$11:$E$995,5)))</f>
        <v>0.1</v>
      </c>
      <c r="Y12" s="28">
        <f>IF(Y11="",VLOOKUP($C11,'CUSTOS REALIZADOS'!$A$11:$E$995,4),(VLOOKUP($C11,'CUSTOS REALIZADOS'!$A$11:$E$995,5)))</f>
        <v>0.1</v>
      </c>
      <c r="Z12" s="28">
        <f>IF(Z11="",VLOOKUP($C11,'CUSTOS REALIZADOS'!$A$11:$E$995,4),(VLOOKUP($C11,'CUSTOS REALIZADOS'!$A$11:$E$995,5)))</f>
        <v>0.1</v>
      </c>
      <c r="AA12" s="28">
        <f>IF(AA11="",VLOOKUP($C11,'CUSTOS REALIZADOS'!$A$11:$E$995,4),(VLOOKUP($C11,'CUSTOS REALIZADOS'!$A$11:$E$995,5)))</f>
        <v>0.1</v>
      </c>
      <c r="AB12" s="28">
        <f>IF(AB11="",VLOOKUP($C11,'CUSTOS REALIZADOS'!$A$11:$E$995,4),(VLOOKUP($C11,'CUSTOS REALIZADOS'!$A$11:$E$995,5)))</f>
        <v>0.1</v>
      </c>
      <c r="AC12" s="28">
        <f>IF(AC11="",VLOOKUP($C11,'CUSTOS REALIZADOS'!$A$11:$E$995,4),(VLOOKUP($C11,'CUSTOS REALIZADOS'!$A$11:$E$995,5)))</f>
        <v>0.1</v>
      </c>
      <c r="AD12" s="28">
        <f>IF(AD11="",VLOOKUP($C11,'CUSTOS REALIZADOS'!$A$11:$E$995,4),(VLOOKUP($C11,'CUSTOS REALIZADOS'!$A$11:$E$995,5)))</f>
        <v>0.1</v>
      </c>
      <c r="AE12" s="28">
        <f>IF(AE11="",VLOOKUP($C11,'CUSTOS REALIZADOS'!$A$11:$E$995,4),(VLOOKUP($C11,'CUSTOS REALIZADOS'!$A$11:$E$995,5)))</f>
        <v>0.1</v>
      </c>
      <c r="AF12" s="28">
        <f>IF(AF11="",VLOOKUP($C11,'CUSTOS REALIZADOS'!$A$11:$E$995,4),(VLOOKUP($C11,'CUSTOS REALIZADOS'!$A$11:$E$995,5)))</f>
        <v>0.1</v>
      </c>
      <c r="AG12" s="28">
        <f>IF(AG11="",VLOOKUP($C11,'CUSTOS REALIZADOS'!$A$11:$E$995,4),(VLOOKUP($C11,'CUSTOS REALIZADOS'!$A$11:$E$995,5)))</f>
        <v>0.1</v>
      </c>
      <c r="AH12" s="28">
        <f>IF(AH11="",VLOOKUP($C11,'CUSTOS REALIZADOS'!$A$11:$E$995,4),(VLOOKUP($C11,'CUSTOS REALIZADOS'!$A$11:$E$995,5)))</f>
        <v>0.1</v>
      </c>
      <c r="AI12" s="28">
        <f>IF(AI11="",VLOOKUP($C11,'CUSTOS REALIZADOS'!$A$11:$E$995,4),(VLOOKUP($C11,'CUSTOS REALIZADOS'!$A$11:$E$995,5)))</f>
        <v>0.1</v>
      </c>
      <c r="AJ12" s="28">
        <f>IF(AJ11="",VLOOKUP($C11,'CUSTOS REALIZADOS'!$A$11:$E$995,4),(VLOOKUP($C11,'CUSTOS REALIZADOS'!$A$11:$E$995,5)))</f>
        <v>0.1</v>
      </c>
      <c r="AK12" s="28">
        <f>IF(AK11="",VLOOKUP($C11,'CUSTOS REALIZADOS'!$A$11:$E$995,4),(VLOOKUP($C11,'CUSTOS REALIZADOS'!$A$11:$E$995,5)))</f>
        <v>0.1</v>
      </c>
      <c r="AL12" s="28">
        <f>IF(AL11="",VLOOKUP($C11,'CUSTOS REALIZADOS'!$A$11:$E$995,4),(VLOOKUP($C11,'CUSTOS REALIZADOS'!$A$11:$E$995,5)))</f>
        <v>0.1</v>
      </c>
      <c r="AM12" s="28">
        <f>IF(AM11="",VLOOKUP($C11,'CUSTOS REALIZADOS'!$A$11:$E$995,4),(VLOOKUP($C11,'CUSTOS REALIZADOS'!$A$11:$E$995,5)))</f>
        <v>0.1</v>
      </c>
      <c r="AN12" s="28">
        <f>IF(AN11="",VLOOKUP($C11,'CUSTOS REALIZADOS'!$A$11:$E$995,4),(VLOOKUP($C11,'CUSTOS REALIZADOS'!$A$11:$E$995,5)))</f>
        <v>0.1</v>
      </c>
      <c r="AO12" s="28">
        <f>IF(AO11="",VLOOKUP($C11,'CUSTOS REALIZADOS'!$A$11:$E$995,4),(VLOOKUP($C11,'CUSTOS REALIZADOS'!$A$11:$E$995,5)))</f>
        <v>0.1</v>
      </c>
      <c r="AP12" s="28">
        <f>IF(AP11="",VLOOKUP($C11,'CUSTOS REALIZADOS'!$A$11:$E$995,4),(VLOOKUP($C11,'CUSTOS REALIZADOS'!$A$11:$E$995,5)))</f>
        <v>0.1</v>
      </c>
      <c r="AQ12" s="28">
        <f>IF(AQ11="",VLOOKUP($C11,'CUSTOS REALIZADOS'!$A$11:$E$995,4),(VLOOKUP($C11,'CUSTOS REALIZADOS'!$A$11:$E$995,5)))</f>
        <v>0.1</v>
      </c>
      <c r="AR12" s="28">
        <f>IF(AR11="",VLOOKUP($C11,'CUSTOS REALIZADOS'!$A$11:$E$995,4),(VLOOKUP($C11,'CUSTOS REALIZADOS'!$A$11:$E$995,5)))</f>
        <v>0.1</v>
      </c>
      <c r="AS12" s="28">
        <f>IF(AS11="",VLOOKUP($C11,'CUSTOS REALIZADOS'!$A$11:$E$995,4),(VLOOKUP($C11,'CUSTOS REALIZADOS'!$A$11:$E$995,5)))</f>
        <v>0.1</v>
      </c>
      <c r="AT12" s="28">
        <f>IF(AT11="",VLOOKUP($C11,'CUSTOS REALIZADOS'!$A$11:$E$995,4),(VLOOKUP($C11,'CUSTOS REALIZADOS'!$A$11:$E$995,5)))</f>
        <v>0.1</v>
      </c>
      <c r="AU12" s="28">
        <f>IF(AU11="",VLOOKUP($C11,'CUSTOS REALIZADOS'!$A$11:$E$995,4),(VLOOKUP($C11,'CUSTOS REALIZADOS'!$A$11:$E$995,5)))</f>
        <v>0.1</v>
      </c>
      <c r="AV12" s="28">
        <f>IF(AV11="",VLOOKUP($C11,'CUSTOS REALIZADOS'!$A$11:$E$995,4),(VLOOKUP($C11,'CUSTOS REALIZADOS'!$A$11:$E$995,5)))</f>
        <v>0.1</v>
      </c>
      <c r="AW12" s="28">
        <f>IF(AW11="",VLOOKUP($C11,'CUSTOS REALIZADOS'!$A$11:$E$995,4),(VLOOKUP($C11,'CUSTOS REALIZADOS'!$A$11:$E$995,5)))</f>
        <v>0.1</v>
      </c>
      <c r="AX12" s="28">
        <f>IF(AX11="",VLOOKUP($C11,'CUSTOS REALIZADOS'!$A$11:$E$995,4),(VLOOKUP($C11,'CUSTOS REALIZADOS'!$A$11:$E$995,5)))</f>
        <v>0.1</v>
      </c>
      <c r="AY12" s="28">
        <f>IF(AY11="",VLOOKUP($C11,'CUSTOS REALIZADOS'!$A$11:$E$995,4),(VLOOKUP($C11,'CUSTOS REALIZADOS'!$A$11:$E$995,5)))</f>
        <v>0.1</v>
      </c>
      <c r="AZ12" s="28">
        <f>IF(AZ11="",VLOOKUP($C11,'CUSTOS REALIZADOS'!$A$11:$E$995,4),(VLOOKUP($C11,'CUSTOS REALIZADOS'!$A$11:$E$995,5)))</f>
        <v>0.1</v>
      </c>
      <c r="BA12" s="28">
        <f>IF(BA11="",VLOOKUP($C11,'CUSTOS REALIZADOS'!$A$11:$E$995,4),(VLOOKUP($C11,'CUSTOS REALIZADOS'!$A$11:$E$995,5)))</f>
        <v>0.1</v>
      </c>
      <c r="BB12" s="28">
        <f>IF(BB11="",VLOOKUP($C11,'CUSTOS REALIZADOS'!$A$11:$E$995,4),(VLOOKUP($C11,'CUSTOS REALIZADOS'!$A$11:$E$995,5)))</f>
        <v>0.1</v>
      </c>
      <c r="BC12" s="28">
        <f>IF(BC11="",VLOOKUP($C11,'CUSTOS REALIZADOS'!$A$11:$E$995,4),(VLOOKUP($C11,'CUSTOS REALIZADOS'!$A$11:$E$995,5)))</f>
        <v>0.1</v>
      </c>
      <c r="BD12" s="28">
        <f>IF(BD11="",VLOOKUP($C11,'CUSTOS REALIZADOS'!$A$11:$E$995,4),(VLOOKUP($C11,'CUSTOS REALIZADOS'!$A$11:$E$995,5)))</f>
        <v>0.1</v>
      </c>
      <c r="BE12" s="28">
        <f>IF(BE11="",VLOOKUP($C11,'CUSTOS REALIZADOS'!$A$11:$E$995,4),(VLOOKUP($C11,'CUSTOS REALIZADOS'!$A$11:$E$995,5)))</f>
        <v>0.1</v>
      </c>
      <c r="BF12" s="28">
        <f>IF(BF11="",VLOOKUP($C11,'CUSTOS REALIZADOS'!$A$11:$E$995,4),(VLOOKUP($C11,'CUSTOS REALIZADOS'!$A$11:$E$995,5)))</f>
        <v>0.1</v>
      </c>
      <c r="BG12" s="28">
        <f>IF(BG11="",VLOOKUP($C11,'CUSTOS REALIZADOS'!$A$11:$E$995,4),(VLOOKUP($C11,'CUSTOS REALIZADOS'!$A$11:$E$995,5)))</f>
        <v>0.1</v>
      </c>
      <c r="BH12" s="28">
        <f>IF(BH11="",VLOOKUP($C11,'CUSTOS REALIZADOS'!$A$11:$E$995,4),(VLOOKUP($C11,'CUSTOS REALIZADOS'!$A$11:$E$995,5)))</f>
        <v>0.1</v>
      </c>
      <c r="BI12" s="28">
        <f>IF(BI11="",VLOOKUP($C11,'CUSTOS REALIZADOS'!$A$11:$E$995,4),(VLOOKUP($C11,'CUSTOS REALIZADOS'!$A$11:$E$995,5)))</f>
        <v>0.1</v>
      </c>
      <c r="BJ12" s="28">
        <f>IF(BJ11="",VLOOKUP($C11,'CUSTOS REALIZADOS'!$A$11:$E$995,4),(VLOOKUP($C11,'CUSTOS REALIZADOS'!$A$11:$E$995,5)))</f>
        <v>0.1</v>
      </c>
      <c r="BK12" s="28">
        <f>IF(BK11="",VLOOKUP($C11,'CUSTOS REALIZADOS'!$A$11:$E$995,4),(VLOOKUP($C11,'CUSTOS REALIZADOS'!$A$11:$E$995,5)))</f>
        <v>0.1</v>
      </c>
      <c r="BL12" s="28">
        <f>IF(BL11="",VLOOKUP($C11,'CUSTOS REALIZADOS'!$A$11:$E$995,4),(VLOOKUP($C11,'CUSTOS REALIZADOS'!$A$11:$E$995,5)))</f>
        <v>0.1</v>
      </c>
      <c r="BM12" s="28">
        <f>IF(BM11="",VLOOKUP($C11,'CUSTOS REALIZADOS'!$A$11:$E$995,4),(VLOOKUP($C11,'CUSTOS REALIZADOS'!$A$11:$E$995,5)))</f>
        <v>0.1</v>
      </c>
      <c r="BN12" s="28">
        <f>IF(BN11="",VLOOKUP($C11,'CUSTOS REALIZADOS'!$A$11:$E$995,4),(VLOOKUP($C11,'CUSTOS REALIZADOS'!$A$11:$E$995,5)))</f>
        <v>0.1</v>
      </c>
    </row>
    <row r="13" spans="1:67" x14ac:dyDescent="0.2">
      <c r="C13" s="322"/>
      <c r="D13" s="23" t="s">
        <v>6</v>
      </c>
      <c r="E13" s="27">
        <f>SUM(F13:AY13)</f>
        <v>100000</v>
      </c>
      <c r="F13" s="23">
        <f>IF(AND($C11&gt;=F$6,OR($C11&lt;F$8,F$8="")),F$7*F$28,0)</f>
        <v>50000</v>
      </c>
      <c r="G13" s="23">
        <f t="shared" ref="G13:BN13" si="3">IF(AND($C11&gt;=G$6,OR($C11&lt;G$8,G$8="")),G$7*G$28,0)</f>
        <v>0</v>
      </c>
      <c r="H13" s="23">
        <f t="shared" si="3"/>
        <v>50000</v>
      </c>
      <c r="I13" s="23">
        <f t="shared" si="3"/>
        <v>0</v>
      </c>
      <c r="J13" s="23">
        <f t="shared" si="3"/>
        <v>0</v>
      </c>
      <c r="K13" s="23">
        <f t="shared" si="3"/>
        <v>0</v>
      </c>
      <c r="L13" s="23">
        <f t="shared" si="3"/>
        <v>0</v>
      </c>
      <c r="M13" s="23">
        <f t="shared" si="3"/>
        <v>0</v>
      </c>
      <c r="N13" s="23">
        <f t="shared" si="3"/>
        <v>0</v>
      </c>
      <c r="O13" s="23">
        <f t="shared" si="3"/>
        <v>0</v>
      </c>
      <c r="P13" s="23">
        <f t="shared" si="3"/>
        <v>0</v>
      </c>
      <c r="Q13" s="23">
        <f t="shared" si="3"/>
        <v>0</v>
      </c>
      <c r="R13" s="23">
        <f t="shared" si="3"/>
        <v>0</v>
      </c>
      <c r="S13" s="23">
        <f t="shared" si="3"/>
        <v>0</v>
      </c>
      <c r="T13" s="23">
        <f t="shared" si="3"/>
        <v>0</v>
      </c>
      <c r="U13" s="23">
        <f t="shared" si="3"/>
        <v>0</v>
      </c>
      <c r="V13" s="23">
        <f t="shared" si="3"/>
        <v>0</v>
      </c>
      <c r="W13" s="23">
        <f t="shared" si="3"/>
        <v>0</v>
      </c>
      <c r="X13" s="23">
        <f t="shared" si="3"/>
        <v>0</v>
      </c>
      <c r="Y13" s="23">
        <f t="shared" si="3"/>
        <v>0</v>
      </c>
      <c r="Z13" s="23">
        <f t="shared" si="3"/>
        <v>0</v>
      </c>
      <c r="AA13" s="23">
        <f t="shared" si="3"/>
        <v>0</v>
      </c>
      <c r="AB13" s="23">
        <f t="shared" si="3"/>
        <v>0</v>
      </c>
      <c r="AC13" s="23">
        <f t="shared" si="3"/>
        <v>0</v>
      </c>
      <c r="AD13" s="23">
        <f t="shared" si="3"/>
        <v>0</v>
      </c>
      <c r="AE13" s="23">
        <f t="shared" si="3"/>
        <v>0</v>
      </c>
      <c r="AF13" s="23">
        <f t="shared" si="3"/>
        <v>0</v>
      </c>
      <c r="AG13" s="23">
        <f t="shared" si="3"/>
        <v>0</v>
      </c>
      <c r="AH13" s="23">
        <f t="shared" si="3"/>
        <v>0</v>
      </c>
      <c r="AI13" s="23">
        <f t="shared" si="3"/>
        <v>0</v>
      </c>
      <c r="AJ13" s="23">
        <f t="shared" si="3"/>
        <v>0</v>
      </c>
      <c r="AK13" s="23">
        <f t="shared" si="3"/>
        <v>0</v>
      </c>
      <c r="AL13" s="23">
        <f t="shared" si="3"/>
        <v>0</v>
      </c>
      <c r="AM13" s="23">
        <f t="shared" si="3"/>
        <v>0</v>
      </c>
      <c r="AN13" s="23">
        <f t="shared" si="3"/>
        <v>0</v>
      </c>
      <c r="AO13" s="23">
        <f t="shared" si="3"/>
        <v>0</v>
      </c>
      <c r="AP13" s="23">
        <f t="shared" si="3"/>
        <v>0</v>
      </c>
      <c r="AQ13" s="23">
        <f t="shared" si="3"/>
        <v>0</v>
      </c>
      <c r="AR13" s="23">
        <f t="shared" si="3"/>
        <v>0</v>
      </c>
      <c r="AS13" s="23">
        <f t="shared" si="3"/>
        <v>0</v>
      </c>
      <c r="AT13" s="23">
        <f t="shared" si="3"/>
        <v>0</v>
      </c>
      <c r="AU13" s="23">
        <f t="shared" si="3"/>
        <v>0</v>
      </c>
      <c r="AV13" s="23">
        <f t="shared" si="3"/>
        <v>0</v>
      </c>
      <c r="AW13" s="23">
        <f t="shared" si="3"/>
        <v>0</v>
      </c>
      <c r="AX13" s="23">
        <f t="shared" si="3"/>
        <v>0</v>
      </c>
      <c r="AY13" s="23">
        <f t="shared" si="3"/>
        <v>0</v>
      </c>
      <c r="AZ13" s="23">
        <f t="shared" si="3"/>
        <v>0</v>
      </c>
      <c r="BA13" s="23">
        <f t="shared" si="3"/>
        <v>0</v>
      </c>
      <c r="BB13" s="23">
        <f t="shared" si="3"/>
        <v>0</v>
      </c>
      <c r="BC13" s="23">
        <f t="shared" si="3"/>
        <v>0</v>
      </c>
      <c r="BD13" s="23">
        <f t="shared" si="3"/>
        <v>0</v>
      </c>
      <c r="BE13" s="23">
        <f t="shared" si="3"/>
        <v>0</v>
      </c>
      <c r="BF13" s="23">
        <f t="shared" si="3"/>
        <v>0</v>
      </c>
      <c r="BG13" s="23">
        <f t="shared" si="3"/>
        <v>0</v>
      </c>
      <c r="BH13" s="23">
        <f t="shared" si="3"/>
        <v>0</v>
      </c>
      <c r="BI13" s="23">
        <f t="shared" si="3"/>
        <v>0</v>
      </c>
      <c r="BJ13" s="23">
        <f t="shared" si="3"/>
        <v>0</v>
      </c>
      <c r="BK13" s="23">
        <f t="shared" si="3"/>
        <v>0</v>
      </c>
      <c r="BL13" s="23">
        <f t="shared" si="3"/>
        <v>0</v>
      </c>
      <c r="BM13" s="23">
        <f t="shared" si="3"/>
        <v>0</v>
      </c>
      <c r="BN13" s="23">
        <f t="shared" si="3"/>
        <v>0</v>
      </c>
    </row>
    <row r="14" spans="1:67" x14ac:dyDescent="0.2">
      <c r="C14" s="322"/>
      <c r="D14" s="23" t="s">
        <v>9</v>
      </c>
      <c r="E14" s="27">
        <f>SUM(F14:AY14)</f>
        <v>4000</v>
      </c>
      <c r="F14" s="22">
        <v>4000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</row>
    <row r="15" spans="1:67" x14ac:dyDescent="0.2">
      <c r="C15" s="322"/>
      <c r="D15" s="23" t="s">
        <v>14</v>
      </c>
      <c r="E15" s="27">
        <f>SUM(F15:AY15)</f>
        <v>900000</v>
      </c>
      <c r="F15" s="23">
        <f>IF(AND($C11&gt;=F$6,OR($C11&lt;F$8,F$8="")),F11-F13,0)</f>
        <v>450000</v>
      </c>
      <c r="G15" s="23">
        <f t="shared" ref="G15:H15" si="4">IF(AND($C11&gt;=G$6,OR($C11&lt;G$8,G$8="")),G11-G13,0)</f>
        <v>0</v>
      </c>
      <c r="H15" s="23">
        <f t="shared" si="4"/>
        <v>450000</v>
      </c>
      <c r="I15" s="23">
        <f t="shared" ref="I15:BN15" si="5">-I11+I14</f>
        <v>0</v>
      </c>
      <c r="J15" s="23">
        <f t="shared" si="5"/>
        <v>0</v>
      </c>
      <c r="K15" s="23">
        <f t="shared" si="5"/>
        <v>0</v>
      </c>
      <c r="L15" s="23">
        <f t="shared" si="5"/>
        <v>0</v>
      </c>
      <c r="M15" s="23">
        <f t="shared" si="5"/>
        <v>0</v>
      </c>
      <c r="N15" s="23">
        <f t="shared" si="5"/>
        <v>0</v>
      </c>
      <c r="O15" s="23">
        <f t="shared" si="5"/>
        <v>0</v>
      </c>
      <c r="P15" s="23">
        <f t="shared" si="5"/>
        <v>0</v>
      </c>
      <c r="Q15" s="23">
        <f t="shared" si="5"/>
        <v>0</v>
      </c>
      <c r="R15" s="23">
        <f t="shared" si="5"/>
        <v>0</v>
      </c>
      <c r="S15" s="23">
        <f t="shared" si="5"/>
        <v>0</v>
      </c>
      <c r="T15" s="23">
        <f t="shared" si="5"/>
        <v>0</v>
      </c>
      <c r="U15" s="23">
        <f t="shared" si="5"/>
        <v>0</v>
      </c>
      <c r="V15" s="23">
        <f t="shared" si="5"/>
        <v>0</v>
      </c>
      <c r="W15" s="23">
        <f t="shared" si="5"/>
        <v>0</v>
      </c>
      <c r="X15" s="23">
        <f t="shared" si="5"/>
        <v>0</v>
      </c>
      <c r="Y15" s="23">
        <f t="shared" si="5"/>
        <v>0</v>
      </c>
      <c r="Z15" s="23">
        <f t="shared" si="5"/>
        <v>0</v>
      </c>
      <c r="AA15" s="23">
        <f t="shared" si="5"/>
        <v>0</v>
      </c>
      <c r="AB15" s="23">
        <f t="shared" si="5"/>
        <v>0</v>
      </c>
      <c r="AC15" s="23">
        <f t="shared" si="5"/>
        <v>0</v>
      </c>
      <c r="AD15" s="23">
        <f t="shared" si="5"/>
        <v>0</v>
      </c>
      <c r="AE15" s="23">
        <f t="shared" si="5"/>
        <v>0</v>
      </c>
      <c r="AF15" s="23">
        <f t="shared" si="5"/>
        <v>0</v>
      </c>
      <c r="AG15" s="23">
        <f t="shared" si="5"/>
        <v>0</v>
      </c>
      <c r="AH15" s="23">
        <f t="shared" si="5"/>
        <v>0</v>
      </c>
      <c r="AI15" s="23">
        <f t="shared" si="5"/>
        <v>0</v>
      </c>
      <c r="AJ15" s="23">
        <f t="shared" si="5"/>
        <v>0</v>
      </c>
      <c r="AK15" s="23">
        <f t="shared" si="5"/>
        <v>0</v>
      </c>
      <c r="AL15" s="23">
        <f t="shared" si="5"/>
        <v>0</v>
      </c>
      <c r="AM15" s="23">
        <f t="shared" si="5"/>
        <v>0</v>
      </c>
      <c r="AN15" s="23">
        <f t="shared" si="5"/>
        <v>0</v>
      </c>
      <c r="AO15" s="23">
        <f t="shared" si="5"/>
        <v>0</v>
      </c>
      <c r="AP15" s="23">
        <f t="shared" si="5"/>
        <v>0</v>
      </c>
      <c r="AQ15" s="23">
        <f t="shared" si="5"/>
        <v>0</v>
      </c>
      <c r="AR15" s="23">
        <f t="shared" si="5"/>
        <v>0</v>
      </c>
      <c r="AS15" s="23">
        <f t="shared" si="5"/>
        <v>0</v>
      </c>
      <c r="AT15" s="23">
        <f t="shared" si="5"/>
        <v>0</v>
      </c>
      <c r="AU15" s="23">
        <f t="shared" si="5"/>
        <v>0</v>
      </c>
      <c r="AV15" s="23">
        <f t="shared" si="5"/>
        <v>0</v>
      </c>
      <c r="AW15" s="23">
        <f t="shared" si="5"/>
        <v>0</v>
      </c>
      <c r="AX15" s="23">
        <f t="shared" si="5"/>
        <v>0</v>
      </c>
      <c r="AY15" s="23">
        <f t="shared" si="5"/>
        <v>0</v>
      </c>
      <c r="AZ15" s="23">
        <f t="shared" si="5"/>
        <v>0</v>
      </c>
      <c r="BA15" s="23">
        <f t="shared" si="5"/>
        <v>0</v>
      </c>
      <c r="BB15" s="23">
        <f t="shared" si="5"/>
        <v>0</v>
      </c>
      <c r="BC15" s="23">
        <f t="shared" si="5"/>
        <v>0</v>
      </c>
      <c r="BD15" s="23">
        <f t="shared" si="5"/>
        <v>0</v>
      </c>
      <c r="BE15" s="23">
        <f t="shared" si="5"/>
        <v>0</v>
      </c>
      <c r="BF15" s="23">
        <f t="shared" si="5"/>
        <v>0</v>
      </c>
      <c r="BG15" s="23">
        <f t="shared" si="5"/>
        <v>0</v>
      </c>
      <c r="BH15" s="23">
        <f t="shared" si="5"/>
        <v>0</v>
      </c>
      <c r="BI15" s="23">
        <f t="shared" si="5"/>
        <v>0</v>
      </c>
      <c r="BJ15" s="23">
        <f t="shared" si="5"/>
        <v>0</v>
      </c>
      <c r="BK15" s="23">
        <f t="shared" si="5"/>
        <v>0</v>
      </c>
      <c r="BL15" s="23">
        <f t="shared" si="5"/>
        <v>0</v>
      </c>
      <c r="BM15" s="23">
        <f t="shared" si="5"/>
        <v>0</v>
      </c>
      <c r="BN15" s="23">
        <f t="shared" si="5"/>
        <v>0</v>
      </c>
    </row>
    <row r="16" spans="1:67" x14ac:dyDescent="0.2">
      <c r="C16" s="322"/>
      <c r="D16" s="23" t="s">
        <v>10</v>
      </c>
      <c r="E16" s="72">
        <v>0</v>
      </c>
      <c r="F16" s="54">
        <v>0.05</v>
      </c>
      <c r="G16" s="54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54">
        <v>0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4">
        <v>0</v>
      </c>
      <c r="BG16" s="54">
        <v>0</v>
      </c>
      <c r="BH16" s="54">
        <v>0</v>
      </c>
      <c r="BI16" s="54">
        <v>0</v>
      </c>
      <c r="BJ16" s="54">
        <v>0</v>
      </c>
      <c r="BK16" s="54">
        <v>0</v>
      </c>
      <c r="BL16" s="54">
        <v>0</v>
      </c>
      <c r="BM16" s="54">
        <v>0</v>
      </c>
      <c r="BN16" s="54">
        <v>0</v>
      </c>
    </row>
    <row r="17" spans="1:66" x14ac:dyDescent="0.2">
      <c r="C17" s="322"/>
      <c r="D17" s="23" t="s">
        <v>12</v>
      </c>
      <c r="E17" s="27">
        <f>SUM(F17:BN17)</f>
        <v>22500</v>
      </c>
      <c r="F17" s="29">
        <f>+F15*F16</f>
        <v>22500</v>
      </c>
      <c r="G17" s="29">
        <f t="shared" ref="G17" si="6">+G15*G16</f>
        <v>0</v>
      </c>
      <c r="H17" s="29">
        <f t="shared" ref="H17:X17" si="7">+H15*H16</f>
        <v>0</v>
      </c>
      <c r="I17" s="29">
        <f t="shared" si="7"/>
        <v>0</v>
      </c>
      <c r="J17" s="29">
        <f t="shared" si="7"/>
        <v>0</v>
      </c>
      <c r="K17" s="29">
        <f t="shared" si="7"/>
        <v>0</v>
      </c>
      <c r="L17" s="29">
        <f t="shared" si="7"/>
        <v>0</v>
      </c>
      <c r="M17" s="29">
        <f t="shared" si="7"/>
        <v>0</v>
      </c>
      <c r="N17" s="29">
        <f t="shared" si="7"/>
        <v>0</v>
      </c>
      <c r="O17" s="29">
        <f t="shared" si="7"/>
        <v>0</v>
      </c>
      <c r="P17" s="29">
        <f t="shared" si="7"/>
        <v>0</v>
      </c>
      <c r="Q17" s="29">
        <f t="shared" si="7"/>
        <v>0</v>
      </c>
      <c r="R17" s="29">
        <f t="shared" si="7"/>
        <v>0</v>
      </c>
      <c r="S17" s="29">
        <f t="shared" si="7"/>
        <v>0</v>
      </c>
      <c r="T17" s="29">
        <f t="shared" si="7"/>
        <v>0</v>
      </c>
      <c r="U17" s="29">
        <f t="shared" si="7"/>
        <v>0</v>
      </c>
      <c r="V17" s="29">
        <f t="shared" si="7"/>
        <v>0</v>
      </c>
      <c r="W17" s="29">
        <f t="shared" si="7"/>
        <v>0</v>
      </c>
      <c r="X17" s="29">
        <f t="shared" si="7"/>
        <v>0</v>
      </c>
      <c r="Y17" s="29">
        <v>0</v>
      </c>
      <c r="Z17" s="29">
        <f>+Z15*Z16</f>
        <v>0</v>
      </c>
      <c r="AA17" s="29">
        <f>+AA15*AA16</f>
        <v>0</v>
      </c>
      <c r="AB17" s="29">
        <f>+AB15*AB16</f>
        <v>0</v>
      </c>
      <c r="AC17" s="29">
        <f>+AC15*AC16</f>
        <v>0</v>
      </c>
      <c r="AD17" s="29">
        <f>+AD15*AD16</f>
        <v>0</v>
      </c>
      <c r="AE17" s="29">
        <v>0</v>
      </c>
      <c r="AF17" s="29">
        <f t="shared" ref="AF17:AY17" si="8">+AF15*AF16</f>
        <v>0</v>
      </c>
      <c r="AG17" s="29">
        <f t="shared" si="8"/>
        <v>0</v>
      </c>
      <c r="AH17" s="29">
        <f t="shared" si="8"/>
        <v>0</v>
      </c>
      <c r="AI17" s="29">
        <f t="shared" si="8"/>
        <v>0</v>
      </c>
      <c r="AJ17" s="29">
        <f t="shared" si="8"/>
        <v>0</v>
      </c>
      <c r="AK17" s="29">
        <f t="shared" si="8"/>
        <v>0</v>
      </c>
      <c r="AL17" s="29">
        <f t="shared" si="8"/>
        <v>0</v>
      </c>
      <c r="AM17" s="29">
        <f t="shared" si="8"/>
        <v>0</v>
      </c>
      <c r="AN17" s="29">
        <f t="shared" si="8"/>
        <v>0</v>
      </c>
      <c r="AO17" s="29">
        <f t="shared" si="8"/>
        <v>0</v>
      </c>
      <c r="AP17" s="29">
        <f t="shared" si="8"/>
        <v>0</v>
      </c>
      <c r="AQ17" s="29">
        <f t="shared" si="8"/>
        <v>0</v>
      </c>
      <c r="AR17" s="29">
        <f t="shared" si="8"/>
        <v>0</v>
      </c>
      <c r="AS17" s="29">
        <f t="shared" si="8"/>
        <v>0</v>
      </c>
      <c r="AT17" s="29">
        <f t="shared" si="8"/>
        <v>0</v>
      </c>
      <c r="AU17" s="29">
        <f t="shared" si="8"/>
        <v>0</v>
      </c>
      <c r="AV17" s="29">
        <f t="shared" si="8"/>
        <v>0</v>
      </c>
      <c r="AW17" s="29">
        <f t="shared" si="8"/>
        <v>0</v>
      </c>
      <c r="AX17" s="29">
        <f t="shared" si="8"/>
        <v>0</v>
      </c>
      <c r="AY17" s="29">
        <f t="shared" si="8"/>
        <v>0</v>
      </c>
      <c r="AZ17" s="29">
        <f t="shared" ref="AZ17:BG17" si="9">+AZ15*AZ16</f>
        <v>0</v>
      </c>
      <c r="BA17" s="29">
        <f t="shared" si="9"/>
        <v>0</v>
      </c>
      <c r="BB17" s="29">
        <f t="shared" si="9"/>
        <v>0</v>
      </c>
      <c r="BC17" s="29">
        <f t="shared" si="9"/>
        <v>0</v>
      </c>
      <c r="BD17" s="29">
        <f t="shared" si="9"/>
        <v>0</v>
      </c>
      <c r="BE17" s="29">
        <f t="shared" si="9"/>
        <v>0</v>
      </c>
      <c r="BF17" s="29">
        <f t="shared" si="9"/>
        <v>0</v>
      </c>
      <c r="BG17" s="29">
        <f t="shared" si="9"/>
        <v>0</v>
      </c>
      <c r="BH17" s="29">
        <f t="shared" ref="BH17:BN17" si="10">+BH15*BH16</f>
        <v>0</v>
      </c>
      <c r="BI17" s="29">
        <f t="shared" si="10"/>
        <v>0</v>
      </c>
      <c r="BJ17" s="29">
        <f t="shared" si="10"/>
        <v>0</v>
      </c>
      <c r="BK17" s="29">
        <f t="shared" si="10"/>
        <v>0</v>
      </c>
      <c r="BL17" s="29">
        <f t="shared" si="10"/>
        <v>0</v>
      </c>
      <c r="BM17" s="29">
        <f t="shared" si="10"/>
        <v>0</v>
      </c>
      <c r="BN17" s="29">
        <f t="shared" si="10"/>
        <v>0</v>
      </c>
    </row>
    <row r="18" spans="1:66" ht="13.5" thickBot="1" x14ac:dyDescent="0.25">
      <c r="C18" s="323"/>
      <c r="D18" s="25" t="s">
        <v>11</v>
      </c>
      <c r="E18" s="30">
        <f>SUM(F18:BN18)</f>
        <v>922500</v>
      </c>
      <c r="F18" s="46">
        <f>+F15+F17</f>
        <v>472500</v>
      </c>
      <c r="G18" s="46">
        <f>+G15+G17</f>
        <v>0</v>
      </c>
      <c r="H18" s="46">
        <f>+H15+H17</f>
        <v>450000</v>
      </c>
      <c r="I18" s="46">
        <f>+I15+I17</f>
        <v>0</v>
      </c>
      <c r="J18" s="46">
        <f t="shared" ref="J18:AY18" si="11">+J15+J17</f>
        <v>0</v>
      </c>
      <c r="K18" s="46">
        <f t="shared" si="11"/>
        <v>0</v>
      </c>
      <c r="L18" s="46">
        <f t="shared" si="11"/>
        <v>0</v>
      </c>
      <c r="M18" s="46">
        <f t="shared" si="11"/>
        <v>0</v>
      </c>
      <c r="N18" s="46">
        <f>+N15+N17</f>
        <v>0</v>
      </c>
      <c r="O18" s="46">
        <f t="shared" si="11"/>
        <v>0</v>
      </c>
      <c r="P18" s="46">
        <f t="shared" si="11"/>
        <v>0</v>
      </c>
      <c r="Q18" s="46">
        <f t="shared" si="11"/>
        <v>0</v>
      </c>
      <c r="R18" s="46">
        <f t="shared" si="11"/>
        <v>0</v>
      </c>
      <c r="S18" s="46">
        <f t="shared" si="11"/>
        <v>0</v>
      </c>
      <c r="T18" s="46">
        <f t="shared" si="11"/>
        <v>0</v>
      </c>
      <c r="U18" s="46">
        <f t="shared" si="11"/>
        <v>0</v>
      </c>
      <c r="V18" s="46">
        <f t="shared" si="11"/>
        <v>0</v>
      </c>
      <c r="W18" s="46">
        <f t="shared" si="11"/>
        <v>0</v>
      </c>
      <c r="X18" s="46">
        <f t="shared" si="11"/>
        <v>0</v>
      </c>
      <c r="Y18" s="46">
        <f t="shared" si="11"/>
        <v>0</v>
      </c>
      <c r="Z18" s="46">
        <f t="shared" si="11"/>
        <v>0</v>
      </c>
      <c r="AA18" s="46">
        <f t="shared" si="11"/>
        <v>0</v>
      </c>
      <c r="AB18" s="46">
        <f t="shared" si="11"/>
        <v>0</v>
      </c>
      <c r="AC18" s="46">
        <f t="shared" si="11"/>
        <v>0</v>
      </c>
      <c r="AD18" s="46">
        <f t="shared" si="11"/>
        <v>0</v>
      </c>
      <c r="AE18" s="46">
        <f t="shared" si="11"/>
        <v>0</v>
      </c>
      <c r="AF18" s="46">
        <f t="shared" si="11"/>
        <v>0</v>
      </c>
      <c r="AG18" s="46">
        <f t="shared" si="11"/>
        <v>0</v>
      </c>
      <c r="AH18" s="46">
        <f t="shared" si="11"/>
        <v>0</v>
      </c>
      <c r="AI18" s="46">
        <f t="shared" si="11"/>
        <v>0</v>
      </c>
      <c r="AJ18" s="46">
        <f t="shared" si="11"/>
        <v>0</v>
      </c>
      <c r="AK18" s="46">
        <f t="shared" si="11"/>
        <v>0</v>
      </c>
      <c r="AL18" s="46">
        <f t="shared" si="11"/>
        <v>0</v>
      </c>
      <c r="AM18" s="46">
        <f t="shared" si="11"/>
        <v>0</v>
      </c>
      <c r="AN18" s="46">
        <f t="shared" si="11"/>
        <v>0</v>
      </c>
      <c r="AO18" s="46">
        <f t="shared" si="11"/>
        <v>0</v>
      </c>
      <c r="AP18" s="46">
        <f t="shared" si="11"/>
        <v>0</v>
      </c>
      <c r="AQ18" s="46">
        <f t="shared" si="11"/>
        <v>0</v>
      </c>
      <c r="AR18" s="46">
        <f t="shared" si="11"/>
        <v>0</v>
      </c>
      <c r="AS18" s="46">
        <f t="shared" si="11"/>
        <v>0</v>
      </c>
      <c r="AT18" s="46">
        <f t="shared" si="11"/>
        <v>0</v>
      </c>
      <c r="AU18" s="46">
        <f t="shared" si="11"/>
        <v>0</v>
      </c>
      <c r="AV18" s="46">
        <f t="shared" si="11"/>
        <v>0</v>
      </c>
      <c r="AW18" s="46">
        <f t="shared" si="11"/>
        <v>0</v>
      </c>
      <c r="AX18" s="46">
        <f t="shared" si="11"/>
        <v>0</v>
      </c>
      <c r="AY18" s="46">
        <f t="shared" si="11"/>
        <v>0</v>
      </c>
      <c r="AZ18" s="46">
        <f t="shared" ref="AZ18:BG18" si="12">+AZ15+AZ17</f>
        <v>0</v>
      </c>
      <c r="BA18" s="46">
        <f t="shared" si="12"/>
        <v>0</v>
      </c>
      <c r="BB18" s="46">
        <f t="shared" si="12"/>
        <v>0</v>
      </c>
      <c r="BC18" s="46">
        <f t="shared" si="12"/>
        <v>0</v>
      </c>
      <c r="BD18" s="46">
        <f t="shared" si="12"/>
        <v>0</v>
      </c>
      <c r="BE18" s="46">
        <f t="shared" si="12"/>
        <v>0</v>
      </c>
      <c r="BF18" s="46">
        <f t="shared" si="12"/>
        <v>0</v>
      </c>
      <c r="BG18" s="46">
        <f t="shared" si="12"/>
        <v>0</v>
      </c>
      <c r="BH18" s="46">
        <f t="shared" ref="BH18:BN18" si="13">+BH15+BH17</f>
        <v>0</v>
      </c>
      <c r="BI18" s="46">
        <f t="shared" si="13"/>
        <v>0</v>
      </c>
      <c r="BJ18" s="46">
        <f t="shared" si="13"/>
        <v>0</v>
      </c>
      <c r="BK18" s="46">
        <f t="shared" si="13"/>
        <v>0</v>
      </c>
      <c r="BL18" s="46">
        <f t="shared" si="13"/>
        <v>0</v>
      </c>
      <c r="BM18" s="46">
        <f t="shared" si="13"/>
        <v>0</v>
      </c>
      <c r="BN18" s="46">
        <f t="shared" si="13"/>
        <v>0</v>
      </c>
    </row>
    <row r="19" spans="1:66" x14ac:dyDescent="0.2">
      <c r="C19" s="321">
        <v>43586</v>
      </c>
      <c r="D19" s="20" t="s">
        <v>5</v>
      </c>
      <c r="E19" s="50">
        <f>SUMIF($F$6:$L$6,C19,$F$7:$L$7)</f>
        <v>450000</v>
      </c>
      <c r="F19" s="279">
        <f>IF(F$6=$C19,F$7,0)</f>
        <v>0</v>
      </c>
      <c r="G19" s="279">
        <f t="shared" ref="G19:BN19" si="14">IF(G$6=$C19,G$7,0)</f>
        <v>450000</v>
      </c>
      <c r="H19" s="279">
        <f t="shared" si="14"/>
        <v>0</v>
      </c>
      <c r="I19" s="279">
        <f t="shared" si="14"/>
        <v>0</v>
      </c>
      <c r="J19" s="279">
        <f t="shared" si="14"/>
        <v>0</v>
      </c>
      <c r="K19" s="279">
        <f t="shared" si="14"/>
        <v>0</v>
      </c>
      <c r="L19" s="279">
        <f t="shared" si="14"/>
        <v>0</v>
      </c>
      <c r="M19" s="279">
        <f t="shared" si="14"/>
        <v>0</v>
      </c>
      <c r="N19" s="279">
        <f t="shared" si="14"/>
        <v>0</v>
      </c>
      <c r="O19" s="279">
        <f t="shared" si="14"/>
        <v>0</v>
      </c>
      <c r="P19" s="279">
        <f t="shared" si="14"/>
        <v>0</v>
      </c>
      <c r="Q19" s="279">
        <f t="shared" si="14"/>
        <v>0</v>
      </c>
      <c r="R19" s="279">
        <f t="shared" si="14"/>
        <v>0</v>
      </c>
      <c r="S19" s="279">
        <f t="shared" si="14"/>
        <v>0</v>
      </c>
      <c r="T19" s="279">
        <f t="shared" si="14"/>
        <v>0</v>
      </c>
      <c r="U19" s="279">
        <f t="shared" si="14"/>
        <v>0</v>
      </c>
      <c r="V19" s="279">
        <f t="shared" si="14"/>
        <v>0</v>
      </c>
      <c r="W19" s="279">
        <f t="shared" si="14"/>
        <v>0</v>
      </c>
      <c r="X19" s="279">
        <f t="shared" si="14"/>
        <v>0</v>
      </c>
      <c r="Y19" s="279">
        <f t="shared" si="14"/>
        <v>0</v>
      </c>
      <c r="Z19" s="279">
        <f t="shared" si="14"/>
        <v>0</v>
      </c>
      <c r="AA19" s="279">
        <f t="shared" si="14"/>
        <v>0</v>
      </c>
      <c r="AB19" s="279">
        <f t="shared" si="14"/>
        <v>0</v>
      </c>
      <c r="AC19" s="279">
        <f t="shared" si="14"/>
        <v>0</v>
      </c>
      <c r="AD19" s="279">
        <f t="shared" si="14"/>
        <v>0</v>
      </c>
      <c r="AE19" s="279">
        <f t="shared" si="14"/>
        <v>0</v>
      </c>
      <c r="AF19" s="279">
        <f t="shared" si="14"/>
        <v>0</v>
      </c>
      <c r="AG19" s="279">
        <f t="shared" si="14"/>
        <v>0</v>
      </c>
      <c r="AH19" s="279">
        <f t="shared" si="14"/>
        <v>0</v>
      </c>
      <c r="AI19" s="279">
        <f t="shared" si="14"/>
        <v>0</v>
      </c>
      <c r="AJ19" s="279">
        <f t="shared" si="14"/>
        <v>0</v>
      </c>
      <c r="AK19" s="279">
        <f t="shared" si="14"/>
        <v>0</v>
      </c>
      <c r="AL19" s="279">
        <f t="shared" si="14"/>
        <v>0</v>
      </c>
      <c r="AM19" s="279">
        <f t="shared" si="14"/>
        <v>0</v>
      </c>
      <c r="AN19" s="279">
        <f t="shared" si="14"/>
        <v>0</v>
      </c>
      <c r="AO19" s="279">
        <f t="shared" si="14"/>
        <v>0</v>
      </c>
      <c r="AP19" s="279">
        <f t="shared" si="14"/>
        <v>0</v>
      </c>
      <c r="AQ19" s="279">
        <f t="shared" si="14"/>
        <v>0</v>
      </c>
      <c r="AR19" s="279">
        <f t="shared" si="14"/>
        <v>0</v>
      </c>
      <c r="AS19" s="279">
        <f t="shared" si="14"/>
        <v>0</v>
      </c>
      <c r="AT19" s="279">
        <f t="shared" si="14"/>
        <v>0</v>
      </c>
      <c r="AU19" s="279">
        <f t="shared" si="14"/>
        <v>0</v>
      </c>
      <c r="AV19" s="279">
        <f t="shared" si="14"/>
        <v>0</v>
      </c>
      <c r="AW19" s="279">
        <f t="shared" si="14"/>
        <v>0</v>
      </c>
      <c r="AX19" s="279">
        <f t="shared" si="14"/>
        <v>0</v>
      </c>
      <c r="AY19" s="279">
        <f t="shared" si="14"/>
        <v>0</v>
      </c>
      <c r="AZ19" s="279">
        <f t="shared" si="14"/>
        <v>0</v>
      </c>
      <c r="BA19" s="279">
        <f t="shared" si="14"/>
        <v>0</v>
      </c>
      <c r="BB19" s="279">
        <f t="shared" si="14"/>
        <v>0</v>
      </c>
      <c r="BC19" s="279">
        <f t="shared" si="14"/>
        <v>0</v>
      </c>
      <c r="BD19" s="279">
        <f t="shared" si="14"/>
        <v>0</v>
      </c>
      <c r="BE19" s="279">
        <f t="shared" si="14"/>
        <v>0</v>
      </c>
      <c r="BF19" s="279">
        <f t="shared" si="14"/>
        <v>0</v>
      </c>
      <c r="BG19" s="279">
        <f t="shared" si="14"/>
        <v>0</v>
      </c>
      <c r="BH19" s="279">
        <f t="shared" si="14"/>
        <v>0</v>
      </c>
      <c r="BI19" s="279">
        <f t="shared" si="14"/>
        <v>0</v>
      </c>
      <c r="BJ19" s="279">
        <f t="shared" si="14"/>
        <v>0</v>
      </c>
      <c r="BK19" s="279">
        <f t="shared" si="14"/>
        <v>0</v>
      </c>
      <c r="BL19" s="279">
        <f t="shared" si="14"/>
        <v>0</v>
      </c>
      <c r="BM19" s="279">
        <f t="shared" si="14"/>
        <v>0</v>
      </c>
      <c r="BN19" s="279">
        <f t="shared" si="14"/>
        <v>0</v>
      </c>
    </row>
    <row r="20" spans="1:66" ht="15.75" x14ac:dyDescent="0.25">
      <c r="A20" s="9" t="s">
        <v>26</v>
      </c>
      <c r="C20" s="322"/>
      <c r="D20" s="23" t="s">
        <v>7</v>
      </c>
      <c r="E20" s="91">
        <f>SUM(F20:AY20)</f>
        <v>4.5999999999999996</v>
      </c>
      <c r="F20" s="28">
        <f>IF(F19="",VLOOKUP($C19,'CUSTOS REALIZADOS'!$A$11:$E$995,4),(VLOOKUP($C19,'CUSTOS REALIZADOS'!$A$11:$E$995,5)))</f>
        <v>0.1</v>
      </c>
      <c r="G20" s="28">
        <f>IF(G19="",VLOOKUP($C19,'CUSTOS REALIZADOS'!$A$11:$E$995,4),(VLOOKUP($C19,'CUSTOS REALIZADOS'!$A$11:$E$995,5)))</f>
        <v>0.1</v>
      </c>
      <c r="H20" s="28">
        <f>IF(H19="",VLOOKUP($C19,'CUSTOS REALIZADOS'!$A$11:$E$995,4),(VLOOKUP($C19,'CUSTOS REALIZADOS'!$A$11:$E$995,5)))</f>
        <v>0.1</v>
      </c>
      <c r="I20" s="28">
        <f>IF(I19="",VLOOKUP($C19,'CUSTOS REALIZADOS'!$A$11:$E$995,4),(VLOOKUP($C19,'CUSTOS REALIZADOS'!$A$11:$E$995,5)))</f>
        <v>0.1</v>
      </c>
      <c r="J20" s="28">
        <f>IF(J19="",VLOOKUP($C19,'CUSTOS REALIZADOS'!$A$11:$E$995,4),(VLOOKUP($C19,'CUSTOS REALIZADOS'!$A$11:$E$995,5)))</f>
        <v>0.1</v>
      </c>
      <c r="K20" s="28">
        <f>IF(K19="",VLOOKUP($C19,'CUSTOS REALIZADOS'!$A$11:$E$995,4),(VLOOKUP($C19,'CUSTOS REALIZADOS'!$A$11:$E$995,5)))</f>
        <v>0.1</v>
      </c>
      <c r="L20" s="28">
        <f>IF(L19="",VLOOKUP($C19,'CUSTOS REALIZADOS'!$A$11:$E$995,4),(VLOOKUP($C19,'CUSTOS REALIZADOS'!$A$11:$E$995,5)))</f>
        <v>0.1</v>
      </c>
      <c r="M20" s="28">
        <f>IF(M19="",VLOOKUP($C19,'CUSTOS REALIZADOS'!$A$11:$E$995,4),(VLOOKUP($C19,'CUSTOS REALIZADOS'!$A$11:$E$995,5)))</f>
        <v>0.1</v>
      </c>
      <c r="N20" s="28">
        <f>IF(N19="",VLOOKUP($C19,'CUSTOS REALIZADOS'!$A$11:$E$995,4),(VLOOKUP($C19,'CUSTOS REALIZADOS'!$A$11:$E$995,5)))</f>
        <v>0.1</v>
      </c>
      <c r="O20" s="28">
        <f>IF(O19="",VLOOKUP($C19,'CUSTOS REALIZADOS'!$A$11:$E$995,4),(VLOOKUP($C19,'CUSTOS REALIZADOS'!$A$11:$E$995,5)))</f>
        <v>0.1</v>
      </c>
      <c r="P20" s="28">
        <f>IF(P19="",VLOOKUP($C19,'CUSTOS REALIZADOS'!$A$11:$E$995,4),(VLOOKUP($C19,'CUSTOS REALIZADOS'!$A$11:$E$995,5)))</f>
        <v>0.1</v>
      </c>
      <c r="Q20" s="28">
        <f>IF(Q19="",VLOOKUP($C19,'CUSTOS REALIZADOS'!$A$11:$E$995,4),(VLOOKUP($C19,'CUSTOS REALIZADOS'!$A$11:$E$995,5)))</f>
        <v>0.1</v>
      </c>
      <c r="R20" s="28">
        <f>IF(R19="",VLOOKUP($C19,'CUSTOS REALIZADOS'!$A$11:$E$995,4),(VLOOKUP($C19,'CUSTOS REALIZADOS'!$A$11:$E$995,5)))</f>
        <v>0.1</v>
      </c>
      <c r="S20" s="28">
        <f>IF(S19="",VLOOKUP($C19,'CUSTOS REALIZADOS'!$A$11:$E$995,4),(VLOOKUP($C19,'CUSTOS REALIZADOS'!$A$11:$E$995,5)))</f>
        <v>0.1</v>
      </c>
      <c r="T20" s="28">
        <f>IF(T19="",VLOOKUP($C19,'CUSTOS REALIZADOS'!$A$11:$E$995,4),(VLOOKUP($C19,'CUSTOS REALIZADOS'!$A$11:$E$995,5)))</f>
        <v>0.1</v>
      </c>
      <c r="U20" s="28">
        <f>IF(U19="",VLOOKUP($C19,'CUSTOS REALIZADOS'!$A$11:$E$995,4),(VLOOKUP($C19,'CUSTOS REALIZADOS'!$A$11:$E$995,5)))</f>
        <v>0.1</v>
      </c>
      <c r="V20" s="28">
        <f>IF(V19="",VLOOKUP($C19,'CUSTOS REALIZADOS'!$A$11:$E$995,4),(VLOOKUP($C19,'CUSTOS REALIZADOS'!$A$11:$E$995,5)))</f>
        <v>0.1</v>
      </c>
      <c r="W20" s="28">
        <f>IF(W19="",VLOOKUP($C19,'CUSTOS REALIZADOS'!$A$11:$E$995,4),(VLOOKUP($C19,'CUSTOS REALIZADOS'!$A$11:$E$995,5)))</f>
        <v>0.1</v>
      </c>
      <c r="X20" s="28">
        <f>IF(X19="",VLOOKUP($C19,'CUSTOS REALIZADOS'!$A$11:$E$995,4),(VLOOKUP($C19,'CUSTOS REALIZADOS'!$A$11:$E$995,5)))</f>
        <v>0.1</v>
      </c>
      <c r="Y20" s="28">
        <f>IF(Y19="",VLOOKUP($C19,'CUSTOS REALIZADOS'!$A$11:$E$995,4),(VLOOKUP($C19,'CUSTOS REALIZADOS'!$A$11:$E$995,5)))</f>
        <v>0.1</v>
      </c>
      <c r="Z20" s="28">
        <f>IF(Z19="",VLOOKUP($C19,'CUSTOS REALIZADOS'!$A$11:$E$995,4),(VLOOKUP($C19,'CUSTOS REALIZADOS'!$A$11:$E$995,5)))</f>
        <v>0.1</v>
      </c>
      <c r="AA20" s="28">
        <f>IF(AA19="",VLOOKUP($C19,'CUSTOS REALIZADOS'!$A$11:$E$995,4),(VLOOKUP($C19,'CUSTOS REALIZADOS'!$A$11:$E$995,5)))</f>
        <v>0.1</v>
      </c>
      <c r="AB20" s="28">
        <f>IF(AB19="",VLOOKUP($C19,'CUSTOS REALIZADOS'!$A$11:$E$995,4),(VLOOKUP($C19,'CUSTOS REALIZADOS'!$A$11:$E$995,5)))</f>
        <v>0.1</v>
      </c>
      <c r="AC20" s="28">
        <f>IF(AC19="",VLOOKUP($C19,'CUSTOS REALIZADOS'!$A$11:$E$995,4),(VLOOKUP($C19,'CUSTOS REALIZADOS'!$A$11:$E$995,5)))</f>
        <v>0.1</v>
      </c>
      <c r="AD20" s="28">
        <f>IF(AD19="",VLOOKUP($C19,'CUSTOS REALIZADOS'!$A$11:$E$995,4),(VLOOKUP($C19,'CUSTOS REALIZADOS'!$A$11:$E$995,5)))</f>
        <v>0.1</v>
      </c>
      <c r="AE20" s="28">
        <f>IF(AE19="",VLOOKUP($C19,'CUSTOS REALIZADOS'!$A$11:$E$995,4),(VLOOKUP($C19,'CUSTOS REALIZADOS'!$A$11:$E$995,5)))</f>
        <v>0.1</v>
      </c>
      <c r="AF20" s="28">
        <f>IF(AF19="",VLOOKUP($C19,'CUSTOS REALIZADOS'!$A$11:$E$995,4),(VLOOKUP($C19,'CUSTOS REALIZADOS'!$A$11:$E$995,5)))</f>
        <v>0.1</v>
      </c>
      <c r="AG20" s="28">
        <f>IF(AG19="",VLOOKUP($C19,'CUSTOS REALIZADOS'!$A$11:$E$995,4),(VLOOKUP($C19,'CUSTOS REALIZADOS'!$A$11:$E$995,5)))</f>
        <v>0.1</v>
      </c>
      <c r="AH20" s="28">
        <f>IF(AH19="",VLOOKUP($C19,'CUSTOS REALIZADOS'!$A$11:$E$995,4),(VLOOKUP($C19,'CUSTOS REALIZADOS'!$A$11:$E$995,5)))</f>
        <v>0.1</v>
      </c>
      <c r="AI20" s="28">
        <f>IF(AI19="",VLOOKUP($C19,'CUSTOS REALIZADOS'!$A$11:$E$995,4),(VLOOKUP($C19,'CUSTOS REALIZADOS'!$A$11:$E$995,5)))</f>
        <v>0.1</v>
      </c>
      <c r="AJ20" s="28">
        <f>IF(AJ19="",VLOOKUP($C19,'CUSTOS REALIZADOS'!$A$11:$E$995,4),(VLOOKUP($C19,'CUSTOS REALIZADOS'!$A$11:$E$995,5)))</f>
        <v>0.1</v>
      </c>
      <c r="AK20" s="28">
        <f>IF(AK19="",VLOOKUP($C19,'CUSTOS REALIZADOS'!$A$11:$E$995,4),(VLOOKUP($C19,'CUSTOS REALIZADOS'!$A$11:$E$995,5)))</f>
        <v>0.1</v>
      </c>
      <c r="AL20" s="28">
        <f>IF(AL19="",VLOOKUP($C19,'CUSTOS REALIZADOS'!$A$11:$E$995,4),(VLOOKUP($C19,'CUSTOS REALIZADOS'!$A$11:$E$995,5)))</f>
        <v>0.1</v>
      </c>
      <c r="AM20" s="28">
        <f>IF(AM19="",VLOOKUP($C19,'CUSTOS REALIZADOS'!$A$11:$E$995,4),(VLOOKUP($C19,'CUSTOS REALIZADOS'!$A$11:$E$995,5)))</f>
        <v>0.1</v>
      </c>
      <c r="AN20" s="28">
        <f>IF(AN19="",VLOOKUP($C19,'CUSTOS REALIZADOS'!$A$11:$E$995,4),(VLOOKUP($C19,'CUSTOS REALIZADOS'!$A$11:$E$995,5)))</f>
        <v>0.1</v>
      </c>
      <c r="AO20" s="28">
        <f>IF(AO19="",VLOOKUP($C19,'CUSTOS REALIZADOS'!$A$11:$E$995,4),(VLOOKUP($C19,'CUSTOS REALIZADOS'!$A$11:$E$995,5)))</f>
        <v>0.1</v>
      </c>
      <c r="AP20" s="28">
        <f>IF(AP19="",VLOOKUP($C19,'CUSTOS REALIZADOS'!$A$11:$E$995,4),(VLOOKUP($C19,'CUSTOS REALIZADOS'!$A$11:$E$995,5)))</f>
        <v>0.1</v>
      </c>
      <c r="AQ20" s="28">
        <f>IF(AQ19="",VLOOKUP($C19,'CUSTOS REALIZADOS'!$A$11:$E$995,4),(VLOOKUP($C19,'CUSTOS REALIZADOS'!$A$11:$E$995,5)))</f>
        <v>0.1</v>
      </c>
      <c r="AR20" s="28">
        <f>IF(AR19="",VLOOKUP($C19,'CUSTOS REALIZADOS'!$A$11:$E$995,4),(VLOOKUP($C19,'CUSTOS REALIZADOS'!$A$11:$E$995,5)))</f>
        <v>0.1</v>
      </c>
      <c r="AS20" s="28">
        <f>IF(AS19="",VLOOKUP($C19,'CUSTOS REALIZADOS'!$A$11:$E$995,4),(VLOOKUP($C19,'CUSTOS REALIZADOS'!$A$11:$E$995,5)))</f>
        <v>0.1</v>
      </c>
      <c r="AT20" s="28">
        <f>IF(AT19="",VLOOKUP($C19,'CUSTOS REALIZADOS'!$A$11:$E$995,4),(VLOOKUP($C19,'CUSTOS REALIZADOS'!$A$11:$E$995,5)))</f>
        <v>0.1</v>
      </c>
      <c r="AU20" s="28">
        <f>IF(AU19="",VLOOKUP($C19,'CUSTOS REALIZADOS'!$A$11:$E$995,4),(VLOOKUP($C19,'CUSTOS REALIZADOS'!$A$11:$E$995,5)))</f>
        <v>0.1</v>
      </c>
      <c r="AV20" s="28">
        <f>IF(AV19="",VLOOKUP($C19,'CUSTOS REALIZADOS'!$A$11:$E$995,4),(VLOOKUP($C19,'CUSTOS REALIZADOS'!$A$11:$E$995,5)))</f>
        <v>0.1</v>
      </c>
      <c r="AW20" s="28">
        <f>IF(AW19="",VLOOKUP($C19,'CUSTOS REALIZADOS'!$A$11:$E$995,4),(VLOOKUP($C19,'CUSTOS REALIZADOS'!$A$11:$E$995,5)))</f>
        <v>0.1</v>
      </c>
      <c r="AX20" s="28">
        <f>IF(AX19="",VLOOKUP($C19,'CUSTOS REALIZADOS'!$A$11:$E$995,4),(VLOOKUP($C19,'CUSTOS REALIZADOS'!$A$11:$E$995,5)))</f>
        <v>0.1</v>
      </c>
      <c r="AY20" s="28">
        <f>IF(AY19="",VLOOKUP($C19,'CUSTOS REALIZADOS'!$A$11:$E$995,4),(VLOOKUP($C19,'CUSTOS REALIZADOS'!$A$11:$E$995,5)))</f>
        <v>0.1</v>
      </c>
      <c r="AZ20" s="28">
        <f>IF(AZ19="",VLOOKUP($C19,'CUSTOS REALIZADOS'!$A$11:$E$995,4),(VLOOKUP($C19,'CUSTOS REALIZADOS'!$A$11:$E$995,5)))</f>
        <v>0.1</v>
      </c>
      <c r="BA20" s="28">
        <f>IF(BA19="",VLOOKUP($C19,'CUSTOS REALIZADOS'!$A$11:$E$995,4),(VLOOKUP($C19,'CUSTOS REALIZADOS'!$A$11:$E$995,5)))</f>
        <v>0.1</v>
      </c>
      <c r="BB20" s="28">
        <f>IF(BB19="",VLOOKUP($C19,'CUSTOS REALIZADOS'!$A$11:$E$995,4),(VLOOKUP($C19,'CUSTOS REALIZADOS'!$A$11:$E$995,5)))</f>
        <v>0.1</v>
      </c>
      <c r="BC20" s="28">
        <f>IF(BC19="",VLOOKUP($C19,'CUSTOS REALIZADOS'!$A$11:$E$995,4),(VLOOKUP($C19,'CUSTOS REALIZADOS'!$A$11:$E$995,5)))</f>
        <v>0.1</v>
      </c>
      <c r="BD20" s="28">
        <f>IF(BD19="",VLOOKUP($C19,'CUSTOS REALIZADOS'!$A$11:$E$995,4),(VLOOKUP($C19,'CUSTOS REALIZADOS'!$A$11:$E$995,5)))</f>
        <v>0.1</v>
      </c>
      <c r="BE20" s="28">
        <f>IF(BE19="",VLOOKUP($C19,'CUSTOS REALIZADOS'!$A$11:$E$995,4),(VLOOKUP($C19,'CUSTOS REALIZADOS'!$A$11:$E$995,5)))</f>
        <v>0.1</v>
      </c>
      <c r="BF20" s="28">
        <f>IF(BF19="",VLOOKUP($C19,'CUSTOS REALIZADOS'!$A$11:$E$995,4),(VLOOKUP($C19,'CUSTOS REALIZADOS'!$A$11:$E$995,5)))</f>
        <v>0.1</v>
      </c>
      <c r="BG20" s="28">
        <f>IF(BG19="",VLOOKUP($C19,'CUSTOS REALIZADOS'!$A$11:$E$995,4),(VLOOKUP($C19,'CUSTOS REALIZADOS'!$A$11:$E$995,5)))</f>
        <v>0.1</v>
      </c>
      <c r="BH20" s="28">
        <f>IF(BH19="",VLOOKUP($C19,'CUSTOS REALIZADOS'!$A$11:$E$995,4),(VLOOKUP($C19,'CUSTOS REALIZADOS'!$A$11:$E$995,5)))</f>
        <v>0.1</v>
      </c>
      <c r="BI20" s="28">
        <f>IF(BI19="",VLOOKUP($C19,'CUSTOS REALIZADOS'!$A$11:$E$995,4),(VLOOKUP($C19,'CUSTOS REALIZADOS'!$A$11:$E$995,5)))</f>
        <v>0.1</v>
      </c>
      <c r="BJ20" s="28">
        <f>IF(BJ19="",VLOOKUP($C19,'CUSTOS REALIZADOS'!$A$11:$E$995,4),(VLOOKUP($C19,'CUSTOS REALIZADOS'!$A$11:$E$995,5)))</f>
        <v>0.1</v>
      </c>
      <c r="BK20" s="28">
        <f>IF(BK19="",VLOOKUP($C19,'CUSTOS REALIZADOS'!$A$11:$E$995,4),(VLOOKUP($C19,'CUSTOS REALIZADOS'!$A$11:$E$995,5)))</f>
        <v>0.1</v>
      </c>
      <c r="BL20" s="28">
        <f>IF(BL19="",VLOOKUP($C19,'CUSTOS REALIZADOS'!$A$11:$E$995,4),(VLOOKUP($C19,'CUSTOS REALIZADOS'!$A$11:$E$995,5)))</f>
        <v>0.1</v>
      </c>
      <c r="BM20" s="28">
        <f>IF(BM19="",VLOOKUP($C19,'CUSTOS REALIZADOS'!$A$11:$E$995,4),(VLOOKUP($C19,'CUSTOS REALIZADOS'!$A$11:$E$995,5)))</f>
        <v>0.1</v>
      </c>
      <c r="BN20" s="28">
        <f>IF(BN19="",VLOOKUP($C19,'CUSTOS REALIZADOS'!$A$11:$E$995,4),(VLOOKUP($C19,'CUSTOS REALIZADOS'!$A$11:$E$995,5)))</f>
        <v>0.1</v>
      </c>
    </row>
    <row r="21" spans="1:66" x14ac:dyDescent="0.2">
      <c r="C21" s="322"/>
      <c r="D21" s="23" t="s">
        <v>6</v>
      </c>
      <c r="E21" s="27">
        <f>SUM(F21:AY21)</f>
        <v>95000</v>
      </c>
      <c r="F21" s="23">
        <f>IF(AND($C19&gt;=F$6,OR($C19&lt;F$8,F$8="")),F$7*F$28,0)</f>
        <v>0</v>
      </c>
      <c r="G21" s="23">
        <f t="shared" ref="G21:BN21" si="15">IF(AND($C19&gt;=G$6,OR($C19&lt;G$8,G$8="")),G$7*G$28,0)</f>
        <v>45000</v>
      </c>
      <c r="H21" s="23">
        <f t="shared" si="15"/>
        <v>50000</v>
      </c>
      <c r="I21" s="23">
        <f t="shared" si="15"/>
        <v>0</v>
      </c>
      <c r="J21" s="23">
        <f t="shared" si="15"/>
        <v>0</v>
      </c>
      <c r="K21" s="23">
        <f t="shared" si="15"/>
        <v>0</v>
      </c>
      <c r="L21" s="23">
        <f t="shared" si="15"/>
        <v>0</v>
      </c>
      <c r="M21" s="23">
        <f t="shared" si="15"/>
        <v>0</v>
      </c>
      <c r="N21" s="23">
        <f t="shared" si="15"/>
        <v>0</v>
      </c>
      <c r="O21" s="23">
        <f t="shared" si="15"/>
        <v>0</v>
      </c>
      <c r="P21" s="23">
        <f t="shared" si="15"/>
        <v>0</v>
      </c>
      <c r="Q21" s="23">
        <f t="shared" si="15"/>
        <v>0</v>
      </c>
      <c r="R21" s="23">
        <f t="shared" si="15"/>
        <v>0</v>
      </c>
      <c r="S21" s="23">
        <f t="shared" si="15"/>
        <v>0</v>
      </c>
      <c r="T21" s="23">
        <f t="shared" si="15"/>
        <v>0</v>
      </c>
      <c r="U21" s="23">
        <f t="shared" si="15"/>
        <v>0</v>
      </c>
      <c r="V21" s="23">
        <f t="shared" si="15"/>
        <v>0</v>
      </c>
      <c r="W21" s="23">
        <f t="shared" si="15"/>
        <v>0</v>
      </c>
      <c r="X21" s="23">
        <f t="shared" si="15"/>
        <v>0</v>
      </c>
      <c r="Y21" s="23">
        <f t="shared" si="15"/>
        <v>0</v>
      </c>
      <c r="Z21" s="23">
        <f t="shared" si="15"/>
        <v>0</v>
      </c>
      <c r="AA21" s="23">
        <f t="shared" si="15"/>
        <v>0</v>
      </c>
      <c r="AB21" s="23">
        <f t="shared" si="15"/>
        <v>0</v>
      </c>
      <c r="AC21" s="23">
        <f t="shared" si="15"/>
        <v>0</v>
      </c>
      <c r="AD21" s="23">
        <f t="shared" si="15"/>
        <v>0</v>
      </c>
      <c r="AE21" s="23">
        <f t="shared" si="15"/>
        <v>0</v>
      </c>
      <c r="AF21" s="23">
        <f t="shared" si="15"/>
        <v>0</v>
      </c>
      <c r="AG21" s="23">
        <f t="shared" si="15"/>
        <v>0</v>
      </c>
      <c r="AH21" s="23">
        <f t="shared" si="15"/>
        <v>0</v>
      </c>
      <c r="AI21" s="23">
        <f t="shared" si="15"/>
        <v>0</v>
      </c>
      <c r="AJ21" s="23">
        <f t="shared" si="15"/>
        <v>0</v>
      </c>
      <c r="AK21" s="23">
        <f t="shared" si="15"/>
        <v>0</v>
      </c>
      <c r="AL21" s="23">
        <f t="shared" si="15"/>
        <v>0</v>
      </c>
      <c r="AM21" s="23">
        <f t="shared" si="15"/>
        <v>0</v>
      </c>
      <c r="AN21" s="23">
        <f t="shared" si="15"/>
        <v>0</v>
      </c>
      <c r="AO21" s="23">
        <f t="shared" si="15"/>
        <v>0</v>
      </c>
      <c r="AP21" s="23">
        <f t="shared" si="15"/>
        <v>0</v>
      </c>
      <c r="AQ21" s="23">
        <f t="shared" si="15"/>
        <v>0</v>
      </c>
      <c r="AR21" s="23">
        <f t="shared" si="15"/>
        <v>0</v>
      </c>
      <c r="AS21" s="23">
        <f t="shared" si="15"/>
        <v>0</v>
      </c>
      <c r="AT21" s="23">
        <f t="shared" si="15"/>
        <v>0</v>
      </c>
      <c r="AU21" s="23">
        <f t="shared" si="15"/>
        <v>0</v>
      </c>
      <c r="AV21" s="23">
        <f t="shared" si="15"/>
        <v>0</v>
      </c>
      <c r="AW21" s="23">
        <f t="shared" si="15"/>
        <v>0</v>
      </c>
      <c r="AX21" s="23">
        <f t="shared" si="15"/>
        <v>0</v>
      </c>
      <c r="AY21" s="23">
        <f t="shared" si="15"/>
        <v>0</v>
      </c>
      <c r="AZ21" s="23">
        <f t="shared" si="15"/>
        <v>0</v>
      </c>
      <c r="BA21" s="23">
        <f t="shared" si="15"/>
        <v>0</v>
      </c>
      <c r="BB21" s="23">
        <f t="shared" si="15"/>
        <v>0</v>
      </c>
      <c r="BC21" s="23">
        <f t="shared" si="15"/>
        <v>0</v>
      </c>
      <c r="BD21" s="23">
        <f t="shared" si="15"/>
        <v>0</v>
      </c>
      <c r="BE21" s="23">
        <f t="shared" si="15"/>
        <v>0</v>
      </c>
      <c r="BF21" s="23">
        <f t="shared" si="15"/>
        <v>0</v>
      </c>
      <c r="BG21" s="23">
        <f t="shared" si="15"/>
        <v>0</v>
      </c>
      <c r="BH21" s="23">
        <f t="shared" si="15"/>
        <v>0</v>
      </c>
      <c r="BI21" s="23">
        <f t="shared" si="15"/>
        <v>0</v>
      </c>
      <c r="BJ21" s="23">
        <f t="shared" si="15"/>
        <v>0</v>
      </c>
      <c r="BK21" s="23">
        <f t="shared" si="15"/>
        <v>0</v>
      </c>
      <c r="BL21" s="23">
        <f t="shared" si="15"/>
        <v>0</v>
      </c>
      <c r="BM21" s="23">
        <f t="shared" si="15"/>
        <v>0</v>
      </c>
      <c r="BN21" s="23">
        <f t="shared" si="15"/>
        <v>0</v>
      </c>
    </row>
    <row r="22" spans="1:66" x14ac:dyDescent="0.2">
      <c r="C22" s="322"/>
      <c r="D22" s="23" t="s">
        <v>9</v>
      </c>
      <c r="E22" s="27">
        <f>SUM(F22:AY22)</f>
        <v>45300</v>
      </c>
      <c r="F22" s="22">
        <v>300</v>
      </c>
      <c r="G22" s="22">
        <v>45000</v>
      </c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</row>
    <row r="23" spans="1:66" x14ac:dyDescent="0.2">
      <c r="C23" s="322"/>
      <c r="D23" s="23" t="s">
        <v>14</v>
      </c>
      <c r="E23" s="27">
        <f>SUM(F23:AY23)</f>
        <v>855000</v>
      </c>
      <c r="F23" s="23">
        <f>IF(AND($C19&gt;=F$6,OR($C19&lt;F$8,F$8="")),IF(F18=0,F19-F22,F18-F22),0)</f>
        <v>0</v>
      </c>
      <c r="G23" s="23">
        <f>IF(AND($C19&gt;=G$6,OR($C19&lt;G$8,G$8="")),IF(G18=0,G19-G22,G18-G22),0)</f>
        <v>405000</v>
      </c>
      <c r="H23" s="23">
        <f>IF(AND($C19&gt;=H$6,OR($C19&lt;H$8,H$8="")),IF(H18=0,H19-H22,H18-H22),0)</f>
        <v>450000</v>
      </c>
      <c r="I23" s="23">
        <f t="shared" ref="I23:BN23" si="16">IF(I18=0,I19-I22,I18-I22)</f>
        <v>0</v>
      </c>
      <c r="J23" s="23">
        <f t="shared" si="16"/>
        <v>0</v>
      </c>
      <c r="K23" s="23">
        <f t="shared" si="16"/>
        <v>0</v>
      </c>
      <c r="L23" s="23">
        <f t="shared" si="16"/>
        <v>0</v>
      </c>
      <c r="M23" s="23">
        <f t="shared" si="16"/>
        <v>0</v>
      </c>
      <c r="N23" s="23">
        <f t="shared" si="16"/>
        <v>0</v>
      </c>
      <c r="O23" s="23">
        <f t="shared" si="16"/>
        <v>0</v>
      </c>
      <c r="P23" s="23">
        <f t="shared" si="16"/>
        <v>0</v>
      </c>
      <c r="Q23" s="23">
        <f t="shared" si="16"/>
        <v>0</v>
      </c>
      <c r="R23" s="23">
        <f t="shared" si="16"/>
        <v>0</v>
      </c>
      <c r="S23" s="23">
        <f t="shared" si="16"/>
        <v>0</v>
      </c>
      <c r="T23" s="23">
        <f t="shared" si="16"/>
        <v>0</v>
      </c>
      <c r="U23" s="23">
        <f t="shared" si="16"/>
        <v>0</v>
      </c>
      <c r="V23" s="23">
        <f t="shared" si="16"/>
        <v>0</v>
      </c>
      <c r="W23" s="23">
        <f t="shared" si="16"/>
        <v>0</v>
      </c>
      <c r="X23" s="23">
        <f t="shared" si="16"/>
        <v>0</v>
      </c>
      <c r="Y23" s="23">
        <f t="shared" si="16"/>
        <v>0</v>
      </c>
      <c r="Z23" s="23">
        <f t="shared" si="16"/>
        <v>0</v>
      </c>
      <c r="AA23" s="23">
        <f t="shared" si="16"/>
        <v>0</v>
      </c>
      <c r="AB23" s="23">
        <f t="shared" si="16"/>
        <v>0</v>
      </c>
      <c r="AC23" s="23">
        <f t="shared" si="16"/>
        <v>0</v>
      </c>
      <c r="AD23" s="23">
        <f t="shared" si="16"/>
        <v>0</v>
      </c>
      <c r="AE23" s="23">
        <f t="shared" si="16"/>
        <v>0</v>
      </c>
      <c r="AF23" s="23">
        <f t="shared" si="16"/>
        <v>0</v>
      </c>
      <c r="AG23" s="23">
        <f t="shared" si="16"/>
        <v>0</v>
      </c>
      <c r="AH23" s="23">
        <f t="shared" si="16"/>
        <v>0</v>
      </c>
      <c r="AI23" s="23">
        <f t="shared" si="16"/>
        <v>0</v>
      </c>
      <c r="AJ23" s="23">
        <f t="shared" si="16"/>
        <v>0</v>
      </c>
      <c r="AK23" s="23">
        <f t="shared" si="16"/>
        <v>0</v>
      </c>
      <c r="AL23" s="23">
        <f t="shared" si="16"/>
        <v>0</v>
      </c>
      <c r="AM23" s="23">
        <f t="shared" si="16"/>
        <v>0</v>
      </c>
      <c r="AN23" s="23">
        <f t="shared" si="16"/>
        <v>0</v>
      </c>
      <c r="AO23" s="23">
        <f t="shared" si="16"/>
        <v>0</v>
      </c>
      <c r="AP23" s="23">
        <f t="shared" si="16"/>
        <v>0</v>
      </c>
      <c r="AQ23" s="23">
        <f t="shared" si="16"/>
        <v>0</v>
      </c>
      <c r="AR23" s="23">
        <f t="shared" si="16"/>
        <v>0</v>
      </c>
      <c r="AS23" s="23">
        <f t="shared" si="16"/>
        <v>0</v>
      </c>
      <c r="AT23" s="23">
        <f t="shared" si="16"/>
        <v>0</v>
      </c>
      <c r="AU23" s="23">
        <f t="shared" si="16"/>
        <v>0</v>
      </c>
      <c r="AV23" s="23">
        <f t="shared" si="16"/>
        <v>0</v>
      </c>
      <c r="AW23" s="23">
        <f t="shared" si="16"/>
        <v>0</v>
      </c>
      <c r="AX23" s="23">
        <f t="shared" si="16"/>
        <v>0</v>
      </c>
      <c r="AY23" s="23">
        <f t="shared" si="16"/>
        <v>0</v>
      </c>
      <c r="AZ23" s="23">
        <f t="shared" si="16"/>
        <v>0</v>
      </c>
      <c r="BA23" s="23">
        <f t="shared" si="16"/>
        <v>0</v>
      </c>
      <c r="BB23" s="23">
        <f t="shared" si="16"/>
        <v>0</v>
      </c>
      <c r="BC23" s="23">
        <f t="shared" si="16"/>
        <v>0</v>
      </c>
      <c r="BD23" s="23">
        <f t="shared" si="16"/>
        <v>0</v>
      </c>
      <c r="BE23" s="23">
        <f t="shared" si="16"/>
        <v>0</v>
      </c>
      <c r="BF23" s="23">
        <f t="shared" si="16"/>
        <v>0</v>
      </c>
      <c r="BG23" s="23">
        <f t="shared" si="16"/>
        <v>0</v>
      </c>
      <c r="BH23" s="23">
        <f t="shared" si="16"/>
        <v>0</v>
      </c>
      <c r="BI23" s="23">
        <f t="shared" si="16"/>
        <v>0</v>
      </c>
      <c r="BJ23" s="23">
        <f t="shared" si="16"/>
        <v>0</v>
      </c>
      <c r="BK23" s="23">
        <f t="shared" si="16"/>
        <v>0</v>
      </c>
      <c r="BL23" s="23">
        <f t="shared" si="16"/>
        <v>0</v>
      </c>
      <c r="BM23" s="23">
        <f t="shared" si="16"/>
        <v>0</v>
      </c>
      <c r="BN23" s="23">
        <f t="shared" si="16"/>
        <v>0</v>
      </c>
    </row>
    <row r="24" spans="1:66" x14ac:dyDescent="0.2">
      <c r="C24" s="322"/>
      <c r="D24" s="23" t="s">
        <v>10</v>
      </c>
      <c r="E24" s="72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0</v>
      </c>
      <c r="AY24" s="54">
        <v>0</v>
      </c>
      <c r="AZ24" s="54">
        <v>0</v>
      </c>
      <c r="BA24" s="54">
        <v>0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0</v>
      </c>
      <c r="BK24" s="54">
        <v>0</v>
      </c>
      <c r="BL24" s="54">
        <v>0</v>
      </c>
      <c r="BM24" s="54">
        <v>0</v>
      </c>
      <c r="BN24" s="54">
        <v>0</v>
      </c>
    </row>
    <row r="25" spans="1:66" x14ac:dyDescent="0.2">
      <c r="C25" s="322"/>
      <c r="D25" s="23" t="s">
        <v>12</v>
      </c>
      <c r="E25" s="27">
        <f>SUM(F25:BN25)</f>
        <v>0</v>
      </c>
      <c r="F25" s="29">
        <f>+F23*F24</f>
        <v>0</v>
      </c>
      <c r="G25" s="29">
        <f t="shared" ref="G25" si="17">+G23*G24</f>
        <v>0</v>
      </c>
      <c r="H25" s="29">
        <f t="shared" ref="H25:P25" si="18">+H23*H24</f>
        <v>0</v>
      </c>
      <c r="I25" s="29">
        <f t="shared" si="18"/>
        <v>0</v>
      </c>
      <c r="J25" s="29">
        <f t="shared" si="18"/>
        <v>0</v>
      </c>
      <c r="K25" s="29">
        <f t="shared" si="18"/>
        <v>0</v>
      </c>
      <c r="L25" s="29">
        <f t="shared" si="18"/>
        <v>0</v>
      </c>
      <c r="M25" s="29">
        <f t="shared" si="18"/>
        <v>0</v>
      </c>
      <c r="N25" s="29">
        <f t="shared" si="18"/>
        <v>0</v>
      </c>
      <c r="O25" s="29">
        <f t="shared" si="18"/>
        <v>0</v>
      </c>
      <c r="P25" s="29">
        <f t="shared" si="18"/>
        <v>0</v>
      </c>
      <c r="Q25" s="29">
        <f t="shared" ref="Q25" si="19">+Q23*Q24</f>
        <v>0</v>
      </c>
      <c r="R25" s="29">
        <f>+R23*R24</f>
        <v>0</v>
      </c>
      <c r="S25" s="29">
        <f>+S23*S24</f>
        <v>0</v>
      </c>
      <c r="T25" s="29">
        <f t="shared" ref="T25" si="20">+T23*T24</f>
        <v>0</v>
      </c>
      <c r="U25" s="29">
        <f>+U23*U24</f>
        <v>0</v>
      </c>
      <c r="V25" s="29">
        <f t="shared" ref="V25:X25" si="21">+V23*V24</f>
        <v>0</v>
      </c>
      <c r="W25" s="29">
        <f t="shared" si="21"/>
        <v>0</v>
      </c>
      <c r="X25" s="29">
        <f t="shared" si="21"/>
        <v>0</v>
      </c>
      <c r="Y25" s="29">
        <v>0</v>
      </c>
      <c r="Z25" s="29">
        <f>+Z23*Z24</f>
        <v>0</v>
      </c>
      <c r="AA25" s="29">
        <f>+AA23*AA24</f>
        <v>0</v>
      </c>
      <c r="AB25" s="29">
        <f t="shared" ref="AB25:AD25" si="22">+AB23*AB24</f>
        <v>0</v>
      </c>
      <c r="AC25" s="29">
        <f t="shared" si="22"/>
        <v>0</v>
      </c>
      <c r="AD25" s="29">
        <f t="shared" si="22"/>
        <v>0</v>
      </c>
      <c r="AE25" s="29">
        <v>0</v>
      </c>
      <c r="AF25" s="29">
        <f>+AF23*AF24</f>
        <v>0</v>
      </c>
      <c r="AG25" s="29">
        <f t="shared" ref="AG25:AY25" si="23">+AG23*AG24</f>
        <v>0</v>
      </c>
      <c r="AH25" s="29">
        <f t="shared" si="23"/>
        <v>0</v>
      </c>
      <c r="AI25" s="29">
        <f t="shared" si="23"/>
        <v>0</v>
      </c>
      <c r="AJ25" s="29">
        <f t="shared" si="23"/>
        <v>0</v>
      </c>
      <c r="AK25" s="29">
        <f t="shared" si="23"/>
        <v>0</v>
      </c>
      <c r="AL25" s="29">
        <f t="shared" si="23"/>
        <v>0</v>
      </c>
      <c r="AM25" s="29">
        <f t="shared" si="23"/>
        <v>0</v>
      </c>
      <c r="AN25" s="29">
        <f t="shared" si="23"/>
        <v>0</v>
      </c>
      <c r="AO25" s="29">
        <f t="shared" si="23"/>
        <v>0</v>
      </c>
      <c r="AP25" s="29">
        <f t="shared" si="23"/>
        <v>0</v>
      </c>
      <c r="AQ25" s="29">
        <f t="shared" si="23"/>
        <v>0</v>
      </c>
      <c r="AR25" s="29">
        <f t="shared" si="23"/>
        <v>0</v>
      </c>
      <c r="AS25" s="29">
        <f t="shared" si="23"/>
        <v>0</v>
      </c>
      <c r="AT25" s="29">
        <f t="shared" si="23"/>
        <v>0</v>
      </c>
      <c r="AU25" s="29">
        <f t="shared" si="23"/>
        <v>0</v>
      </c>
      <c r="AV25" s="29">
        <f t="shared" si="23"/>
        <v>0</v>
      </c>
      <c r="AW25" s="29">
        <f t="shared" si="23"/>
        <v>0</v>
      </c>
      <c r="AX25" s="29">
        <f t="shared" si="23"/>
        <v>0</v>
      </c>
      <c r="AY25" s="29">
        <f t="shared" si="23"/>
        <v>0</v>
      </c>
      <c r="AZ25" s="29">
        <f t="shared" ref="AZ25:BG25" si="24">+AZ23*AZ24</f>
        <v>0</v>
      </c>
      <c r="BA25" s="29">
        <f t="shared" si="24"/>
        <v>0</v>
      </c>
      <c r="BB25" s="29">
        <f t="shared" si="24"/>
        <v>0</v>
      </c>
      <c r="BC25" s="29">
        <f t="shared" si="24"/>
        <v>0</v>
      </c>
      <c r="BD25" s="29">
        <f t="shared" si="24"/>
        <v>0</v>
      </c>
      <c r="BE25" s="29">
        <f t="shared" si="24"/>
        <v>0</v>
      </c>
      <c r="BF25" s="29">
        <f t="shared" si="24"/>
        <v>0</v>
      </c>
      <c r="BG25" s="29">
        <f t="shared" si="24"/>
        <v>0</v>
      </c>
      <c r="BH25" s="29">
        <f t="shared" ref="BH25:BN25" si="25">+BH23*BH24</f>
        <v>0</v>
      </c>
      <c r="BI25" s="29">
        <f t="shared" si="25"/>
        <v>0</v>
      </c>
      <c r="BJ25" s="29">
        <f t="shared" si="25"/>
        <v>0</v>
      </c>
      <c r="BK25" s="29">
        <f t="shared" si="25"/>
        <v>0</v>
      </c>
      <c r="BL25" s="29">
        <f t="shared" si="25"/>
        <v>0</v>
      </c>
      <c r="BM25" s="29">
        <f t="shared" si="25"/>
        <v>0</v>
      </c>
      <c r="BN25" s="29">
        <f t="shared" si="25"/>
        <v>0</v>
      </c>
    </row>
    <row r="26" spans="1:66" ht="13.5" thickBot="1" x14ac:dyDescent="0.25">
      <c r="C26" s="323"/>
      <c r="D26" s="213" t="s">
        <v>11</v>
      </c>
      <c r="E26" s="30">
        <f>SUM(F26:BN26)</f>
        <v>855000</v>
      </c>
      <c r="F26" s="46">
        <f>+F23+F25</f>
        <v>0</v>
      </c>
      <c r="G26" s="46">
        <f>+G23+G25</f>
        <v>405000</v>
      </c>
      <c r="H26" s="46">
        <f>+H23+H25</f>
        <v>450000</v>
      </c>
      <c r="I26" s="46">
        <f>+I23+I25</f>
        <v>0</v>
      </c>
      <c r="J26" s="46">
        <f t="shared" ref="J26:M26" si="26">+J23+J25</f>
        <v>0</v>
      </c>
      <c r="K26" s="46">
        <f t="shared" si="26"/>
        <v>0</v>
      </c>
      <c r="L26" s="46">
        <f t="shared" si="26"/>
        <v>0</v>
      </c>
      <c r="M26" s="46">
        <f t="shared" si="26"/>
        <v>0</v>
      </c>
      <c r="N26" s="46">
        <f>+N23+N25</f>
        <v>0</v>
      </c>
      <c r="O26" s="46">
        <f t="shared" ref="O26:AY26" si="27">+O23+O25</f>
        <v>0</v>
      </c>
      <c r="P26" s="46">
        <f t="shared" si="27"/>
        <v>0</v>
      </c>
      <c r="Q26" s="46">
        <f t="shared" si="27"/>
        <v>0</v>
      </c>
      <c r="R26" s="46">
        <f t="shared" si="27"/>
        <v>0</v>
      </c>
      <c r="S26" s="46">
        <f t="shared" si="27"/>
        <v>0</v>
      </c>
      <c r="T26" s="46">
        <f t="shared" si="27"/>
        <v>0</v>
      </c>
      <c r="U26" s="46">
        <f t="shared" si="27"/>
        <v>0</v>
      </c>
      <c r="V26" s="46">
        <f t="shared" si="27"/>
        <v>0</v>
      </c>
      <c r="W26" s="46">
        <f t="shared" si="27"/>
        <v>0</v>
      </c>
      <c r="X26" s="46">
        <f t="shared" si="27"/>
        <v>0</v>
      </c>
      <c r="Y26" s="46">
        <f t="shared" si="27"/>
        <v>0</v>
      </c>
      <c r="Z26" s="46">
        <f t="shared" si="27"/>
        <v>0</v>
      </c>
      <c r="AA26" s="46">
        <f t="shared" si="27"/>
        <v>0</v>
      </c>
      <c r="AB26" s="46">
        <f t="shared" si="27"/>
        <v>0</v>
      </c>
      <c r="AC26" s="46">
        <f t="shared" si="27"/>
        <v>0</v>
      </c>
      <c r="AD26" s="46">
        <f t="shared" si="27"/>
        <v>0</v>
      </c>
      <c r="AE26" s="46">
        <f t="shared" si="27"/>
        <v>0</v>
      </c>
      <c r="AF26" s="46">
        <f t="shared" si="27"/>
        <v>0</v>
      </c>
      <c r="AG26" s="46">
        <f t="shared" si="27"/>
        <v>0</v>
      </c>
      <c r="AH26" s="46">
        <f t="shared" si="27"/>
        <v>0</v>
      </c>
      <c r="AI26" s="46">
        <f t="shared" si="27"/>
        <v>0</v>
      </c>
      <c r="AJ26" s="46">
        <f t="shared" si="27"/>
        <v>0</v>
      </c>
      <c r="AK26" s="46">
        <f t="shared" si="27"/>
        <v>0</v>
      </c>
      <c r="AL26" s="46">
        <f t="shared" si="27"/>
        <v>0</v>
      </c>
      <c r="AM26" s="46">
        <f t="shared" si="27"/>
        <v>0</v>
      </c>
      <c r="AN26" s="46">
        <f t="shared" si="27"/>
        <v>0</v>
      </c>
      <c r="AO26" s="46">
        <f t="shared" si="27"/>
        <v>0</v>
      </c>
      <c r="AP26" s="46">
        <f t="shared" si="27"/>
        <v>0</v>
      </c>
      <c r="AQ26" s="46">
        <f t="shared" si="27"/>
        <v>0</v>
      </c>
      <c r="AR26" s="46">
        <f t="shared" si="27"/>
        <v>0</v>
      </c>
      <c r="AS26" s="46">
        <f t="shared" si="27"/>
        <v>0</v>
      </c>
      <c r="AT26" s="46">
        <f t="shared" si="27"/>
        <v>0</v>
      </c>
      <c r="AU26" s="46">
        <f t="shared" si="27"/>
        <v>0</v>
      </c>
      <c r="AV26" s="46">
        <f t="shared" si="27"/>
        <v>0</v>
      </c>
      <c r="AW26" s="46">
        <f t="shared" si="27"/>
        <v>0</v>
      </c>
      <c r="AX26" s="46">
        <f t="shared" si="27"/>
        <v>0</v>
      </c>
      <c r="AY26" s="46">
        <f t="shared" si="27"/>
        <v>0</v>
      </c>
      <c r="AZ26" s="46">
        <f t="shared" ref="AZ26:BG26" si="28">+AZ23+AZ25</f>
        <v>0</v>
      </c>
      <c r="BA26" s="46">
        <f t="shared" si="28"/>
        <v>0</v>
      </c>
      <c r="BB26" s="46">
        <f t="shared" si="28"/>
        <v>0</v>
      </c>
      <c r="BC26" s="46">
        <f t="shared" si="28"/>
        <v>0</v>
      </c>
      <c r="BD26" s="46">
        <f t="shared" si="28"/>
        <v>0</v>
      </c>
      <c r="BE26" s="46">
        <f t="shared" si="28"/>
        <v>0</v>
      </c>
      <c r="BF26" s="46">
        <f t="shared" si="28"/>
        <v>0</v>
      </c>
      <c r="BG26" s="46">
        <f t="shared" si="28"/>
        <v>0</v>
      </c>
      <c r="BH26" s="46">
        <f t="shared" ref="BH26:BN26" si="29">+BH23+BH25</f>
        <v>0</v>
      </c>
      <c r="BI26" s="46">
        <f t="shared" si="29"/>
        <v>0</v>
      </c>
      <c r="BJ26" s="46">
        <f t="shared" si="29"/>
        <v>0</v>
      </c>
      <c r="BK26" s="46">
        <f t="shared" si="29"/>
        <v>0</v>
      </c>
      <c r="BL26" s="46">
        <f t="shared" si="29"/>
        <v>0</v>
      </c>
      <c r="BM26" s="46">
        <f t="shared" si="29"/>
        <v>0</v>
      </c>
      <c r="BN26" s="46">
        <f t="shared" si="29"/>
        <v>0</v>
      </c>
    </row>
    <row r="27" spans="1:66" x14ac:dyDescent="0.2">
      <c r="C27" s="321">
        <v>43617</v>
      </c>
      <c r="D27" s="20" t="s">
        <v>5</v>
      </c>
      <c r="E27" s="50">
        <f>SUM(F27:AY27)</f>
        <v>0</v>
      </c>
      <c r="F27" s="279">
        <f>IF(F$6=$C27,F$7,0)</f>
        <v>0</v>
      </c>
      <c r="G27" s="279">
        <f t="shared" ref="G27:BN27" si="30">IF(G$6=$C27,G$7,0)</f>
        <v>0</v>
      </c>
      <c r="H27" s="279">
        <f t="shared" si="30"/>
        <v>0</v>
      </c>
      <c r="I27" s="279">
        <f t="shared" si="30"/>
        <v>0</v>
      </c>
      <c r="J27" s="279">
        <f t="shared" si="30"/>
        <v>0</v>
      </c>
      <c r="K27" s="279">
        <f t="shared" si="30"/>
        <v>0</v>
      </c>
      <c r="L27" s="279">
        <f t="shared" si="30"/>
        <v>0</v>
      </c>
      <c r="M27" s="279">
        <f t="shared" si="30"/>
        <v>0</v>
      </c>
      <c r="N27" s="279">
        <f t="shared" si="30"/>
        <v>0</v>
      </c>
      <c r="O27" s="279">
        <f t="shared" si="30"/>
        <v>0</v>
      </c>
      <c r="P27" s="279">
        <f t="shared" si="30"/>
        <v>0</v>
      </c>
      <c r="Q27" s="279">
        <f t="shared" si="30"/>
        <v>0</v>
      </c>
      <c r="R27" s="279">
        <f t="shared" si="30"/>
        <v>0</v>
      </c>
      <c r="S27" s="279">
        <f t="shared" si="30"/>
        <v>0</v>
      </c>
      <c r="T27" s="279">
        <f t="shared" si="30"/>
        <v>0</v>
      </c>
      <c r="U27" s="279">
        <f t="shared" si="30"/>
        <v>0</v>
      </c>
      <c r="V27" s="279">
        <f t="shared" si="30"/>
        <v>0</v>
      </c>
      <c r="W27" s="279">
        <f t="shared" si="30"/>
        <v>0</v>
      </c>
      <c r="X27" s="279">
        <f t="shared" si="30"/>
        <v>0</v>
      </c>
      <c r="Y27" s="279">
        <f t="shared" si="30"/>
        <v>0</v>
      </c>
      <c r="Z27" s="279">
        <f t="shared" si="30"/>
        <v>0</v>
      </c>
      <c r="AA27" s="279">
        <f t="shared" si="30"/>
        <v>0</v>
      </c>
      <c r="AB27" s="279">
        <f t="shared" si="30"/>
        <v>0</v>
      </c>
      <c r="AC27" s="279">
        <f t="shared" si="30"/>
        <v>0</v>
      </c>
      <c r="AD27" s="279">
        <f t="shared" si="30"/>
        <v>0</v>
      </c>
      <c r="AE27" s="279">
        <f t="shared" si="30"/>
        <v>0</v>
      </c>
      <c r="AF27" s="279">
        <f t="shared" si="30"/>
        <v>0</v>
      </c>
      <c r="AG27" s="279">
        <f t="shared" si="30"/>
        <v>0</v>
      </c>
      <c r="AH27" s="279">
        <f t="shared" si="30"/>
        <v>0</v>
      </c>
      <c r="AI27" s="279">
        <f t="shared" si="30"/>
        <v>0</v>
      </c>
      <c r="AJ27" s="279">
        <f t="shared" si="30"/>
        <v>0</v>
      </c>
      <c r="AK27" s="279">
        <f t="shared" si="30"/>
        <v>0</v>
      </c>
      <c r="AL27" s="279">
        <f t="shared" si="30"/>
        <v>0</v>
      </c>
      <c r="AM27" s="279">
        <f t="shared" si="30"/>
        <v>0</v>
      </c>
      <c r="AN27" s="279">
        <f t="shared" si="30"/>
        <v>0</v>
      </c>
      <c r="AO27" s="279">
        <f t="shared" si="30"/>
        <v>0</v>
      </c>
      <c r="AP27" s="279">
        <f t="shared" si="30"/>
        <v>0</v>
      </c>
      <c r="AQ27" s="279">
        <f t="shared" si="30"/>
        <v>0</v>
      </c>
      <c r="AR27" s="279">
        <f t="shared" si="30"/>
        <v>0</v>
      </c>
      <c r="AS27" s="279">
        <f t="shared" si="30"/>
        <v>0</v>
      </c>
      <c r="AT27" s="279">
        <f t="shared" si="30"/>
        <v>0</v>
      </c>
      <c r="AU27" s="279">
        <f t="shared" si="30"/>
        <v>0</v>
      </c>
      <c r="AV27" s="279">
        <f t="shared" si="30"/>
        <v>0</v>
      </c>
      <c r="AW27" s="279">
        <f t="shared" si="30"/>
        <v>0</v>
      </c>
      <c r="AX27" s="279">
        <f t="shared" si="30"/>
        <v>0</v>
      </c>
      <c r="AY27" s="279">
        <f t="shared" si="30"/>
        <v>0</v>
      </c>
      <c r="AZ27" s="279">
        <f t="shared" si="30"/>
        <v>0</v>
      </c>
      <c r="BA27" s="279">
        <f t="shared" si="30"/>
        <v>0</v>
      </c>
      <c r="BB27" s="279">
        <f t="shared" si="30"/>
        <v>0</v>
      </c>
      <c r="BC27" s="279">
        <f t="shared" si="30"/>
        <v>0</v>
      </c>
      <c r="BD27" s="279">
        <f t="shared" si="30"/>
        <v>0</v>
      </c>
      <c r="BE27" s="279">
        <f t="shared" si="30"/>
        <v>0</v>
      </c>
      <c r="BF27" s="279">
        <f t="shared" si="30"/>
        <v>0</v>
      </c>
      <c r="BG27" s="279">
        <f t="shared" si="30"/>
        <v>0</v>
      </c>
      <c r="BH27" s="279">
        <f t="shared" si="30"/>
        <v>0</v>
      </c>
      <c r="BI27" s="279">
        <f t="shared" si="30"/>
        <v>0</v>
      </c>
      <c r="BJ27" s="279">
        <f t="shared" si="30"/>
        <v>0</v>
      </c>
      <c r="BK27" s="279">
        <f t="shared" si="30"/>
        <v>0</v>
      </c>
      <c r="BL27" s="279">
        <f t="shared" si="30"/>
        <v>0</v>
      </c>
      <c r="BM27" s="279">
        <f t="shared" si="30"/>
        <v>0</v>
      </c>
      <c r="BN27" s="279">
        <f t="shared" si="30"/>
        <v>0</v>
      </c>
    </row>
    <row r="28" spans="1:66" ht="15.75" x14ac:dyDescent="0.25">
      <c r="A28" s="9" t="s">
        <v>26</v>
      </c>
      <c r="C28" s="322"/>
      <c r="D28" s="23" t="s">
        <v>7</v>
      </c>
      <c r="E28" s="91">
        <f>SUM(F28:AY28)</f>
        <v>4.5999999999999996</v>
      </c>
      <c r="F28" s="28">
        <f>IF(F27="",VLOOKUP($C27,'CUSTOS REALIZADOS'!$A$11:$E$995,4),(VLOOKUP($C27,'CUSTOS REALIZADOS'!$A$11:$E$995,5)))</f>
        <v>0.1</v>
      </c>
      <c r="G28" s="28">
        <f>IF(G27="",VLOOKUP($C27,'CUSTOS REALIZADOS'!$A$11:$E$995,4),(VLOOKUP($C27,'CUSTOS REALIZADOS'!$A$11:$E$995,5)))</f>
        <v>0.1</v>
      </c>
      <c r="H28" s="28">
        <f>IF(H27="",VLOOKUP($C27,'CUSTOS REALIZADOS'!$A$11:$E$995,4),(VLOOKUP($C27,'CUSTOS REALIZADOS'!$A$11:$E$995,5)))</f>
        <v>0.1</v>
      </c>
      <c r="I28" s="28">
        <f>IF(I27="",VLOOKUP($C27,'CUSTOS REALIZADOS'!$A$11:$E$995,4),(VLOOKUP($C27,'CUSTOS REALIZADOS'!$A$11:$E$995,5)))</f>
        <v>0.1</v>
      </c>
      <c r="J28" s="28">
        <f>IF(J27="",VLOOKUP($C27,'CUSTOS REALIZADOS'!$A$11:$E$995,4),(VLOOKUP($C27,'CUSTOS REALIZADOS'!$A$11:$E$995,5)))</f>
        <v>0.1</v>
      </c>
      <c r="K28" s="28">
        <f>IF(K27="",VLOOKUP($C27,'CUSTOS REALIZADOS'!$A$11:$E$995,4),(VLOOKUP($C27,'CUSTOS REALIZADOS'!$A$11:$E$995,5)))</f>
        <v>0.1</v>
      </c>
      <c r="L28" s="28">
        <f>IF(L27="",VLOOKUP($C27,'CUSTOS REALIZADOS'!$A$11:$E$995,4),(VLOOKUP($C27,'CUSTOS REALIZADOS'!$A$11:$E$995,5)))</f>
        <v>0.1</v>
      </c>
      <c r="M28" s="28">
        <f>IF(M27="",VLOOKUP($C27,'CUSTOS REALIZADOS'!$A$11:$E$995,4),(VLOOKUP($C27,'CUSTOS REALIZADOS'!$A$11:$E$995,5)))</f>
        <v>0.1</v>
      </c>
      <c r="N28" s="28">
        <f>IF(N27="",VLOOKUP($C27,'CUSTOS REALIZADOS'!$A$11:$E$995,4),(VLOOKUP($C27,'CUSTOS REALIZADOS'!$A$11:$E$995,5)))</f>
        <v>0.1</v>
      </c>
      <c r="O28" s="28">
        <f>IF(O27="",VLOOKUP($C27,'CUSTOS REALIZADOS'!$A$11:$E$995,4),(VLOOKUP($C27,'CUSTOS REALIZADOS'!$A$11:$E$995,5)))</f>
        <v>0.1</v>
      </c>
      <c r="P28" s="28">
        <f>IF(P27="",VLOOKUP($C27,'CUSTOS REALIZADOS'!$A$11:$E$995,4),(VLOOKUP($C27,'CUSTOS REALIZADOS'!$A$11:$E$995,5)))</f>
        <v>0.1</v>
      </c>
      <c r="Q28" s="28">
        <f>IF(Q27="",VLOOKUP($C27,'CUSTOS REALIZADOS'!$A$11:$E$995,4),(VLOOKUP($C27,'CUSTOS REALIZADOS'!$A$11:$E$995,5)))</f>
        <v>0.1</v>
      </c>
      <c r="R28" s="28">
        <f>IF(R27="",VLOOKUP($C27,'CUSTOS REALIZADOS'!$A$11:$E$995,4),(VLOOKUP($C27,'CUSTOS REALIZADOS'!$A$11:$E$995,5)))</f>
        <v>0.1</v>
      </c>
      <c r="S28" s="28">
        <f>IF(S27="",VLOOKUP($C27,'CUSTOS REALIZADOS'!$A$11:$E$995,4),(VLOOKUP($C27,'CUSTOS REALIZADOS'!$A$11:$E$995,5)))</f>
        <v>0.1</v>
      </c>
      <c r="T28" s="28">
        <f>IF(T27="",VLOOKUP($C27,'CUSTOS REALIZADOS'!$A$11:$E$995,4),(VLOOKUP($C27,'CUSTOS REALIZADOS'!$A$11:$E$995,5)))</f>
        <v>0.1</v>
      </c>
      <c r="U28" s="28">
        <f>IF(U27="",VLOOKUP($C27,'CUSTOS REALIZADOS'!$A$11:$E$995,4),(VLOOKUP($C27,'CUSTOS REALIZADOS'!$A$11:$E$995,5)))</f>
        <v>0.1</v>
      </c>
      <c r="V28" s="28">
        <f>IF(V27="",VLOOKUP($C27,'CUSTOS REALIZADOS'!$A$11:$E$995,4),(VLOOKUP($C27,'CUSTOS REALIZADOS'!$A$11:$E$995,5)))</f>
        <v>0.1</v>
      </c>
      <c r="W28" s="28">
        <f>IF(W27="",VLOOKUP($C27,'CUSTOS REALIZADOS'!$A$11:$E$995,4),(VLOOKUP($C27,'CUSTOS REALIZADOS'!$A$11:$E$995,5)))</f>
        <v>0.1</v>
      </c>
      <c r="X28" s="28">
        <f>IF(X27="",VLOOKUP($C27,'CUSTOS REALIZADOS'!$A$11:$E$995,4),(VLOOKUP($C27,'CUSTOS REALIZADOS'!$A$11:$E$995,5)))</f>
        <v>0.1</v>
      </c>
      <c r="Y28" s="28">
        <f>IF(Y27="",VLOOKUP($C27,'CUSTOS REALIZADOS'!$A$11:$E$995,4),(VLOOKUP($C27,'CUSTOS REALIZADOS'!$A$11:$E$995,5)))</f>
        <v>0.1</v>
      </c>
      <c r="Z28" s="28">
        <f>IF(Z27="",VLOOKUP($C27,'CUSTOS REALIZADOS'!$A$11:$E$995,4),(VLOOKUP($C27,'CUSTOS REALIZADOS'!$A$11:$E$995,5)))</f>
        <v>0.1</v>
      </c>
      <c r="AA28" s="28">
        <f>IF(AA27="",VLOOKUP($C27,'CUSTOS REALIZADOS'!$A$11:$E$995,4),(VLOOKUP($C27,'CUSTOS REALIZADOS'!$A$11:$E$995,5)))</f>
        <v>0.1</v>
      </c>
      <c r="AB28" s="28">
        <f>IF(AB27="",VLOOKUP($C27,'CUSTOS REALIZADOS'!$A$11:$E$995,4),(VLOOKUP($C27,'CUSTOS REALIZADOS'!$A$11:$E$995,5)))</f>
        <v>0.1</v>
      </c>
      <c r="AC28" s="28">
        <f>IF(AC27="",VLOOKUP($C27,'CUSTOS REALIZADOS'!$A$11:$E$995,4),(VLOOKUP($C27,'CUSTOS REALIZADOS'!$A$11:$E$995,5)))</f>
        <v>0.1</v>
      </c>
      <c r="AD28" s="28">
        <f>IF(AD27="",VLOOKUP($C27,'CUSTOS REALIZADOS'!$A$11:$E$995,4),(VLOOKUP($C27,'CUSTOS REALIZADOS'!$A$11:$E$995,5)))</f>
        <v>0.1</v>
      </c>
      <c r="AE28" s="28">
        <f>IF(AE27="",VLOOKUP($C27,'CUSTOS REALIZADOS'!$A$11:$E$995,4),(VLOOKUP($C27,'CUSTOS REALIZADOS'!$A$11:$E$995,5)))</f>
        <v>0.1</v>
      </c>
      <c r="AF28" s="28">
        <f>IF(AF27="",VLOOKUP($C27,'CUSTOS REALIZADOS'!$A$11:$E$995,4),(VLOOKUP($C27,'CUSTOS REALIZADOS'!$A$11:$E$995,5)))</f>
        <v>0.1</v>
      </c>
      <c r="AG28" s="28">
        <f>IF(AG27="",VLOOKUP($C27,'CUSTOS REALIZADOS'!$A$11:$E$995,4),(VLOOKUP($C27,'CUSTOS REALIZADOS'!$A$11:$E$995,5)))</f>
        <v>0.1</v>
      </c>
      <c r="AH28" s="28">
        <f>IF(AH27="",VLOOKUP($C27,'CUSTOS REALIZADOS'!$A$11:$E$995,4),(VLOOKUP($C27,'CUSTOS REALIZADOS'!$A$11:$E$995,5)))</f>
        <v>0.1</v>
      </c>
      <c r="AI28" s="28">
        <f>IF(AI27="",VLOOKUP($C27,'CUSTOS REALIZADOS'!$A$11:$E$995,4),(VLOOKUP($C27,'CUSTOS REALIZADOS'!$A$11:$E$995,5)))</f>
        <v>0.1</v>
      </c>
      <c r="AJ28" s="28">
        <f>IF(AJ27="",VLOOKUP($C27,'CUSTOS REALIZADOS'!$A$11:$E$995,4),(VLOOKUP($C27,'CUSTOS REALIZADOS'!$A$11:$E$995,5)))</f>
        <v>0.1</v>
      </c>
      <c r="AK28" s="28">
        <f>IF(AK27="",VLOOKUP($C27,'CUSTOS REALIZADOS'!$A$11:$E$995,4),(VLOOKUP($C27,'CUSTOS REALIZADOS'!$A$11:$E$995,5)))</f>
        <v>0.1</v>
      </c>
      <c r="AL28" s="28">
        <f>IF(AL27="",VLOOKUP($C27,'CUSTOS REALIZADOS'!$A$11:$E$995,4),(VLOOKUP($C27,'CUSTOS REALIZADOS'!$A$11:$E$995,5)))</f>
        <v>0.1</v>
      </c>
      <c r="AM28" s="28">
        <f>IF(AM27="",VLOOKUP($C27,'CUSTOS REALIZADOS'!$A$11:$E$995,4),(VLOOKUP($C27,'CUSTOS REALIZADOS'!$A$11:$E$995,5)))</f>
        <v>0.1</v>
      </c>
      <c r="AN28" s="28">
        <f>IF(AN27="",VLOOKUP($C27,'CUSTOS REALIZADOS'!$A$11:$E$995,4),(VLOOKUP($C27,'CUSTOS REALIZADOS'!$A$11:$E$995,5)))</f>
        <v>0.1</v>
      </c>
      <c r="AO28" s="28">
        <f>IF(AO27="",VLOOKUP($C27,'CUSTOS REALIZADOS'!$A$11:$E$995,4),(VLOOKUP($C27,'CUSTOS REALIZADOS'!$A$11:$E$995,5)))</f>
        <v>0.1</v>
      </c>
      <c r="AP28" s="28">
        <f>IF(AP27="",VLOOKUP($C27,'CUSTOS REALIZADOS'!$A$11:$E$995,4),(VLOOKUP($C27,'CUSTOS REALIZADOS'!$A$11:$E$995,5)))</f>
        <v>0.1</v>
      </c>
      <c r="AQ28" s="28">
        <f>IF(AQ27="",VLOOKUP($C27,'CUSTOS REALIZADOS'!$A$11:$E$995,4),(VLOOKUP($C27,'CUSTOS REALIZADOS'!$A$11:$E$995,5)))</f>
        <v>0.1</v>
      </c>
      <c r="AR28" s="28">
        <f>IF(AR27="",VLOOKUP($C27,'CUSTOS REALIZADOS'!$A$11:$E$995,4),(VLOOKUP($C27,'CUSTOS REALIZADOS'!$A$11:$E$995,5)))</f>
        <v>0.1</v>
      </c>
      <c r="AS28" s="28">
        <f>IF(AS27="",VLOOKUP($C27,'CUSTOS REALIZADOS'!$A$11:$E$995,4),(VLOOKUP($C27,'CUSTOS REALIZADOS'!$A$11:$E$995,5)))</f>
        <v>0.1</v>
      </c>
      <c r="AT28" s="28">
        <f>IF(AT27="",VLOOKUP($C27,'CUSTOS REALIZADOS'!$A$11:$E$995,4),(VLOOKUP($C27,'CUSTOS REALIZADOS'!$A$11:$E$995,5)))</f>
        <v>0.1</v>
      </c>
      <c r="AU28" s="28">
        <f>IF(AU27="",VLOOKUP($C27,'CUSTOS REALIZADOS'!$A$11:$E$995,4),(VLOOKUP($C27,'CUSTOS REALIZADOS'!$A$11:$E$995,5)))</f>
        <v>0.1</v>
      </c>
      <c r="AV28" s="28">
        <f>IF(AV27="",VLOOKUP($C27,'CUSTOS REALIZADOS'!$A$11:$E$995,4),(VLOOKUP($C27,'CUSTOS REALIZADOS'!$A$11:$E$995,5)))</f>
        <v>0.1</v>
      </c>
      <c r="AW28" s="28">
        <f>IF(AW27="",VLOOKUP($C27,'CUSTOS REALIZADOS'!$A$11:$E$995,4),(VLOOKUP($C27,'CUSTOS REALIZADOS'!$A$11:$E$995,5)))</f>
        <v>0.1</v>
      </c>
      <c r="AX28" s="28">
        <f>IF(AX27="",VLOOKUP($C27,'CUSTOS REALIZADOS'!$A$11:$E$995,4),(VLOOKUP($C27,'CUSTOS REALIZADOS'!$A$11:$E$995,5)))</f>
        <v>0.1</v>
      </c>
      <c r="AY28" s="28">
        <f>IF(AY27="",VLOOKUP($C27,'CUSTOS REALIZADOS'!$A$11:$E$995,4),(VLOOKUP($C27,'CUSTOS REALIZADOS'!$A$11:$E$995,5)))</f>
        <v>0.1</v>
      </c>
      <c r="AZ28" s="28">
        <f>IF(AZ27="",VLOOKUP($C27,'CUSTOS REALIZADOS'!$A$11:$E$995,4),(VLOOKUP($C27,'CUSTOS REALIZADOS'!$A$11:$E$995,5)))</f>
        <v>0.1</v>
      </c>
      <c r="BA28" s="28">
        <f>IF(BA27="",VLOOKUP($C27,'CUSTOS REALIZADOS'!$A$11:$E$995,4),(VLOOKUP($C27,'CUSTOS REALIZADOS'!$A$11:$E$995,5)))</f>
        <v>0.1</v>
      </c>
      <c r="BB28" s="28">
        <f>IF(BB27="",VLOOKUP($C27,'CUSTOS REALIZADOS'!$A$11:$E$995,4),(VLOOKUP($C27,'CUSTOS REALIZADOS'!$A$11:$E$995,5)))</f>
        <v>0.1</v>
      </c>
      <c r="BC28" s="28">
        <f>IF(BC27="",VLOOKUP($C27,'CUSTOS REALIZADOS'!$A$11:$E$995,4),(VLOOKUP($C27,'CUSTOS REALIZADOS'!$A$11:$E$995,5)))</f>
        <v>0.1</v>
      </c>
      <c r="BD28" s="28">
        <f>IF(BD27="",VLOOKUP($C27,'CUSTOS REALIZADOS'!$A$11:$E$995,4),(VLOOKUP($C27,'CUSTOS REALIZADOS'!$A$11:$E$995,5)))</f>
        <v>0.1</v>
      </c>
      <c r="BE28" s="28">
        <f>IF(BE27="",VLOOKUP($C27,'CUSTOS REALIZADOS'!$A$11:$E$995,4),(VLOOKUP($C27,'CUSTOS REALIZADOS'!$A$11:$E$995,5)))</f>
        <v>0.1</v>
      </c>
      <c r="BF28" s="28">
        <f>IF(BF27="",VLOOKUP($C27,'CUSTOS REALIZADOS'!$A$11:$E$995,4),(VLOOKUP($C27,'CUSTOS REALIZADOS'!$A$11:$E$995,5)))</f>
        <v>0.1</v>
      </c>
      <c r="BG28" s="28">
        <f>IF(BG27="",VLOOKUP($C27,'CUSTOS REALIZADOS'!$A$11:$E$995,4),(VLOOKUP($C27,'CUSTOS REALIZADOS'!$A$11:$E$995,5)))</f>
        <v>0.1</v>
      </c>
      <c r="BH28" s="28">
        <f>IF(BH27="",VLOOKUP($C27,'CUSTOS REALIZADOS'!$A$11:$E$995,4),(VLOOKUP($C27,'CUSTOS REALIZADOS'!$A$11:$E$995,5)))</f>
        <v>0.1</v>
      </c>
      <c r="BI28" s="28">
        <f>IF(BI27="",VLOOKUP($C27,'CUSTOS REALIZADOS'!$A$11:$E$995,4),(VLOOKUP($C27,'CUSTOS REALIZADOS'!$A$11:$E$995,5)))</f>
        <v>0.1</v>
      </c>
      <c r="BJ28" s="28">
        <f>IF(BJ27="",VLOOKUP($C27,'CUSTOS REALIZADOS'!$A$11:$E$995,4),(VLOOKUP($C27,'CUSTOS REALIZADOS'!$A$11:$E$995,5)))</f>
        <v>0.1</v>
      </c>
      <c r="BK28" s="28">
        <f>IF(BK27="",VLOOKUP($C27,'CUSTOS REALIZADOS'!$A$11:$E$995,4),(VLOOKUP($C27,'CUSTOS REALIZADOS'!$A$11:$E$995,5)))</f>
        <v>0.1</v>
      </c>
      <c r="BL28" s="28">
        <f>IF(BL27="",VLOOKUP($C27,'CUSTOS REALIZADOS'!$A$11:$E$995,4),(VLOOKUP($C27,'CUSTOS REALIZADOS'!$A$11:$E$995,5)))</f>
        <v>0.1</v>
      </c>
      <c r="BM28" s="28">
        <f>IF(BM27="",VLOOKUP($C27,'CUSTOS REALIZADOS'!$A$11:$E$995,4),(VLOOKUP($C27,'CUSTOS REALIZADOS'!$A$11:$E$995,5)))</f>
        <v>0.1</v>
      </c>
      <c r="BN28" s="28">
        <f>IF(BN27="",VLOOKUP($C27,'CUSTOS REALIZADOS'!$A$11:$E$995,4),(VLOOKUP($C27,'CUSTOS REALIZADOS'!$A$11:$E$995,5)))</f>
        <v>0.1</v>
      </c>
    </row>
    <row r="29" spans="1:66" x14ac:dyDescent="0.2">
      <c r="C29" s="322"/>
      <c r="D29" s="23" t="s">
        <v>6</v>
      </c>
      <c r="E29" s="27">
        <f>SUM(F29:AY29)</f>
        <v>95000</v>
      </c>
      <c r="F29" s="23">
        <f>IF(AND($C27&gt;=F$6,OR($C27&lt;F$8,F$8="")),F$7*F$28,0)</f>
        <v>0</v>
      </c>
      <c r="G29" s="23">
        <f t="shared" ref="G29:BN29" si="31">IF(AND($C27&gt;=G$6,OR($C27&lt;G$8,G$8="")),G$7*G$28,0)</f>
        <v>45000</v>
      </c>
      <c r="H29" s="23">
        <f t="shared" si="31"/>
        <v>50000</v>
      </c>
      <c r="I29" s="23">
        <f t="shared" si="31"/>
        <v>0</v>
      </c>
      <c r="J29" s="23">
        <f t="shared" si="31"/>
        <v>0</v>
      </c>
      <c r="K29" s="23">
        <f t="shared" si="31"/>
        <v>0</v>
      </c>
      <c r="L29" s="23">
        <f t="shared" si="31"/>
        <v>0</v>
      </c>
      <c r="M29" s="23">
        <f t="shared" si="31"/>
        <v>0</v>
      </c>
      <c r="N29" s="23">
        <f t="shared" si="31"/>
        <v>0</v>
      </c>
      <c r="O29" s="23">
        <f t="shared" si="31"/>
        <v>0</v>
      </c>
      <c r="P29" s="23">
        <f t="shared" si="31"/>
        <v>0</v>
      </c>
      <c r="Q29" s="23">
        <f t="shared" si="31"/>
        <v>0</v>
      </c>
      <c r="R29" s="23">
        <f t="shared" si="31"/>
        <v>0</v>
      </c>
      <c r="S29" s="23">
        <f t="shared" si="31"/>
        <v>0</v>
      </c>
      <c r="T29" s="23">
        <f t="shared" si="31"/>
        <v>0</v>
      </c>
      <c r="U29" s="23">
        <f t="shared" si="31"/>
        <v>0</v>
      </c>
      <c r="V29" s="23">
        <f t="shared" si="31"/>
        <v>0</v>
      </c>
      <c r="W29" s="23">
        <f t="shared" si="31"/>
        <v>0</v>
      </c>
      <c r="X29" s="23">
        <f t="shared" si="31"/>
        <v>0</v>
      </c>
      <c r="Y29" s="23">
        <f t="shared" si="31"/>
        <v>0</v>
      </c>
      <c r="Z29" s="23">
        <f t="shared" si="31"/>
        <v>0</v>
      </c>
      <c r="AA29" s="23">
        <f t="shared" si="31"/>
        <v>0</v>
      </c>
      <c r="AB29" s="23">
        <f t="shared" si="31"/>
        <v>0</v>
      </c>
      <c r="AC29" s="23">
        <f t="shared" si="31"/>
        <v>0</v>
      </c>
      <c r="AD29" s="23">
        <f t="shared" si="31"/>
        <v>0</v>
      </c>
      <c r="AE29" s="23">
        <f t="shared" si="31"/>
        <v>0</v>
      </c>
      <c r="AF29" s="23">
        <f t="shared" si="31"/>
        <v>0</v>
      </c>
      <c r="AG29" s="23">
        <f t="shared" si="31"/>
        <v>0</v>
      </c>
      <c r="AH29" s="23">
        <f t="shared" si="31"/>
        <v>0</v>
      </c>
      <c r="AI29" s="23">
        <f t="shared" si="31"/>
        <v>0</v>
      </c>
      <c r="AJ29" s="23">
        <f t="shared" si="31"/>
        <v>0</v>
      </c>
      <c r="AK29" s="23">
        <f t="shared" si="31"/>
        <v>0</v>
      </c>
      <c r="AL29" s="23">
        <f t="shared" si="31"/>
        <v>0</v>
      </c>
      <c r="AM29" s="23">
        <f t="shared" si="31"/>
        <v>0</v>
      </c>
      <c r="AN29" s="23">
        <f t="shared" si="31"/>
        <v>0</v>
      </c>
      <c r="AO29" s="23">
        <f t="shared" si="31"/>
        <v>0</v>
      </c>
      <c r="AP29" s="23">
        <f t="shared" si="31"/>
        <v>0</v>
      </c>
      <c r="AQ29" s="23">
        <f t="shared" si="31"/>
        <v>0</v>
      </c>
      <c r="AR29" s="23">
        <f t="shared" si="31"/>
        <v>0</v>
      </c>
      <c r="AS29" s="23">
        <f t="shared" si="31"/>
        <v>0</v>
      </c>
      <c r="AT29" s="23">
        <f t="shared" si="31"/>
        <v>0</v>
      </c>
      <c r="AU29" s="23">
        <f t="shared" si="31"/>
        <v>0</v>
      </c>
      <c r="AV29" s="23">
        <f t="shared" si="31"/>
        <v>0</v>
      </c>
      <c r="AW29" s="23">
        <f t="shared" si="31"/>
        <v>0</v>
      </c>
      <c r="AX29" s="23">
        <f t="shared" si="31"/>
        <v>0</v>
      </c>
      <c r="AY29" s="23">
        <f t="shared" si="31"/>
        <v>0</v>
      </c>
      <c r="AZ29" s="23">
        <f t="shared" si="31"/>
        <v>0</v>
      </c>
      <c r="BA29" s="23">
        <f t="shared" si="31"/>
        <v>0</v>
      </c>
      <c r="BB29" s="23">
        <f t="shared" si="31"/>
        <v>0</v>
      </c>
      <c r="BC29" s="23">
        <f t="shared" si="31"/>
        <v>0</v>
      </c>
      <c r="BD29" s="23">
        <f t="shared" si="31"/>
        <v>0</v>
      </c>
      <c r="BE29" s="23">
        <f t="shared" si="31"/>
        <v>0</v>
      </c>
      <c r="BF29" s="23">
        <f t="shared" si="31"/>
        <v>0</v>
      </c>
      <c r="BG29" s="23">
        <f t="shared" si="31"/>
        <v>0</v>
      </c>
      <c r="BH29" s="23">
        <f t="shared" si="31"/>
        <v>0</v>
      </c>
      <c r="BI29" s="23">
        <f t="shared" si="31"/>
        <v>0</v>
      </c>
      <c r="BJ29" s="23">
        <f t="shared" si="31"/>
        <v>0</v>
      </c>
      <c r="BK29" s="23">
        <f t="shared" si="31"/>
        <v>0</v>
      </c>
      <c r="BL29" s="23">
        <f t="shared" si="31"/>
        <v>0</v>
      </c>
      <c r="BM29" s="23">
        <f t="shared" si="31"/>
        <v>0</v>
      </c>
      <c r="BN29" s="23">
        <f t="shared" si="31"/>
        <v>0</v>
      </c>
    </row>
    <row r="30" spans="1:66" x14ac:dyDescent="0.2">
      <c r="C30" s="322"/>
      <c r="D30" s="23" t="s">
        <v>9</v>
      </c>
      <c r="E30" s="27">
        <f>SUM(F30:AY30)</f>
        <v>1000</v>
      </c>
      <c r="F30" s="22">
        <v>1000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</row>
    <row r="31" spans="1:66" x14ac:dyDescent="0.2">
      <c r="C31" s="322"/>
      <c r="D31" s="23" t="s">
        <v>14</v>
      </c>
      <c r="E31" s="27">
        <f>SUM(F31:AY31)</f>
        <v>855000</v>
      </c>
      <c r="F31" s="23">
        <f>IF(AND($C27&gt;=F$6,OR($C27&lt;F$8,F$8="")),IF(F26=0,F27-F30,F26-F30),0)</f>
        <v>0</v>
      </c>
      <c r="G31" s="23">
        <f>IF(AND($C27&gt;=G$6,OR($C27&lt;G$8,G$8="")),IF(G26=0,G27-G30,G26-G30),0)</f>
        <v>405000</v>
      </c>
      <c r="H31" s="23">
        <f t="shared" ref="H31:BN31" si="32">IF(H26=0,H27-H30,H26-H30)</f>
        <v>450000</v>
      </c>
      <c r="I31" s="23">
        <f t="shared" si="32"/>
        <v>0</v>
      </c>
      <c r="J31" s="23">
        <f t="shared" si="32"/>
        <v>0</v>
      </c>
      <c r="K31" s="23">
        <f t="shared" si="32"/>
        <v>0</v>
      </c>
      <c r="L31" s="23">
        <f t="shared" si="32"/>
        <v>0</v>
      </c>
      <c r="M31" s="23">
        <f t="shared" si="32"/>
        <v>0</v>
      </c>
      <c r="N31" s="23">
        <f t="shared" si="32"/>
        <v>0</v>
      </c>
      <c r="O31" s="23">
        <f t="shared" si="32"/>
        <v>0</v>
      </c>
      <c r="P31" s="23">
        <f t="shared" si="32"/>
        <v>0</v>
      </c>
      <c r="Q31" s="23">
        <f t="shared" si="32"/>
        <v>0</v>
      </c>
      <c r="R31" s="23">
        <f t="shared" si="32"/>
        <v>0</v>
      </c>
      <c r="S31" s="23">
        <f t="shared" si="32"/>
        <v>0</v>
      </c>
      <c r="T31" s="23">
        <f t="shared" si="32"/>
        <v>0</v>
      </c>
      <c r="U31" s="23">
        <f t="shared" si="32"/>
        <v>0</v>
      </c>
      <c r="V31" s="23">
        <f t="shared" si="32"/>
        <v>0</v>
      </c>
      <c r="W31" s="23">
        <f t="shared" si="32"/>
        <v>0</v>
      </c>
      <c r="X31" s="23">
        <f t="shared" si="32"/>
        <v>0</v>
      </c>
      <c r="Y31" s="23">
        <f t="shared" si="32"/>
        <v>0</v>
      </c>
      <c r="Z31" s="23">
        <f t="shared" si="32"/>
        <v>0</v>
      </c>
      <c r="AA31" s="23">
        <f t="shared" si="32"/>
        <v>0</v>
      </c>
      <c r="AB31" s="23">
        <f t="shared" si="32"/>
        <v>0</v>
      </c>
      <c r="AC31" s="23">
        <f t="shared" si="32"/>
        <v>0</v>
      </c>
      <c r="AD31" s="23">
        <f t="shared" si="32"/>
        <v>0</v>
      </c>
      <c r="AE31" s="23">
        <f t="shared" si="32"/>
        <v>0</v>
      </c>
      <c r="AF31" s="23">
        <f t="shared" si="32"/>
        <v>0</v>
      </c>
      <c r="AG31" s="23">
        <f t="shared" si="32"/>
        <v>0</v>
      </c>
      <c r="AH31" s="23">
        <f t="shared" si="32"/>
        <v>0</v>
      </c>
      <c r="AI31" s="23">
        <f t="shared" si="32"/>
        <v>0</v>
      </c>
      <c r="AJ31" s="23">
        <f t="shared" si="32"/>
        <v>0</v>
      </c>
      <c r="AK31" s="23">
        <f t="shared" si="32"/>
        <v>0</v>
      </c>
      <c r="AL31" s="23">
        <f t="shared" si="32"/>
        <v>0</v>
      </c>
      <c r="AM31" s="23">
        <f t="shared" si="32"/>
        <v>0</v>
      </c>
      <c r="AN31" s="23">
        <f t="shared" si="32"/>
        <v>0</v>
      </c>
      <c r="AO31" s="23">
        <f t="shared" si="32"/>
        <v>0</v>
      </c>
      <c r="AP31" s="23">
        <f t="shared" si="32"/>
        <v>0</v>
      </c>
      <c r="AQ31" s="23">
        <f t="shared" si="32"/>
        <v>0</v>
      </c>
      <c r="AR31" s="23">
        <f t="shared" si="32"/>
        <v>0</v>
      </c>
      <c r="AS31" s="23">
        <f t="shared" si="32"/>
        <v>0</v>
      </c>
      <c r="AT31" s="23">
        <f t="shared" si="32"/>
        <v>0</v>
      </c>
      <c r="AU31" s="23">
        <f t="shared" si="32"/>
        <v>0</v>
      </c>
      <c r="AV31" s="23">
        <f t="shared" si="32"/>
        <v>0</v>
      </c>
      <c r="AW31" s="23">
        <f t="shared" si="32"/>
        <v>0</v>
      </c>
      <c r="AX31" s="23">
        <f t="shared" si="32"/>
        <v>0</v>
      </c>
      <c r="AY31" s="23">
        <f t="shared" si="32"/>
        <v>0</v>
      </c>
      <c r="AZ31" s="23">
        <f t="shared" si="32"/>
        <v>0</v>
      </c>
      <c r="BA31" s="23">
        <f t="shared" si="32"/>
        <v>0</v>
      </c>
      <c r="BB31" s="23">
        <f t="shared" si="32"/>
        <v>0</v>
      </c>
      <c r="BC31" s="23">
        <f t="shared" si="32"/>
        <v>0</v>
      </c>
      <c r="BD31" s="23">
        <f t="shared" si="32"/>
        <v>0</v>
      </c>
      <c r="BE31" s="23">
        <f t="shared" si="32"/>
        <v>0</v>
      </c>
      <c r="BF31" s="23">
        <f t="shared" si="32"/>
        <v>0</v>
      </c>
      <c r="BG31" s="23">
        <f t="shared" si="32"/>
        <v>0</v>
      </c>
      <c r="BH31" s="23">
        <f t="shared" si="32"/>
        <v>0</v>
      </c>
      <c r="BI31" s="23">
        <f t="shared" si="32"/>
        <v>0</v>
      </c>
      <c r="BJ31" s="23">
        <f t="shared" si="32"/>
        <v>0</v>
      </c>
      <c r="BK31" s="23">
        <f t="shared" si="32"/>
        <v>0</v>
      </c>
      <c r="BL31" s="23">
        <f t="shared" si="32"/>
        <v>0</v>
      </c>
      <c r="BM31" s="23">
        <f t="shared" si="32"/>
        <v>0</v>
      </c>
      <c r="BN31" s="23">
        <f t="shared" si="32"/>
        <v>0</v>
      </c>
    </row>
    <row r="32" spans="1:66" x14ac:dyDescent="0.2">
      <c r="C32" s="322"/>
      <c r="D32" s="23" t="s">
        <v>10</v>
      </c>
      <c r="E32" s="72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54">
        <v>0</v>
      </c>
      <c r="AY32" s="54">
        <v>0</v>
      </c>
      <c r="AZ32" s="54">
        <v>0</v>
      </c>
      <c r="BA32" s="54">
        <v>0</v>
      </c>
      <c r="BB32" s="54">
        <v>0</v>
      </c>
      <c r="BC32" s="54">
        <v>0</v>
      </c>
      <c r="BD32" s="54">
        <v>0</v>
      </c>
      <c r="BE32" s="54">
        <v>0</v>
      </c>
      <c r="BF32" s="54">
        <v>0</v>
      </c>
      <c r="BG32" s="54">
        <v>0</v>
      </c>
      <c r="BH32" s="54">
        <v>0</v>
      </c>
      <c r="BI32" s="54">
        <v>0</v>
      </c>
      <c r="BJ32" s="54">
        <v>0</v>
      </c>
      <c r="BK32" s="54">
        <v>0</v>
      </c>
      <c r="BL32" s="54">
        <v>0</v>
      </c>
      <c r="BM32" s="54">
        <v>0</v>
      </c>
      <c r="BN32" s="54">
        <v>0</v>
      </c>
    </row>
    <row r="33" spans="1:66" x14ac:dyDescent="0.2">
      <c r="C33" s="322"/>
      <c r="D33" s="23" t="s">
        <v>12</v>
      </c>
      <c r="E33" s="27">
        <f>SUM(F33:BN33)</f>
        <v>0</v>
      </c>
      <c r="F33" s="29">
        <f>+F31*F32</f>
        <v>0</v>
      </c>
      <c r="G33" s="29">
        <f t="shared" ref="G33" si="33">+G31*G32</f>
        <v>0</v>
      </c>
      <c r="H33" s="29">
        <f t="shared" ref="H33:P33" si="34">+H31*H32</f>
        <v>0</v>
      </c>
      <c r="I33" s="29">
        <f t="shared" si="34"/>
        <v>0</v>
      </c>
      <c r="J33" s="29">
        <f t="shared" si="34"/>
        <v>0</v>
      </c>
      <c r="K33" s="29">
        <f t="shared" si="34"/>
        <v>0</v>
      </c>
      <c r="L33" s="29">
        <f t="shared" si="34"/>
        <v>0</v>
      </c>
      <c r="M33" s="29">
        <f t="shared" si="34"/>
        <v>0</v>
      </c>
      <c r="N33" s="29">
        <f t="shared" si="34"/>
        <v>0</v>
      </c>
      <c r="O33" s="29">
        <f t="shared" si="34"/>
        <v>0</v>
      </c>
      <c r="P33" s="29">
        <f t="shared" si="34"/>
        <v>0</v>
      </c>
      <c r="Q33" s="29">
        <f t="shared" ref="Q33" si="35">+Q31*Q32</f>
        <v>0</v>
      </c>
      <c r="R33" s="29">
        <f>+R31*R32</f>
        <v>0</v>
      </c>
      <c r="S33" s="29">
        <f>+S31*S32</f>
        <v>0</v>
      </c>
      <c r="T33" s="29">
        <f t="shared" ref="T33" si="36">+T31*T32</f>
        <v>0</v>
      </c>
      <c r="U33" s="29">
        <f>+U31*U32</f>
        <v>0</v>
      </c>
      <c r="V33" s="29">
        <f t="shared" ref="V33:X33" si="37">+V31*V32</f>
        <v>0</v>
      </c>
      <c r="W33" s="29">
        <f t="shared" si="37"/>
        <v>0</v>
      </c>
      <c r="X33" s="29">
        <f t="shared" si="37"/>
        <v>0</v>
      </c>
      <c r="Y33" s="29">
        <v>0</v>
      </c>
      <c r="Z33" s="29">
        <f>+Z31*Z32</f>
        <v>0</v>
      </c>
      <c r="AA33" s="29">
        <f>+AA31*AA32</f>
        <v>0</v>
      </c>
      <c r="AB33" s="29">
        <f t="shared" ref="AB33:AD33" si="38">+AB31*AB32</f>
        <v>0</v>
      </c>
      <c r="AC33" s="29">
        <f t="shared" si="38"/>
        <v>0</v>
      </c>
      <c r="AD33" s="29">
        <f t="shared" si="38"/>
        <v>0</v>
      </c>
      <c r="AE33" s="29">
        <v>0</v>
      </c>
      <c r="AF33" s="29">
        <f>+AF31*AF32</f>
        <v>0</v>
      </c>
      <c r="AG33" s="29">
        <f t="shared" ref="AG33:AY33" si="39">+AG31*AG32</f>
        <v>0</v>
      </c>
      <c r="AH33" s="29">
        <f t="shared" si="39"/>
        <v>0</v>
      </c>
      <c r="AI33" s="29">
        <f t="shared" si="39"/>
        <v>0</v>
      </c>
      <c r="AJ33" s="29">
        <f t="shared" si="39"/>
        <v>0</v>
      </c>
      <c r="AK33" s="29">
        <f t="shared" si="39"/>
        <v>0</v>
      </c>
      <c r="AL33" s="29">
        <f t="shared" si="39"/>
        <v>0</v>
      </c>
      <c r="AM33" s="29">
        <f t="shared" si="39"/>
        <v>0</v>
      </c>
      <c r="AN33" s="29">
        <f t="shared" si="39"/>
        <v>0</v>
      </c>
      <c r="AO33" s="29">
        <f t="shared" si="39"/>
        <v>0</v>
      </c>
      <c r="AP33" s="29">
        <f t="shared" si="39"/>
        <v>0</v>
      </c>
      <c r="AQ33" s="29">
        <f t="shared" si="39"/>
        <v>0</v>
      </c>
      <c r="AR33" s="29">
        <f t="shared" si="39"/>
        <v>0</v>
      </c>
      <c r="AS33" s="29">
        <f t="shared" si="39"/>
        <v>0</v>
      </c>
      <c r="AT33" s="29">
        <f t="shared" si="39"/>
        <v>0</v>
      </c>
      <c r="AU33" s="29">
        <f t="shared" si="39"/>
        <v>0</v>
      </c>
      <c r="AV33" s="29">
        <f t="shared" si="39"/>
        <v>0</v>
      </c>
      <c r="AW33" s="29">
        <f t="shared" si="39"/>
        <v>0</v>
      </c>
      <c r="AX33" s="29">
        <f t="shared" si="39"/>
        <v>0</v>
      </c>
      <c r="AY33" s="29">
        <f t="shared" si="39"/>
        <v>0</v>
      </c>
      <c r="AZ33" s="29">
        <f t="shared" ref="AZ33:BG33" si="40">+AZ31*AZ32</f>
        <v>0</v>
      </c>
      <c r="BA33" s="29">
        <f t="shared" si="40"/>
        <v>0</v>
      </c>
      <c r="BB33" s="29">
        <f t="shared" si="40"/>
        <v>0</v>
      </c>
      <c r="BC33" s="29">
        <f t="shared" si="40"/>
        <v>0</v>
      </c>
      <c r="BD33" s="29">
        <f t="shared" si="40"/>
        <v>0</v>
      </c>
      <c r="BE33" s="29">
        <f t="shared" si="40"/>
        <v>0</v>
      </c>
      <c r="BF33" s="29">
        <f t="shared" si="40"/>
        <v>0</v>
      </c>
      <c r="BG33" s="29">
        <f t="shared" si="40"/>
        <v>0</v>
      </c>
      <c r="BH33" s="29">
        <f t="shared" ref="BH33:BN33" si="41">+BH31*BH32</f>
        <v>0</v>
      </c>
      <c r="BI33" s="29">
        <f t="shared" si="41"/>
        <v>0</v>
      </c>
      <c r="BJ33" s="29">
        <f t="shared" si="41"/>
        <v>0</v>
      </c>
      <c r="BK33" s="29">
        <f t="shared" si="41"/>
        <v>0</v>
      </c>
      <c r="BL33" s="29">
        <f t="shared" si="41"/>
        <v>0</v>
      </c>
      <c r="BM33" s="29">
        <f t="shared" si="41"/>
        <v>0</v>
      </c>
      <c r="BN33" s="29">
        <f t="shared" si="41"/>
        <v>0</v>
      </c>
    </row>
    <row r="34" spans="1:66" ht="13.5" thickBot="1" x14ac:dyDescent="0.25">
      <c r="C34" s="323"/>
      <c r="D34" s="25" t="s">
        <v>11</v>
      </c>
      <c r="E34" s="30">
        <f>SUM(F34:BN34)</f>
        <v>855000</v>
      </c>
      <c r="F34" s="46">
        <f>+F31+F33</f>
        <v>0</v>
      </c>
      <c r="G34" s="46">
        <f>+G31+G33</f>
        <v>405000</v>
      </c>
      <c r="H34" s="46">
        <f>+H31+H33</f>
        <v>450000</v>
      </c>
      <c r="I34" s="46">
        <f>+I31+I33</f>
        <v>0</v>
      </c>
      <c r="J34" s="46">
        <f t="shared" ref="J34:M34" si="42">+J31+J33</f>
        <v>0</v>
      </c>
      <c r="K34" s="46">
        <f t="shared" si="42"/>
        <v>0</v>
      </c>
      <c r="L34" s="46">
        <f t="shared" si="42"/>
        <v>0</v>
      </c>
      <c r="M34" s="46">
        <f t="shared" si="42"/>
        <v>0</v>
      </c>
      <c r="N34" s="46">
        <f>+N31+N33</f>
        <v>0</v>
      </c>
      <c r="O34" s="46">
        <f t="shared" ref="O34:AY34" si="43">+O31+O33</f>
        <v>0</v>
      </c>
      <c r="P34" s="46">
        <f t="shared" si="43"/>
        <v>0</v>
      </c>
      <c r="Q34" s="46">
        <f t="shared" si="43"/>
        <v>0</v>
      </c>
      <c r="R34" s="46">
        <f t="shared" si="43"/>
        <v>0</v>
      </c>
      <c r="S34" s="46">
        <f t="shared" si="43"/>
        <v>0</v>
      </c>
      <c r="T34" s="46">
        <f t="shared" si="43"/>
        <v>0</v>
      </c>
      <c r="U34" s="46">
        <f t="shared" si="43"/>
        <v>0</v>
      </c>
      <c r="V34" s="46">
        <f t="shared" si="43"/>
        <v>0</v>
      </c>
      <c r="W34" s="46">
        <f t="shared" si="43"/>
        <v>0</v>
      </c>
      <c r="X34" s="46">
        <f t="shared" si="43"/>
        <v>0</v>
      </c>
      <c r="Y34" s="46">
        <f t="shared" si="43"/>
        <v>0</v>
      </c>
      <c r="Z34" s="46">
        <f t="shared" si="43"/>
        <v>0</v>
      </c>
      <c r="AA34" s="46">
        <f t="shared" si="43"/>
        <v>0</v>
      </c>
      <c r="AB34" s="46">
        <f t="shared" si="43"/>
        <v>0</v>
      </c>
      <c r="AC34" s="46">
        <f t="shared" si="43"/>
        <v>0</v>
      </c>
      <c r="AD34" s="46">
        <f t="shared" si="43"/>
        <v>0</v>
      </c>
      <c r="AE34" s="46">
        <f t="shared" si="43"/>
        <v>0</v>
      </c>
      <c r="AF34" s="46">
        <f t="shared" si="43"/>
        <v>0</v>
      </c>
      <c r="AG34" s="46">
        <f t="shared" si="43"/>
        <v>0</v>
      </c>
      <c r="AH34" s="46">
        <f t="shared" si="43"/>
        <v>0</v>
      </c>
      <c r="AI34" s="46">
        <f t="shared" si="43"/>
        <v>0</v>
      </c>
      <c r="AJ34" s="46">
        <f t="shared" si="43"/>
        <v>0</v>
      </c>
      <c r="AK34" s="46">
        <f t="shared" si="43"/>
        <v>0</v>
      </c>
      <c r="AL34" s="46">
        <f t="shared" si="43"/>
        <v>0</v>
      </c>
      <c r="AM34" s="46">
        <f t="shared" si="43"/>
        <v>0</v>
      </c>
      <c r="AN34" s="46">
        <f t="shared" si="43"/>
        <v>0</v>
      </c>
      <c r="AO34" s="46">
        <f t="shared" si="43"/>
        <v>0</v>
      </c>
      <c r="AP34" s="46">
        <f t="shared" si="43"/>
        <v>0</v>
      </c>
      <c r="AQ34" s="46">
        <f t="shared" si="43"/>
        <v>0</v>
      </c>
      <c r="AR34" s="46">
        <f t="shared" si="43"/>
        <v>0</v>
      </c>
      <c r="AS34" s="46">
        <f t="shared" si="43"/>
        <v>0</v>
      </c>
      <c r="AT34" s="46">
        <f t="shared" si="43"/>
        <v>0</v>
      </c>
      <c r="AU34" s="46">
        <f t="shared" si="43"/>
        <v>0</v>
      </c>
      <c r="AV34" s="46">
        <f>+AV31+AV33</f>
        <v>0</v>
      </c>
      <c r="AW34" s="46">
        <f t="shared" si="43"/>
        <v>0</v>
      </c>
      <c r="AX34" s="46">
        <f t="shared" si="43"/>
        <v>0</v>
      </c>
      <c r="AY34" s="46">
        <f t="shared" si="43"/>
        <v>0</v>
      </c>
      <c r="AZ34" s="46">
        <f t="shared" ref="AZ34:BG34" si="44">+AZ31+AZ33</f>
        <v>0</v>
      </c>
      <c r="BA34" s="46">
        <f t="shared" si="44"/>
        <v>0</v>
      </c>
      <c r="BB34" s="46">
        <f t="shared" si="44"/>
        <v>0</v>
      </c>
      <c r="BC34" s="46">
        <f t="shared" si="44"/>
        <v>0</v>
      </c>
      <c r="BD34" s="46">
        <f t="shared" si="44"/>
        <v>0</v>
      </c>
      <c r="BE34" s="46">
        <f t="shared" si="44"/>
        <v>0</v>
      </c>
      <c r="BF34" s="46">
        <f t="shared" si="44"/>
        <v>0</v>
      </c>
      <c r="BG34" s="46">
        <f t="shared" si="44"/>
        <v>0</v>
      </c>
      <c r="BH34" s="46">
        <f t="shared" ref="BH34:BN34" si="45">+BH31+BH33</f>
        <v>0</v>
      </c>
      <c r="BI34" s="46">
        <f t="shared" si="45"/>
        <v>0</v>
      </c>
      <c r="BJ34" s="46">
        <f t="shared" si="45"/>
        <v>0</v>
      </c>
      <c r="BK34" s="46">
        <f t="shared" si="45"/>
        <v>0</v>
      </c>
      <c r="BL34" s="46">
        <f t="shared" si="45"/>
        <v>0</v>
      </c>
      <c r="BM34" s="46">
        <f t="shared" si="45"/>
        <v>0</v>
      </c>
      <c r="BN34" s="46">
        <f t="shared" si="45"/>
        <v>0</v>
      </c>
    </row>
    <row r="35" spans="1:66" x14ac:dyDescent="0.2">
      <c r="C35" s="321">
        <v>43647</v>
      </c>
      <c r="D35" s="20" t="s">
        <v>5</v>
      </c>
      <c r="E35" s="50">
        <f>SUM(F35:AY35)</f>
        <v>0</v>
      </c>
      <c r="F35" s="279">
        <f>IF(F$6=$C35,F$7,0)</f>
        <v>0</v>
      </c>
      <c r="G35" s="279">
        <f t="shared" ref="G35:BN35" si="46">IF(G$6=$C35,G$7,0)</f>
        <v>0</v>
      </c>
      <c r="H35" s="279">
        <f t="shared" si="46"/>
        <v>0</v>
      </c>
      <c r="I35" s="279">
        <f t="shared" si="46"/>
        <v>0</v>
      </c>
      <c r="J35" s="279">
        <f t="shared" si="46"/>
        <v>0</v>
      </c>
      <c r="K35" s="279">
        <f t="shared" si="46"/>
        <v>0</v>
      </c>
      <c r="L35" s="279">
        <f t="shared" si="46"/>
        <v>0</v>
      </c>
      <c r="M35" s="279">
        <f t="shared" si="46"/>
        <v>0</v>
      </c>
      <c r="N35" s="279">
        <f t="shared" si="46"/>
        <v>0</v>
      </c>
      <c r="O35" s="279">
        <f t="shared" si="46"/>
        <v>0</v>
      </c>
      <c r="P35" s="279">
        <f t="shared" si="46"/>
        <v>0</v>
      </c>
      <c r="Q35" s="279">
        <f t="shared" si="46"/>
        <v>0</v>
      </c>
      <c r="R35" s="279">
        <f t="shared" si="46"/>
        <v>0</v>
      </c>
      <c r="S35" s="279">
        <f t="shared" si="46"/>
        <v>0</v>
      </c>
      <c r="T35" s="279">
        <f t="shared" si="46"/>
        <v>0</v>
      </c>
      <c r="U35" s="279">
        <f t="shared" si="46"/>
        <v>0</v>
      </c>
      <c r="V35" s="279">
        <f t="shared" si="46"/>
        <v>0</v>
      </c>
      <c r="W35" s="279">
        <f t="shared" si="46"/>
        <v>0</v>
      </c>
      <c r="X35" s="279">
        <f t="shared" si="46"/>
        <v>0</v>
      </c>
      <c r="Y35" s="279">
        <f t="shared" si="46"/>
        <v>0</v>
      </c>
      <c r="Z35" s="279">
        <f t="shared" si="46"/>
        <v>0</v>
      </c>
      <c r="AA35" s="279">
        <f t="shared" si="46"/>
        <v>0</v>
      </c>
      <c r="AB35" s="279">
        <f t="shared" si="46"/>
        <v>0</v>
      </c>
      <c r="AC35" s="279">
        <f t="shared" si="46"/>
        <v>0</v>
      </c>
      <c r="AD35" s="279">
        <f t="shared" si="46"/>
        <v>0</v>
      </c>
      <c r="AE35" s="279">
        <f t="shared" si="46"/>
        <v>0</v>
      </c>
      <c r="AF35" s="279">
        <f t="shared" si="46"/>
        <v>0</v>
      </c>
      <c r="AG35" s="279">
        <f t="shared" si="46"/>
        <v>0</v>
      </c>
      <c r="AH35" s="279">
        <f t="shared" si="46"/>
        <v>0</v>
      </c>
      <c r="AI35" s="279">
        <f t="shared" si="46"/>
        <v>0</v>
      </c>
      <c r="AJ35" s="279">
        <f t="shared" si="46"/>
        <v>0</v>
      </c>
      <c r="AK35" s="279">
        <f t="shared" si="46"/>
        <v>0</v>
      </c>
      <c r="AL35" s="279">
        <f t="shared" si="46"/>
        <v>0</v>
      </c>
      <c r="AM35" s="279">
        <f t="shared" si="46"/>
        <v>0</v>
      </c>
      <c r="AN35" s="279">
        <f t="shared" si="46"/>
        <v>0</v>
      </c>
      <c r="AO35" s="279">
        <f t="shared" si="46"/>
        <v>0</v>
      </c>
      <c r="AP35" s="279">
        <f t="shared" si="46"/>
        <v>0</v>
      </c>
      <c r="AQ35" s="279">
        <f t="shared" si="46"/>
        <v>0</v>
      </c>
      <c r="AR35" s="279">
        <f t="shared" si="46"/>
        <v>0</v>
      </c>
      <c r="AS35" s="279">
        <f t="shared" si="46"/>
        <v>0</v>
      </c>
      <c r="AT35" s="279">
        <f t="shared" si="46"/>
        <v>0</v>
      </c>
      <c r="AU35" s="279">
        <f t="shared" si="46"/>
        <v>0</v>
      </c>
      <c r="AV35" s="279">
        <f t="shared" si="46"/>
        <v>0</v>
      </c>
      <c r="AW35" s="279">
        <f t="shared" si="46"/>
        <v>0</v>
      </c>
      <c r="AX35" s="279">
        <f t="shared" si="46"/>
        <v>0</v>
      </c>
      <c r="AY35" s="279">
        <f t="shared" si="46"/>
        <v>0</v>
      </c>
      <c r="AZ35" s="279">
        <f t="shared" si="46"/>
        <v>0</v>
      </c>
      <c r="BA35" s="279">
        <f t="shared" si="46"/>
        <v>0</v>
      </c>
      <c r="BB35" s="279">
        <f t="shared" si="46"/>
        <v>0</v>
      </c>
      <c r="BC35" s="279">
        <f t="shared" si="46"/>
        <v>0</v>
      </c>
      <c r="BD35" s="279">
        <f t="shared" si="46"/>
        <v>0</v>
      </c>
      <c r="BE35" s="279">
        <f t="shared" si="46"/>
        <v>0</v>
      </c>
      <c r="BF35" s="279">
        <f t="shared" si="46"/>
        <v>0</v>
      </c>
      <c r="BG35" s="279">
        <f t="shared" si="46"/>
        <v>0</v>
      </c>
      <c r="BH35" s="279">
        <f t="shared" si="46"/>
        <v>0</v>
      </c>
      <c r="BI35" s="279">
        <f t="shared" si="46"/>
        <v>0</v>
      </c>
      <c r="BJ35" s="279">
        <f t="shared" si="46"/>
        <v>0</v>
      </c>
      <c r="BK35" s="279">
        <f t="shared" si="46"/>
        <v>0</v>
      </c>
      <c r="BL35" s="279">
        <f t="shared" si="46"/>
        <v>0</v>
      </c>
      <c r="BM35" s="279">
        <f t="shared" si="46"/>
        <v>0</v>
      </c>
      <c r="BN35" s="279">
        <f t="shared" si="46"/>
        <v>0</v>
      </c>
    </row>
    <row r="36" spans="1:66" ht="15.75" x14ac:dyDescent="0.25">
      <c r="A36" s="9" t="s">
        <v>26</v>
      </c>
      <c r="C36" s="322"/>
      <c r="D36" s="23" t="s">
        <v>7</v>
      </c>
      <c r="E36" s="91">
        <f>SUM(F36:BN36)</f>
        <v>6.0999999999999943</v>
      </c>
      <c r="F36" s="28">
        <f>IF(F35="",VLOOKUP($C35,'CUSTOS REALIZADOS'!$A$11:$E$995,4),(VLOOKUP($C35,'CUSTOS REALIZADOS'!$A$11:$E$995,5)))</f>
        <v>0.1</v>
      </c>
      <c r="G36" s="28">
        <f>IF(G35="",VLOOKUP($C35,'CUSTOS REALIZADOS'!$A$11:$E$995,4),(VLOOKUP($C35,'CUSTOS REALIZADOS'!$A$11:$E$995,5)))</f>
        <v>0.1</v>
      </c>
      <c r="H36" s="28">
        <f>IF(H35="",VLOOKUP($C35,'CUSTOS REALIZADOS'!$A$11:$E$995,4),(VLOOKUP($C35,'CUSTOS REALIZADOS'!$A$11:$E$995,5)))</f>
        <v>0.1</v>
      </c>
      <c r="I36" s="28">
        <f>IF(I35="",VLOOKUP($C35,'CUSTOS REALIZADOS'!$A$11:$E$995,4),(VLOOKUP($C35,'CUSTOS REALIZADOS'!$A$11:$E$995,5)))</f>
        <v>0.1</v>
      </c>
      <c r="J36" s="28">
        <f>IF(J35="",VLOOKUP($C35,'CUSTOS REALIZADOS'!$A$11:$E$995,4),(VLOOKUP($C35,'CUSTOS REALIZADOS'!$A$11:$E$995,5)))</f>
        <v>0.1</v>
      </c>
      <c r="K36" s="28">
        <f>IF(K35="",VLOOKUP($C35,'CUSTOS REALIZADOS'!$A$11:$E$995,4),(VLOOKUP($C35,'CUSTOS REALIZADOS'!$A$11:$E$995,5)))</f>
        <v>0.1</v>
      </c>
      <c r="L36" s="28">
        <f>IF(L35="",VLOOKUP($C35,'CUSTOS REALIZADOS'!$A$11:$E$995,4),(VLOOKUP($C35,'CUSTOS REALIZADOS'!$A$11:$E$995,5)))</f>
        <v>0.1</v>
      </c>
      <c r="M36" s="28">
        <f>IF(M35="",VLOOKUP($C35,'CUSTOS REALIZADOS'!$A$11:$E$995,4),(VLOOKUP($C35,'CUSTOS REALIZADOS'!$A$11:$E$995,5)))</f>
        <v>0.1</v>
      </c>
      <c r="N36" s="28">
        <f>IF(N35="",VLOOKUP($C35,'CUSTOS REALIZADOS'!$A$11:$E$995,4),(VLOOKUP($C35,'CUSTOS REALIZADOS'!$A$11:$E$995,5)))</f>
        <v>0.1</v>
      </c>
      <c r="O36" s="28">
        <f>IF(O35="",VLOOKUP($C35,'CUSTOS REALIZADOS'!$A$11:$E$995,4),(VLOOKUP($C35,'CUSTOS REALIZADOS'!$A$11:$E$995,5)))</f>
        <v>0.1</v>
      </c>
      <c r="P36" s="28">
        <f>IF(P35="",VLOOKUP($C35,'CUSTOS REALIZADOS'!$A$11:$E$995,4),(VLOOKUP($C35,'CUSTOS REALIZADOS'!$A$11:$E$995,5)))</f>
        <v>0.1</v>
      </c>
      <c r="Q36" s="28">
        <f>IF(Q35="",VLOOKUP($C35,'CUSTOS REALIZADOS'!$A$11:$E$995,4),(VLOOKUP($C35,'CUSTOS REALIZADOS'!$A$11:$E$995,5)))</f>
        <v>0.1</v>
      </c>
      <c r="R36" s="28">
        <f>IF(R35="",VLOOKUP($C35,'CUSTOS REALIZADOS'!$A$11:$E$995,4),(VLOOKUP($C35,'CUSTOS REALIZADOS'!$A$11:$E$995,5)))</f>
        <v>0.1</v>
      </c>
      <c r="S36" s="28">
        <f>IF(S35="",VLOOKUP($C35,'CUSTOS REALIZADOS'!$A$11:$E$995,4),(VLOOKUP($C35,'CUSTOS REALIZADOS'!$A$11:$E$995,5)))</f>
        <v>0.1</v>
      </c>
      <c r="T36" s="28">
        <f>IF(T35="",VLOOKUP($C35,'CUSTOS REALIZADOS'!$A$11:$E$995,4),(VLOOKUP($C35,'CUSTOS REALIZADOS'!$A$11:$E$995,5)))</f>
        <v>0.1</v>
      </c>
      <c r="U36" s="28">
        <f>IF(U35="",VLOOKUP($C35,'CUSTOS REALIZADOS'!$A$11:$E$995,4),(VLOOKUP($C35,'CUSTOS REALIZADOS'!$A$11:$E$995,5)))</f>
        <v>0.1</v>
      </c>
      <c r="V36" s="28">
        <f>IF(V35="",VLOOKUP($C35,'CUSTOS REALIZADOS'!$A$11:$E$995,4),(VLOOKUP($C35,'CUSTOS REALIZADOS'!$A$11:$E$995,5)))</f>
        <v>0.1</v>
      </c>
      <c r="W36" s="28">
        <f>IF(W35="",VLOOKUP($C35,'CUSTOS REALIZADOS'!$A$11:$E$995,4),(VLOOKUP($C35,'CUSTOS REALIZADOS'!$A$11:$E$995,5)))</f>
        <v>0.1</v>
      </c>
      <c r="X36" s="28">
        <f>IF(X35="",VLOOKUP($C35,'CUSTOS REALIZADOS'!$A$11:$E$995,4),(VLOOKUP($C35,'CUSTOS REALIZADOS'!$A$11:$E$995,5)))</f>
        <v>0.1</v>
      </c>
      <c r="Y36" s="28">
        <f>IF(Y35="",VLOOKUP($C35,'CUSTOS REALIZADOS'!$A$11:$E$995,4),(VLOOKUP($C35,'CUSTOS REALIZADOS'!$A$11:$E$995,5)))</f>
        <v>0.1</v>
      </c>
      <c r="Z36" s="28">
        <f>IF(Z35="",VLOOKUP($C35,'CUSTOS REALIZADOS'!$A$11:$E$995,4),(VLOOKUP($C35,'CUSTOS REALIZADOS'!$A$11:$E$995,5)))</f>
        <v>0.1</v>
      </c>
      <c r="AA36" s="28">
        <f>IF(AA35="",VLOOKUP($C35,'CUSTOS REALIZADOS'!$A$11:$E$995,4),(VLOOKUP($C35,'CUSTOS REALIZADOS'!$A$11:$E$995,5)))</f>
        <v>0.1</v>
      </c>
      <c r="AB36" s="28">
        <f>IF(AB35="",VLOOKUP($C35,'CUSTOS REALIZADOS'!$A$11:$E$995,4),(VLOOKUP($C35,'CUSTOS REALIZADOS'!$A$11:$E$995,5)))</f>
        <v>0.1</v>
      </c>
      <c r="AC36" s="28">
        <f>IF(AC35="",VLOOKUP($C35,'CUSTOS REALIZADOS'!$A$11:$E$995,4),(VLOOKUP($C35,'CUSTOS REALIZADOS'!$A$11:$E$995,5)))</f>
        <v>0.1</v>
      </c>
      <c r="AD36" s="28">
        <f>IF(AD35="",VLOOKUP($C35,'CUSTOS REALIZADOS'!$A$11:$E$995,4),(VLOOKUP($C35,'CUSTOS REALIZADOS'!$A$11:$E$995,5)))</f>
        <v>0.1</v>
      </c>
      <c r="AE36" s="28">
        <f>IF(AE35="",VLOOKUP($C35,'CUSTOS REALIZADOS'!$A$11:$E$995,4),(VLOOKUP($C35,'CUSTOS REALIZADOS'!$A$11:$E$995,5)))</f>
        <v>0.1</v>
      </c>
      <c r="AF36" s="28">
        <f>IF(AF35="",VLOOKUP($C35,'CUSTOS REALIZADOS'!$A$11:$E$995,4),(VLOOKUP($C35,'CUSTOS REALIZADOS'!$A$11:$E$995,5)))</f>
        <v>0.1</v>
      </c>
      <c r="AG36" s="28">
        <f>IF(AG35="",VLOOKUP($C35,'CUSTOS REALIZADOS'!$A$11:$E$995,4),(VLOOKUP($C35,'CUSTOS REALIZADOS'!$A$11:$E$995,5)))</f>
        <v>0.1</v>
      </c>
      <c r="AH36" s="28">
        <f>IF(AH35="",VLOOKUP($C35,'CUSTOS REALIZADOS'!$A$11:$E$995,4),(VLOOKUP($C35,'CUSTOS REALIZADOS'!$A$11:$E$995,5)))</f>
        <v>0.1</v>
      </c>
      <c r="AI36" s="28">
        <f>IF(AI35="",VLOOKUP($C35,'CUSTOS REALIZADOS'!$A$11:$E$995,4),(VLOOKUP($C35,'CUSTOS REALIZADOS'!$A$11:$E$995,5)))</f>
        <v>0.1</v>
      </c>
      <c r="AJ36" s="28">
        <f>IF(AJ35="",VLOOKUP($C35,'CUSTOS REALIZADOS'!$A$11:$E$995,4),(VLOOKUP($C35,'CUSTOS REALIZADOS'!$A$11:$E$995,5)))</f>
        <v>0.1</v>
      </c>
      <c r="AK36" s="28">
        <f>IF(AK35="",VLOOKUP($C35,'CUSTOS REALIZADOS'!$A$11:$E$995,4),(VLOOKUP($C35,'CUSTOS REALIZADOS'!$A$11:$E$995,5)))</f>
        <v>0.1</v>
      </c>
      <c r="AL36" s="28">
        <f>IF(AL35="",VLOOKUP($C35,'CUSTOS REALIZADOS'!$A$11:$E$995,4),(VLOOKUP($C35,'CUSTOS REALIZADOS'!$A$11:$E$995,5)))</f>
        <v>0.1</v>
      </c>
      <c r="AM36" s="28">
        <f>IF(AM35="",VLOOKUP($C35,'CUSTOS REALIZADOS'!$A$11:$E$995,4),(VLOOKUP($C35,'CUSTOS REALIZADOS'!$A$11:$E$995,5)))</f>
        <v>0.1</v>
      </c>
      <c r="AN36" s="28">
        <f>IF(AN35="",VLOOKUP($C35,'CUSTOS REALIZADOS'!$A$11:$E$995,4),(VLOOKUP($C35,'CUSTOS REALIZADOS'!$A$11:$E$995,5)))</f>
        <v>0.1</v>
      </c>
      <c r="AO36" s="28">
        <f>IF(AO35="",VLOOKUP($C35,'CUSTOS REALIZADOS'!$A$11:$E$995,4),(VLOOKUP($C35,'CUSTOS REALIZADOS'!$A$11:$E$995,5)))</f>
        <v>0.1</v>
      </c>
      <c r="AP36" s="28">
        <f>IF(AP35="",VLOOKUP($C35,'CUSTOS REALIZADOS'!$A$11:$E$995,4),(VLOOKUP($C35,'CUSTOS REALIZADOS'!$A$11:$E$995,5)))</f>
        <v>0.1</v>
      </c>
      <c r="AQ36" s="28">
        <f>IF(AQ35="",VLOOKUP($C35,'CUSTOS REALIZADOS'!$A$11:$E$995,4),(VLOOKUP($C35,'CUSTOS REALIZADOS'!$A$11:$E$995,5)))</f>
        <v>0.1</v>
      </c>
      <c r="AR36" s="28">
        <f>IF(AR35="",VLOOKUP($C35,'CUSTOS REALIZADOS'!$A$11:$E$995,4),(VLOOKUP($C35,'CUSTOS REALIZADOS'!$A$11:$E$995,5)))</f>
        <v>0.1</v>
      </c>
      <c r="AS36" s="28">
        <f>IF(AS35="",VLOOKUP($C35,'CUSTOS REALIZADOS'!$A$11:$E$995,4),(VLOOKUP($C35,'CUSTOS REALIZADOS'!$A$11:$E$995,5)))</f>
        <v>0.1</v>
      </c>
      <c r="AT36" s="28">
        <f>IF(AT35="",VLOOKUP($C35,'CUSTOS REALIZADOS'!$A$11:$E$995,4),(VLOOKUP($C35,'CUSTOS REALIZADOS'!$A$11:$E$995,5)))</f>
        <v>0.1</v>
      </c>
      <c r="AU36" s="28">
        <f>IF(AU35="",VLOOKUP($C35,'CUSTOS REALIZADOS'!$A$11:$E$995,4),(VLOOKUP($C35,'CUSTOS REALIZADOS'!$A$11:$E$995,5)))</f>
        <v>0.1</v>
      </c>
      <c r="AV36" s="28">
        <f>IF(AV35="",VLOOKUP($C35,'CUSTOS REALIZADOS'!$A$11:$E$995,4),(VLOOKUP($C35,'CUSTOS REALIZADOS'!$A$11:$E$995,5)))</f>
        <v>0.1</v>
      </c>
      <c r="AW36" s="28">
        <f>IF(AW35="",VLOOKUP($C35,'CUSTOS REALIZADOS'!$A$11:$E$995,4),(VLOOKUP($C35,'CUSTOS REALIZADOS'!$A$11:$E$995,5)))</f>
        <v>0.1</v>
      </c>
      <c r="AX36" s="28">
        <f>IF(AX35="",VLOOKUP($C35,'CUSTOS REALIZADOS'!$A$11:$E$995,4),(VLOOKUP($C35,'CUSTOS REALIZADOS'!$A$11:$E$995,5)))</f>
        <v>0.1</v>
      </c>
      <c r="AY36" s="28">
        <f>IF(AY35="",VLOOKUP($C35,'CUSTOS REALIZADOS'!$A$11:$E$995,4),(VLOOKUP($C35,'CUSTOS REALIZADOS'!$A$11:$E$995,5)))</f>
        <v>0.1</v>
      </c>
      <c r="AZ36" s="28">
        <f>IF(AZ35="",VLOOKUP($C35,'CUSTOS REALIZADOS'!$A$11:$E$995,4),(VLOOKUP($C35,'CUSTOS REALIZADOS'!$A$11:$E$995,5)))</f>
        <v>0.1</v>
      </c>
      <c r="BA36" s="28">
        <f>IF(BA35="",VLOOKUP($C35,'CUSTOS REALIZADOS'!$A$11:$E$995,4),(VLOOKUP($C35,'CUSTOS REALIZADOS'!$A$11:$E$995,5)))</f>
        <v>0.1</v>
      </c>
      <c r="BB36" s="28">
        <f>IF(BB35="",VLOOKUP($C35,'CUSTOS REALIZADOS'!$A$11:$E$995,4),(VLOOKUP($C35,'CUSTOS REALIZADOS'!$A$11:$E$995,5)))</f>
        <v>0.1</v>
      </c>
      <c r="BC36" s="28">
        <f>IF(BC35="",VLOOKUP($C35,'CUSTOS REALIZADOS'!$A$11:$E$995,4),(VLOOKUP($C35,'CUSTOS REALIZADOS'!$A$11:$E$995,5)))</f>
        <v>0.1</v>
      </c>
      <c r="BD36" s="28">
        <f>IF(BD35="",VLOOKUP($C35,'CUSTOS REALIZADOS'!$A$11:$E$995,4),(VLOOKUP($C35,'CUSTOS REALIZADOS'!$A$11:$E$995,5)))</f>
        <v>0.1</v>
      </c>
      <c r="BE36" s="28">
        <f>IF(BE35="",VLOOKUP($C35,'CUSTOS REALIZADOS'!$A$11:$E$995,4),(VLOOKUP($C35,'CUSTOS REALIZADOS'!$A$11:$E$995,5)))</f>
        <v>0.1</v>
      </c>
      <c r="BF36" s="28">
        <f>IF(BF35="",VLOOKUP($C35,'CUSTOS REALIZADOS'!$A$11:$E$995,4),(VLOOKUP($C35,'CUSTOS REALIZADOS'!$A$11:$E$995,5)))</f>
        <v>0.1</v>
      </c>
      <c r="BG36" s="28">
        <f>IF(BG35="",VLOOKUP($C35,'CUSTOS REALIZADOS'!$A$11:$E$995,4),(VLOOKUP($C35,'CUSTOS REALIZADOS'!$A$11:$E$995,5)))</f>
        <v>0.1</v>
      </c>
      <c r="BH36" s="28">
        <f>IF(BH35="",VLOOKUP($C35,'CUSTOS REALIZADOS'!$A$11:$E$995,4),(VLOOKUP($C35,'CUSTOS REALIZADOS'!$A$11:$E$995,5)))</f>
        <v>0.1</v>
      </c>
      <c r="BI36" s="28">
        <f>IF(BI35="",VLOOKUP($C35,'CUSTOS REALIZADOS'!$A$11:$E$995,4),(VLOOKUP($C35,'CUSTOS REALIZADOS'!$A$11:$E$995,5)))</f>
        <v>0.1</v>
      </c>
      <c r="BJ36" s="28">
        <f>IF(BJ35="",VLOOKUP($C35,'CUSTOS REALIZADOS'!$A$11:$E$995,4),(VLOOKUP($C35,'CUSTOS REALIZADOS'!$A$11:$E$995,5)))</f>
        <v>0.1</v>
      </c>
      <c r="BK36" s="28">
        <f>IF(BK35="",VLOOKUP($C35,'CUSTOS REALIZADOS'!$A$11:$E$995,4),(VLOOKUP($C35,'CUSTOS REALIZADOS'!$A$11:$E$995,5)))</f>
        <v>0.1</v>
      </c>
      <c r="BL36" s="28">
        <f>IF(BL35="",VLOOKUP($C35,'CUSTOS REALIZADOS'!$A$11:$E$995,4),(VLOOKUP($C35,'CUSTOS REALIZADOS'!$A$11:$E$995,5)))</f>
        <v>0.1</v>
      </c>
      <c r="BM36" s="28">
        <f>IF(BM35="",VLOOKUP($C35,'CUSTOS REALIZADOS'!$A$11:$E$995,4),(VLOOKUP($C35,'CUSTOS REALIZADOS'!$A$11:$E$995,5)))</f>
        <v>0.1</v>
      </c>
      <c r="BN36" s="28">
        <f>IF(BN35="",VLOOKUP($C35,'CUSTOS REALIZADOS'!$A$11:$E$995,4),(VLOOKUP($C35,'CUSTOS REALIZADOS'!$A$11:$E$995,5)))</f>
        <v>0.1</v>
      </c>
    </row>
    <row r="37" spans="1:66" x14ac:dyDescent="0.2">
      <c r="C37" s="322"/>
      <c r="D37" s="23" t="s">
        <v>6</v>
      </c>
      <c r="E37" s="27">
        <f>SUM(F37:AY37)</f>
        <v>95000</v>
      </c>
      <c r="F37" s="23">
        <f>IF(AND($C35&gt;=F$6,OR($C35&lt;F$8,F$8="")),F$7*F$28,0)</f>
        <v>0</v>
      </c>
      <c r="G37" s="23">
        <f t="shared" ref="G37:BN37" si="47">IF(AND($C35&gt;=G$6,OR($C35&lt;G$8,G$8="")),G$7*G$28,0)</f>
        <v>45000</v>
      </c>
      <c r="H37" s="23">
        <f t="shared" si="47"/>
        <v>50000</v>
      </c>
      <c r="I37" s="23">
        <f t="shared" si="47"/>
        <v>0</v>
      </c>
      <c r="J37" s="23">
        <f t="shared" si="47"/>
        <v>0</v>
      </c>
      <c r="K37" s="23">
        <f t="shared" si="47"/>
        <v>0</v>
      </c>
      <c r="L37" s="23">
        <f t="shared" si="47"/>
        <v>0</v>
      </c>
      <c r="M37" s="23">
        <f t="shared" si="47"/>
        <v>0</v>
      </c>
      <c r="N37" s="23">
        <f t="shared" si="47"/>
        <v>0</v>
      </c>
      <c r="O37" s="23">
        <f t="shared" si="47"/>
        <v>0</v>
      </c>
      <c r="P37" s="23">
        <f t="shared" si="47"/>
        <v>0</v>
      </c>
      <c r="Q37" s="23">
        <f t="shared" si="47"/>
        <v>0</v>
      </c>
      <c r="R37" s="23">
        <f t="shared" si="47"/>
        <v>0</v>
      </c>
      <c r="S37" s="23">
        <f t="shared" si="47"/>
        <v>0</v>
      </c>
      <c r="T37" s="23">
        <f t="shared" si="47"/>
        <v>0</v>
      </c>
      <c r="U37" s="23">
        <f t="shared" si="47"/>
        <v>0</v>
      </c>
      <c r="V37" s="23">
        <f t="shared" si="47"/>
        <v>0</v>
      </c>
      <c r="W37" s="23">
        <f t="shared" si="47"/>
        <v>0</v>
      </c>
      <c r="X37" s="23">
        <f t="shared" si="47"/>
        <v>0</v>
      </c>
      <c r="Y37" s="23">
        <f t="shared" si="47"/>
        <v>0</v>
      </c>
      <c r="Z37" s="23">
        <f t="shared" si="47"/>
        <v>0</v>
      </c>
      <c r="AA37" s="23">
        <f t="shared" si="47"/>
        <v>0</v>
      </c>
      <c r="AB37" s="23">
        <f t="shared" si="47"/>
        <v>0</v>
      </c>
      <c r="AC37" s="23">
        <f t="shared" si="47"/>
        <v>0</v>
      </c>
      <c r="AD37" s="23">
        <f t="shared" si="47"/>
        <v>0</v>
      </c>
      <c r="AE37" s="23">
        <f t="shared" si="47"/>
        <v>0</v>
      </c>
      <c r="AF37" s="23">
        <f t="shared" si="47"/>
        <v>0</v>
      </c>
      <c r="AG37" s="23">
        <f t="shared" si="47"/>
        <v>0</v>
      </c>
      <c r="AH37" s="23">
        <f t="shared" si="47"/>
        <v>0</v>
      </c>
      <c r="AI37" s="23">
        <f t="shared" si="47"/>
        <v>0</v>
      </c>
      <c r="AJ37" s="23">
        <f t="shared" si="47"/>
        <v>0</v>
      </c>
      <c r="AK37" s="23">
        <f t="shared" si="47"/>
        <v>0</v>
      </c>
      <c r="AL37" s="23">
        <f t="shared" si="47"/>
        <v>0</v>
      </c>
      <c r="AM37" s="23">
        <f t="shared" si="47"/>
        <v>0</v>
      </c>
      <c r="AN37" s="23">
        <f t="shared" si="47"/>
        <v>0</v>
      </c>
      <c r="AO37" s="23">
        <f t="shared" si="47"/>
        <v>0</v>
      </c>
      <c r="AP37" s="23">
        <f t="shared" si="47"/>
        <v>0</v>
      </c>
      <c r="AQ37" s="23">
        <f t="shared" si="47"/>
        <v>0</v>
      </c>
      <c r="AR37" s="23">
        <f t="shared" si="47"/>
        <v>0</v>
      </c>
      <c r="AS37" s="23">
        <f t="shared" si="47"/>
        <v>0</v>
      </c>
      <c r="AT37" s="23">
        <f t="shared" si="47"/>
        <v>0</v>
      </c>
      <c r="AU37" s="23">
        <f t="shared" si="47"/>
        <v>0</v>
      </c>
      <c r="AV37" s="23">
        <f t="shared" si="47"/>
        <v>0</v>
      </c>
      <c r="AW37" s="23">
        <f t="shared" si="47"/>
        <v>0</v>
      </c>
      <c r="AX37" s="23">
        <f t="shared" si="47"/>
        <v>0</v>
      </c>
      <c r="AY37" s="23">
        <f t="shared" si="47"/>
        <v>0</v>
      </c>
      <c r="AZ37" s="23">
        <f t="shared" si="47"/>
        <v>0</v>
      </c>
      <c r="BA37" s="23">
        <f t="shared" si="47"/>
        <v>0</v>
      </c>
      <c r="BB37" s="23">
        <f t="shared" si="47"/>
        <v>0</v>
      </c>
      <c r="BC37" s="23">
        <f t="shared" si="47"/>
        <v>0</v>
      </c>
      <c r="BD37" s="23">
        <f t="shared" si="47"/>
        <v>0</v>
      </c>
      <c r="BE37" s="23">
        <f t="shared" si="47"/>
        <v>0</v>
      </c>
      <c r="BF37" s="23">
        <f t="shared" si="47"/>
        <v>0</v>
      </c>
      <c r="BG37" s="23">
        <f t="shared" si="47"/>
        <v>0</v>
      </c>
      <c r="BH37" s="23">
        <f t="shared" si="47"/>
        <v>0</v>
      </c>
      <c r="BI37" s="23">
        <f t="shared" si="47"/>
        <v>0</v>
      </c>
      <c r="BJ37" s="23">
        <f t="shared" si="47"/>
        <v>0</v>
      </c>
      <c r="BK37" s="23">
        <f t="shared" si="47"/>
        <v>0</v>
      </c>
      <c r="BL37" s="23">
        <f t="shared" si="47"/>
        <v>0</v>
      </c>
      <c r="BM37" s="23">
        <f t="shared" si="47"/>
        <v>0</v>
      </c>
      <c r="BN37" s="23">
        <f t="shared" si="47"/>
        <v>0</v>
      </c>
    </row>
    <row r="38" spans="1:66" x14ac:dyDescent="0.2">
      <c r="C38" s="322"/>
      <c r="D38" s="23" t="s">
        <v>9</v>
      </c>
      <c r="E38" s="27">
        <f>SUM(F38:AY38)</f>
        <v>150</v>
      </c>
      <c r="F38" s="22">
        <v>150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</row>
    <row r="39" spans="1:66" x14ac:dyDescent="0.2">
      <c r="C39" s="322"/>
      <c r="D39" s="23" t="s">
        <v>14</v>
      </c>
      <c r="E39" s="27">
        <f>SUM(F39:AY39)</f>
        <v>854850</v>
      </c>
      <c r="F39" s="23">
        <f>IF(F34=0,F35-F38,F34-F38)</f>
        <v>-150</v>
      </c>
      <c r="G39" s="23">
        <f t="shared" ref="G39" si="48">IF(G34=0,G35-G38,G34-G38)</f>
        <v>405000</v>
      </c>
      <c r="H39" s="23">
        <f t="shared" ref="H39" si="49">IF(H34=0,H35-H38,H34-H38)</f>
        <v>450000</v>
      </c>
      <c r="I39" s="23">
        <f t="shared" ref="I39" si="50">IF(I34=0,I35-I38,I34-I38)</f>
        <v>0</v>
      </c>
      <c r="J39" s="23">
        <f t="shared" ref="J39" si="51">IF(J34=0,J35-J38,J34-J38)</f>
        <v>0</v>
      </c>
      <c r="K39" s="23">
        <f t="shared" ref="K39" si="52">IF(K34=0,K35-K38,K34-K38)</f>
        <v>0</v>
      </c>
      <c r="L39" s="23">
        <f t="shared" ref="L39" si="53">IF(L34=0,L35-L38,L34-L38)</f>
        <v>0</v>
      </c>
      <c r="M39" s="23">
        <f t="shared" ref="M39" si="54">IF(M34=0,M35-M38,M34-M38)</f>
        <v>0</v>
      </c>
      <c r="N39" s="23">
        <f t="shared" ref="N39" si="55">IF(N34=0,N35-N38,N34-N38)</f>
        <v>0</v>
      </c>
      <c r="O39" s="23">
        <f t="shared" ref="O39" si="56">IF(O34=0,O35-O38,O34-O38)</f>
        <v>0</v>
      </c>
      <c r="P39" s="23">
        <f t="shared" ref="P39" si="57">IF(P34=0,P35-P38,P34-P38)</f>
        <v>0</v>
      </c>
      <c r="Q39" s="23">
        <f t="shared" ref="Q39" si="58">IF(Q34=0,Q35-Q38,Q34-Q38)</f>
        <v>0</v>
      </c>
      <c r="R39" s="23">
        <f t="shared" ref="R39" si="59">IF(R34=0,R35-R38,R34-R38)</f>
        <v>0</v>
      </c>
      <c r="S39" s="23">
        <f t="shared" ref="S39" si="60">IF(S34=0,S35-S38,S34-S38)</f>
        <v>0</v>
      </c>
      <c r="T39" s="23">
        <f t="shared" ref="T39" si="61">IF(T34=0,T35-T38,T34-T38)</f>
        <v>0</v>
      </c>
      <c r="U39" s="23">
        <f t="shared" ref="U39" si="62">IF(U34=0,U35-U38,U34-U38)</f>
        <v>0</v>
      </c>
      <c r="V39" s="23">
        <f t="shared" ref="V39" si="63">IF(V34=0,V35-V38,V34-V38)</f>
        <v>0</v>
      </c>
      <c r="W39" s="23">
        <f t="shared" ref="W39" si="64">IF(W34=0,W35-W38,W34-W38)</f>
        <v>0</v>
      </c>
      <c r="X39" s="23">
        <f t="shared" ref="X39" si="65">IF(X34=0,X35-X38,X34-X38)</f>
        <v>0</v>
      </c>
      <c r="Y39" s="23">
        <f t="shared" ref="Y39" si="66">IF(Y34=0,Y35-Y38,Y34-Y38)</f>
        <v>0</v>
      </c>
      <c r="Z39" s="23">
        <f t="shared" ref="Z39" si="67">IF(Z34=0,Z35-Z38,Z34-Z38)</f>
        <v>0</v>
      </c>
      <c r="AA39" s="23">
        <f t="shared" ref="AA39" si="68">IF(AA34=0,AA35-AA38,AA34-AA38)</f>
        <v>0</v>
      </c>
      <c r="AB39" s="23">
        <f t="shared" ref="AB39" si="69">IF(AB34=0,AB35-AB38,AB34-AB38)</f>
        <v>0</v>
      </c>
      <c r="AC39" s="23">
        <f t="shared" ref="AC39" si="70">IF(AC34=0,AC35-AC38,AC34-AC38)</f>
        <v>0</v>
      </c>
      <c r="AD39" s="23">
        <f t="shared" ref="AD39" si="71">IF(AD34=0,AD35-AD38,AD34-AD38)</f>
        <v>0</v>
      </c>
      <c r="AE39" s="23">
        <f t="shared" ref="AE39" si="72">IF(AE34=0,AE35-AE38,AE34-AE38)</f>
        <v>0</v>
      </c>
      <c r="AF39" s="23">
        <f t="shared" ref="AF39" si="73">IF(AF34=0,AF35-AF38,AF34-AF38)</f>
        <v>0</v>
      </c>
      <c r="AG39" s="23">
        <f t="shared" ref="AG39" si="74">IF(AG34=0,AG35-AG38,AG34-AG38)</f>
        <v>0</v>
      </c>
      <c r="AH39" s="23">
        <f t="shared" ref="AH39" si="75">IF(AH34=0,AH35-AH38,AH34-AH38)</f>
        <v>0</v>
      </c>
      <c r="AI39" s="23">
        <f t="shared" ref="AI39" si="76">IF(AI34=0,AI35-AI38,AI34-AI38)</f>
        <v>0</v>
      </c>
      <c r="AJ39" s="23">
        <f t="shared" ref="AJ39" si="77">IF(AJ34=0,AJ35-AJ38,AJ34-AJ38)</f>
        <v>0</v>
      </c>
      <c r="AK39" s="23">
        <f t="shared" ref="AK39" si="78">IF(AK34=0,AK35-AK38,AK34-AK38)</f>
        <v>0</v>
      </c>
      <c r="AL39" s="23">
        <f t="shared" ref="AL39" si="79">IF(AL34=0,AL35-AL38,AL34-AL38)</f>
        <v>0</v>
      </c>
      <c r="AM39" s="23">
        <f t="shared" ref="AM39" si="80">IF(AM34=0,AM35-AM38,AM34-AM38)</f>
        <v>0</v>
      </c>
      <c r="AN39" s="23">
        <f t="shared" ref="AN39" si="81">IF(AN34=0,AN35-AN38,AN34-AN38)</f>
        <v>0</v>
      </c>
      <c r="AO39" s="23">
        <f t="shared" ref="AO39" si="82">IF(AO34=0,AO35-AO38,AO34-AO38)</f>
        <v>0</v>
      </c>
      <c r="AP39" s="23">
        <f t="shared" ref="AP39" si="83">IF(AP34=0,AP35-AP38,AP34-AP38)</f>
        <v>0</v>
      </c>
      <c r="AQ39" s="23">
        <f t="shared" ref="AQ39" si="84">IF(AQ34=0,AQ35-AQ38,AQ34-AQ38)</f>
        <v>0</v>
      </c>
      <c r="AR39" s="23">
        <f t="shared" ref="AR39" si="85">IF(AR34=0,AR35-AR38,AR34-AR38)</f>
        <v>0</v>
      </c>
      <c r="AS39" s="23">
        <f t="shared" ref="AS39" si="86">IF(AS34=0,AS35-AS38,AS34-AS38)</f>
        <v>0</v>
      </c>
      <c r="AT39" s="23">
        <f t="shared" ref="AT39" si="87">IF(AT34=0,AT35-AT38,AT34-AT38)</f>
        <v>0</v>
      </c>
      <c r="AU39" s="23">
        <f t="shared" ref="AU39" si="88">IF(AU34=0,AU35-AU38,AU34-AU38)</f>
        <v>0</v>
      </c>
      <c r="AV39" s="23">
        <f t="shared" ref="AV39" si="89">IF(AV34=0,AV35-AV38,AV34-AV38)</f>
        <v>0</v>
      </c>
      <c r="AW39" s="23">
        <f t="shared" ref="AW39" si="90">IF(AW34=0,AW35-AW38,AW34-AW38)</f>
        <v>0</v>
      </c>
      <c r="AX39" s="23">
        <f t="shared" ref="AX39" si="91">IF(AX34=0,AX35-AX38,AX34-AX38)</f>
        <v>0</v>
      </c>
      <c r="AY39" s="23">
        <f t="shared" ref="AY39" si="92">IF(AY34=0,AY35-AY38,AY34-AY38)</f>
        <v>0</v>
      </c>
      <c r="AZ39" s="23">
        <f t="shared" ref="AZ39" si="93">IF(AZ34=0,AZ35-AZ38,AZ34-AZ38)</f>
        <v>0</v>
      </c>
      <c r="BA39" s="23">
        <f t="shared" ref="BA39" si="94">IF(BA34=0,BA35-BA38,BA34-BA38)</f>
        <v>0</v>
      </c>
      <c r="BB39" s="23">
        <f t="shared" ref="BB39" si="95">IF(BB34=0,BB35-BB38,BB34-BB38)</f>
        <v>0</v>
      </c>
      <c r="BC39" s="23">
        <f t="shared" ref="BC39" si="96">IF(BC34=0,BC35-BC38,BC34-BC38)</f>
        <v>0</v>
      </c>
      <c r="BD39" s="23">
        <f t="shared" ref="BD39" si="97">IF(BD34=0,BD35-BD38,BD34-BD38)</f>
        <v>0</v>
      </c>
      <c r="BE39" s="23">
        <f t="shared" ref="BE39" si="98">IF(BE34=0,BE35-BE38,BE34-BE38)</f>
        <v>0</v>
      </c>
      <c r="BF39" s="23">
        <f t="shared" ref="BF39" si="99">IF(BF34=0,BF35-BF38,BF34-BF38)</f>
        <v>0</v>
      </c>
      <c r="BG39" s="23">
        <f t="shared" ref="BG39" si="100">IF(BG34=0,BG35-BG38,BG34-BG38)</f>
        <v>0</v>
      </c>
      <c r="BH39" s="23">
        <f t="shared" ref="BH39" si="101">IF(BH34=0,BH35-BH38,BH34-BH38)</f>
        <v>0</v>
      </c>
      <c r="BI39" s="23">
        <f t="shared" ref="BI39" si="102">IF(BI34=0,BI35-BI38,BI34-BI38)</f>
        <v>0</v>
      </c>
      <c r="BJ39" s="23">
        <f t="shared" ref="BJ39" si="103">IF(BJ34=0,BJ35-BJ38,BJ34-BJ38)</f>
        <v>0</v>
      </c>
      <c r="BK39" s="23">
        <f t="shared" ref="BK39" si="104">IF(BK34=0,BK35-BK38,BK34-BK38)</f>
        <v>0</v>
      </c>
      <c r="BL39" s="23">
        <f t="shared" ref="BL39" si="105">IF(BL34=0,BL35-BL38,BL34-BL38)</f>
        <v>0</v>
      </c>
      <c r="BM39" s="23">
        <f t="shared" ref="BM39" si="106">IF(BM34=0,BM35-BM38,BM34-BM38)</f>
        <v>0</v>
      </c>
      <c r="BN39" s="23">
        <f t="shared" ref="BN39" si="107">IF(BN34=0,BN35-BN38,BN34-BN38)</f>
        <v>0</v>
      </c>
    </row>
    <row r="40" spans="1:66" x14ac:dyDescent="0.2">
      <c r="C40" s="322"/>
      <c r="D40" s="23" t="s">
        <v>10</v>
      </c>
      <c r="E40" s="72">
        <v>2.9999999999999997E-4</v>
      </c>
      <c r="F40" s="54">
        <v>2.9999999999999997E-4</v>
      </c>
      <c r="G40" s="54">
        <v>2.9999999999999997E-4</v>
      </c>
      <c r="H40" s="54">
        <v>2.9999999999999997E-4</v>
      </c>
      <c r="I40" s="54">
        <v>2.9999999999999997E-4</v>
      </c>
      <c r="J40" s="54">
        <v>2.9999999999999997E-4</v>
      </c>
      <c r="K40" s="54">
        <v>2.9999999999999997E-4</v>
      </c>
      <c r="L40" s="54">
        <v>2.9999999999999997E-4</v>
      </c>
      <c r="M40" s="54">
        <v>2.9999999999999997E-4</v>
      </c>
      <c r="N40" s="54">
        <v>2.9999999999999997E-4</v>
      </c>
      <c r="O40" s="54">
        <v>2.9999999999999997E-4</v>
      </c>
      <c r="P40" s="54">
        <v>2.9999999999999997E-4</v>
      </c>
      <c r="Q40" s="54">
        <v>2.9999999999999997E-4</v>
      </c>
      <c r="R40" s="54">
        <v>2.9999999999999997E-4</v>
      </c>
      <c r="S40" s="54">
        <v>2.9999999999999997E-4</v>
      </c>
      <c r="T40" s="54">
        <v>2.9999999999999997E-4</v>
      </c>
      <c r="U40" s="54">
        <v>2.9999999999999997E-4</v>
      </c>
      <c r="V40" s="54">
        <v>2.9999999999999997E-4</v>
      </c>
      <c r="W40" s="54">
        <v>2.9999999999999997E-4</v>
      </c>
      <c r="X40" s="54">
        <v>2.9999999999999997E-4</v>
      </c>
      <c r="Y40" s="54">
        <v>2.9999999999999997E-4</v>
      </c>
      <c r="Z40" s="54">
        <v>2.9999999999999997E-4</v>
      </c>
      <c r="AA40" s="54">
        <v>2.9999999999999997E-4</v>
      </c>
      <c r="AB40" s="54">
        <v>2.9999999999999997E-4</v>
      </c>
      <c r="AC40" s="54">
        <v>2.9999999999999997E-4</v>
      </c>
      <c r="AD40" s="54">
        <v>2.9999999999999997E-4</v>
      </c>
      <c r="AE40" s="54">
        <v>2.9999999999999997E-4</v>
      </c>
      <c r="AF40" s="54">
        <v>2.9999999999999997E-4</v>
      </c>
      <c r="AG40" s="54">
        <v>2.9999999999999997E-4</v>
      </c>
      <c r="AH40" s="54">
        <v>2.9999999999999997E-4</v>
      </c>
      <c r="AI40" s="54">
        <v>2.9999999999999997E-4</v>
      </c>
      <c r="AJ40" s="54">
        <v>2.9999999999999997E-4</v>
      </c>
      <c r="AK40" s="54">
        <v>2.9999999999999997E-4</v>
      </c>
      <c r="AL40" s="54">
        <v>2.9999999999999997E-4</v>
      </c>
      <c r="AM40" s="54">
        <v>2.9999999999999997E-4</v>
      </c>
      <c r="AN40" s="54">
        <v>2.9999999999999997E-4</v>
      </c>
      <c r="AO40" s="54">
        <v>2.9999999999999997E-4</v>
      </c>
      <c r="AP40" s="54">
        <v>2.9999999999999997E-4</v>
      </c>
      <c r="AQ40" s="54">
        <v>2.9999999999999997E-4</v>
      </c>
      <c r="AR40" s="54">
        <v>2.9999999999999997E-4</v>
      </c>
      <c r="AS40" s="54">
        <v>2.9999999999999997E-4</v>
      </c>
      <c r="AT40" s="54">
        <v>2.9999999999999997E-4</v>
      </c>
      <c r="AU40" s="54">
        <v>2.9999999999999997E-4</v>
      </c>
      <c r="AV40" s="54">
        <v>2.9999999999999997E-4</v>
      </c>
      <c r="AW40" s="54">
        <v>2.9999999999999997E-4</v>
      </c>
      <c r="AX40" s="54">
        <v>2.9999999999999997E-4</v>
      </c>
      <c r="AY40" s="54">
        <v>2.9999999999999997E-4</v>
      </c>
      <c r="AZ40" s="54">
        <v>2.9999999999999997E-4</v>
      </c>
      <c r="BA40" s="54">
        <v>2.9999999999999997E-4</v>
      </c>
      <c r="BB40" s="54">
        <v>2.9999999999999997E-4</v>
      </c>
      <c r="BC40" s="54">
        <v>2.9999999999999997E-4</v>
      </c>
      <c r="BD40" s="54">
        <v>2.9999999999999997E-4</v>
      </c>
      <c r="BE40" s="54">
        <v>2.9999999999999997E-4</v>
      </c>
      <c r="BF40" s="54">
        <v>2.9999999999999997E-4</v>
      </c>
      <c r="BG40" s="54">
        <v>2.9999999999999997E-4</v>
      </c>
      <c r="BH40" s="54">
        <v>2.9999999999999997E-4</v>
      </c>
      <c r="BI40" s="54">
        <v>2.9999999999999997E-4</v>
      </c>
      <c r="BJ40" s="54">
        <v>2.9999999999999997E-4</v>
      </c>
      <c r="BK40" s="54">
        <v>2.9999999999999997E-4</v>
      </c>
      <c r="BL40" s="54">
        <v>2.9999999999999997E-4</v>
      </c>
      <c r="BM40" s="54">
        <v>2.9999999999999997E-4</v>
      </c>
      <c r="BN40" s="54">
        <v>2.9999999999999997E-4</v>
      </c>
    </row>
    <row r="41" spans="1:66" x14ac:dyDescent="0.2">
      <c r="C41" s="322"/>
      <c r="D41" s="23" t="s">
        <v>12</v>
      </c>
      <c r="E41" s="27">
        <f t="shared" ref="E41:E46" si="108">SUM(F41:BN41)</f>
        <v>256.45499999999998</v>
      </c>
      <c r="F41" s="29">
        <f>+F39*F40</f>
        <v>-4.4999999999999998E-2</v>
      </c>
      <c r="G41" s="29">
        <f t="shared" ref="G41" si="109">+G39*G40</f>
        <v>121.49999999999999</v>
      </c>
      <c r="H41" s="29">
        <f t="shared" ref="H41:P41" si="110">+H39*H40</f>
        <v>135</v>
      </c>
      <c r="I41" s="29">
        <f t="shared" si="110"/>
        <v>0</v>
      </c>
      <c r="J41" s="29">
        <f t="shared" si="110"/>
        <v>0</v>
      </c>
      <c r="K41" s="29">
        <f t="shared" si="110"/>
        <v>0</v>
      </c>
      <c r="L41" s="29">
        <f t="shared" si="110"/>
        <v>0</v>
      </c>
      <c r="M41" s="29">
        <f t="shared" si="110"/>
        <v>0</v>
      </c>
      <c r="N41" s="29">
        <f t="shared" si="110"/>
        <v>0</v>
      </c>
      <c r="O41" s="29">
        <f t="shared" si="110"/>
        <v>0</v>
      </c>
      <c r="P41" s="29">
        <f t="shared" si="110"/>
        <v>0</v>
      </c>
      <c r="Q41" s="29">
        <f t="shared" ref="Q41" si="111">+Q39*Q40</f>
        <v>0</v>
      </c>
      <c r="R41" s="29">
        <f>+R39*R40</f>
        <v>0</v>
      </c>
      <c r="S41" s="29">
        <f>+S39*S40</f>
        <v>0</v>
      </c>
      <c r="T41" s="29">
        <f t="shared" ref="T41" si="112">+T39*T40</f>
        <v>0</v>
      </c>
      <c r="U41" s="29">
        <f>+U39*U40</f>
        <v>0</v>
      </c>
      <c r="V41" s="29">
        <f t="shared" ref="V41:X41" si="113">+V39*V40</f>
        <v>0</v>
      </c>
      <c r="W41" s="29">
        <f t="shared" si="113"/>
        <v>0</v>
      </c>
      <c r="X41" s="29">
        <f t="shared" si="113"/>
        <v>0</v>
      </c>
      <c r="Y41" s="29">
        <v>0</v>
      </c>
      <c r="Z41" s="29">
        <f>+Z39*Z40</f>
        <v>0</v>
      </c>
      <c r="AA41" s="29">
        <f>+AA39*AA40</f>
        <v>0</v>
      </c>
      <c r="AB41" s="29">
        <f t="shared" ref="AB41:AD41" si="114">+AB39*AB40</f>
        <v>0</v>
      </c>
      <c r="AC41" s="29">
        <f t="shared" si="114"/>
        <v>0</v>
      </c>
      <c r="AD41" s="29">
        <f t="shared" si="114"/>
        <v>0</v>
      </c>
      <c r="AE41" s="29">
        <v>0</v>
      </c>
      <c r="AF41" s="29">
        <f>+AF39*AF40</f>
        <v>0</v>
      </c>
      <c r="AG41" s="29">
        <f t="shared" ref="AG41:BN41" si="115">+AG39*AG40</f>
        <v>0</v>
      </c>
      <c r="AH41" s="29">
        <f t="shared" si="115"/>
        <v>0</v>
      </c>
      <c r="AI41" s="29">
        <v>0</v>
      </c>
      <c r="AJ41" s="29">
        <f t="shared" si="115"/>
        <v>0</v>
      </c>
      <c r="AK41" s="29">
        <f t="shared" si="115"/>
        <v>0</v>
      </c>
      <c r="AL41" s="29">
        <f t="shared" si="115"/>
        <v>0</v>
      </c>
      <c r="AM41" s="29">
        <f t="shared" si="115"/>
        <v>0</v>
      </c>
      <c r="AN41" s="29">
        <v>0</v>
      </c>
      <c r="AO41" s="29">
        <f t="shared" si="115"/>
        <v>0</v>
      </c>
      <c r="AP41" s="29">
        <f t="shared" si="115"/>
        <v>0</v>
      </c>
      <c r="AQ41" s="29">
        <f>+AQ39*AQ40</f>
        <v>0</v>
      </c>
      <c r="AR41" s="29">
        <f t="shared" si="115"/>
        <v>0</v>
      </c>
      <c r="AS41" s="29">
        <f t="shared" si="115"/>
        <v>0</v>
      </c>
      <c r="AT41" s="29">
        <f t="shared" si="115"/>
        <v>0</v>
      </c>
      <c r="AU41" s="29">
        <f t="shared" si="115"/>
        <v>0</v>
      </c>
      <c r="AV41" s="29">
        <v>0</v>
      </c>
      <c r="AW41" s="29">
        <f t="shared" si="115"/>
        <v>0</v>
      </c>
      <c r="AX41" s="29">
        <f t="shared" si="115"/>
        <v>0</v>
      </c>
      <c r="AY41" s="29">
        <f t="shared" si="115"/>
        <v>0</v>
      </c>
      <c r="AZ41" s="29">
        <f t="shared" si="115"/>
        <v>0</v>
      </c>
      <c r="BA41" s="29">
        <f t="shared" si="115"/>
        <v>0</v>
      </c>
      <c r="BB41" s="29">
        <f t="shared" si="115"/>
        <v>0</v>
      </c>
      <c r="BC41" s="29">
        <f t="shared" si="115"/>
        <v>0</v>
      </c>
      <c r="BD41" s="29">
        <f t="shared" si="115"/>
        <v>0</v>
      </c>
      <c r="BE41" s="29">
        <f t="shared" si="115"/>
        <v>0</v>
      </c>
      <c r="BF41" s="29">
        <f t="shared" si="115"/>
        <v>0</v>
      </c>
      <c r="BG41" s="29">
        <f t="shared" si="115"/>
        <v>0</v>
      </c>
      <c r="BH41" s="29">
        <f t="shared" si="115"/>
        <v>0</v>
      </c>
      <c r="BI41" s="29">
        <f t="shared" si="115"/>
        <v>0</v>
      </c>
      <c r="BJ41" s="29">
        <f t="shared" si="115"/>
        <v>0</v>
      </c>
      <c r="BK41" s="29">
        <f t="shared" si="115"/>
        <v>0</v>
      </c>
      <c r="BL41" s="29">
        <f t="shared" si="115"/>
        <v>0</v>
      </c>
      <c r="BM41" s="29">
        <f t="shared" si="115"/>
        <v>0</v>
      </c>
      <c r="BN41" s="29">
        <f t="shared" si="115"/>
        <v>0</v>
      </c>
    </row>
    <row r="42" spans="1:66" ht="13.5" thickBot="1" x14ac:dyDescent="0.25">
      <c r="C42" s="323"/>
      <c r="D42" s="25" t="s">
        <v>11</v>
      </c>
      <c r="E42" s="30">
        <f t="shared" si="108"/>
        <v>855106.45500000007</v>
      </c>
      <c r="F42" s="46">
        <f>+F39+F41</f>
        <v>-150.04499999999999</v>
      </c>
      <c r="G42" s="46">
        <f>+G39+G41</f>
        <v>405121.5</v>
      </c>
      <c r="H42" s="46">
        <f>+H39+H41</f>
        <v>450135</v>
      </c>
      <c r="I42" s="46">
        <f>+I39+I41</f>
        <v>0</v>
      </c>
      <c r="J42" s="46">
        <f t="shared" ref="J42:M42" si="116">+J39+J41</f>
        <v>0</v>
      </c>
      <c r="K42" s="46">
        <f t="shared" si="116"/>
        <v>0</v>
      </c>
      <c r="L42" s="46">
        <f t="shared" si="116"/>
        <v>0</v>
      </c>
      <c r="M42" s="46">
        <f t="shared" si="116"/>
        <v>0</v>
      </c>
      <c r="N42" s="46">
        <f>+N39+N41</f>
        <v>0</v>
      </c>
      <c r="O42" s="46">
        <f t="shared" ref="O42:BN42" si="117">+O39+O41</f>
        <v>0</v>
      </c>
      <c r="P42" s="46">
        <f t="shared" si="117"/>
        <v>0</v>
      </c>
      <c r="Q42" s="46">
        <f t="shared" si="117"/>
        <v>0</v>
      </c>
      <c r="R42" s="46">
        <f t="shared" si="117"/>
        <v>0</v>
      </c>
      <c r="S42" s="46">
        <f t="shared" si="117"/>
        <v>0</v>
      </c>
      <c r="T42" s="46">
        <f t="shared" si="117"/>
        <v>0</v>
      </c>
      <c r="U42" s="46">
        <f t="shared" si="117"/>
        <v>0</v>
      </c>
      <c r="V42" s="46">
        <f t="shared" si="117"/>
        <v>0</v>
      </c>
      <c r="W42" s="46">
        <f t="shared" si="117"/>
        <v>0</v>
      </c>
      <c r="X42" s="46">
        <f t="shared" si="117"/>
        <v>0</v>
      </c>
      <c r="Y42" s="46">
        <f t="shared" si="117"/>
        <v>0</v>
      </c>
      <c r="Z42" s="46">
        <f t="shared" si="117"/>
        <v>0</v>
      </c>
      <c r="AA42" s="46">
        <f t="shared" si="117"/>
        <v>0</v>
      </c>
      <c r="AB42" s="46">
        <f t="shared" si="117"/>
        <v>0</v>
      </c>
      <c r="AC42" s="46">
        <f t="shared" si="117"/>
        <v>0</v>
      </c>
      <c r="AD42" s="46">
        <f t="shared" si="117"/>
        <v>0</v>
      </c>
      <c r="AE42" s="46">
        <f t="shared" si="117"/>
        <v>0</v>
      </c>
      <c r="AF42" s="46">
        <f t="shared" si="117"/>
        <v>0</v>
      </c>
      <c r="AG42" s="46">
        <f t="shared" si="117"/>
        <v>0</v>
      </c>
      <c r="AH42" s="46">
        <f t="shared" si="117"/>
        <v>0</v>
      </c>
      <c r="AI42" s="46">
        <f t="shared" si="117"/>
        <v>0</v>
      </c>
      <c r="AJ42" s="46">
        <f t="shared" si="117"/>
        <v>0</v>
      </c>
      <c r="AK42" s="46">
        <f t="shared" si="117"/>
        <v>0</v>
      </c>
      <c r="AL42" s="46">
        <f t="shared" si="117"/>
        <v>0</v>
      </c>
      <c r="AM42" s="46">
        <f t="shared" si="117"/>
        <v>0</v>
      </c>
      <c r="AN42" s="46">
        <f t="shared" si="117"/>
        <v>0</v>
      </c>
      <c r="AO42" s="46">
        <f t="shared" si="117"/>
        <v>0</v>
      </c>
      <c r="AP42" s="46">
        <f t="shared" si="117"/>
        <v>0</v>
      </c>
      <c r="AQ42" s="46">
        <f t="shared" si="117"/>
        <v>0</v>
      </c>
      <c r="AR42" s="46">
        <f t="shared" si="117"/>
        <v>0</v>
      </c>
      <c r="AS42" s="46">
        <f t="shared" si="117"/>
        <v>0</v>
      </c>
      <c r="AT42" s="46">
        <f t="shared" si="117"/>
        <v>0</v>
      </c>
      <c r="AU42" s="46">
        <f t="shared" si="117"/>
        <v>0</v>
      </c>
      <c r="AV42" s="46">
        <f>+AV39+AV41</f>
        <v>0</v>
      </c>
      <c r="AW42" s="46">
        <f t="shared" si="117"/>
        <v>0</v>
      </c>
      <c r="AX42" s="46">
        <f t="shared" si="117"/>
        <v>0</v>
      </c>
      <c r="AY42" s="46">
        <f t="shared" si="117"/>
        <v>0</v>
      </c>
      <c r="AZ42" s="46">
        <f t="shared" si="117"/>
        <v>0</v>
      </c>
      <c r="BA42" s="46">
        <f t="shared" si="117"/>
        <v>0</v>
      </c>
      <c r="BB42" s="46">
        <f t="shared" si="117"/>
        <v>0</v>
      </c>
      <c r="BC42" s="46">
        <f t="shared" si="117"/>
        <v>0</v>
      </c>
      <c r="BD42" s="46">
        <f t="shared" si="117"/>
        <v>0</v>
      </c>
      <c r="BE42" s="46">
        <f t="shared" si="117"/>
        <v>0</v>
      </c>
      <c r="BF42" s="46">
        <f t="shared" si="117"/>
        <v>0</v>
      </c>
      <c r="BG42" s="46">
        <f t="shared" si="117"/>
        <v>0</v>
      </c>
      <c r="BH42" s="46">
        <f t="shared" si="117"/>
        <v>0</v>
      </c>
      <c r="BI42" s="46">
        <f t="shared" si="117"/>
        <v>0</v>
      </c>
      <c r="BJ42" s="46">
        <f t="shared" si="117"/>
        <v>0</v>
      </c>
      <c r="BK42" s="46">
        <f t="shared" si="117"/>
        <v>0</v>
      </c>
      <c r="BL42" s="46">
        <f t="shared" si="117"/>
        <v>0</v>
      </c>
      <c r="BM42" s="46">
        <f t="shared" si="117"/>
        <v>0</v>
      </c>
      <c r="BN42" s="46">
        <f t="shared" si="117"/>
        <v>0</v>
      </c>
    </row>
    <row r="43" spans="1:66" x14ac:dyDescent="0.2">
      <c r="C43" s="321">
        <v>43678</v>
      </c>
      <c r="D43" s="20" t="s">
        <v>5</v>
      </c>
      <c r="E43" s="50">
        <f t="shared" si="108"/>
        <v>0</v>
      </c>
      <c r="F43" s="279">
        <f>IF(F$6=$C43,F$7,0)</f>
        <v>0</v>
      </c>
      <c r="G43" s="279">
        <f t="shared" ref="G43:BN43" si="118">IF(G$6=$C43,G$7,0)</f>
        <v>0</v>
      </c>
      <c r="H43" s="279">
        <f t="shared" si="118"/>
        <v>0</v>
      </c>
      <c r="I43" s="279">
        <f t="shared" si="118"/>
        <v>0</v>
      </c>
      <c r="J43" s="279">
        <f t="shared" si="118"/>
        <v>0</v>
      </c>
      <c r="K43" s="279">
        <f t="shared" si="118"/>
        <v>0</v>
      </c>
      <c r="L43" s="279">
        <f t="shared" si="118"/>
        <v>0</v>
      </c>
      <c r="M43" s="279">
        <f t="shared" si="118"/>
        <v>0</v>
      </c>
      <c r="N43" s="279">
        <f t="shared" si="118"/>
        <v>0</v>
      </c>
      <c r="O43" s="279">
        <f t="shared" si="118"/>
        <v>0</v>
      </c>
      <c r="P43" s="279">
        <f t="shared" si="118"/>
        <v>0</v>
      </c>
      <c r="Q43" s="279">
        <f t="shared" si="118"/>
        <v>0</v>
      </c>
      <c r="R43" s="279">
        <f t="shared" si="118"/>
        <v>0</v>
      </c>
      <c r="S43" s="279">
        <f t="shared" si="118"/>
        <v>0</v>
      </c>
      <c r="T43" s="279">
        <f t="shared" si="118"/>
        <v>0</v>
      </c>
      <c r="U43" s="279">
        <f t="shared" si="118"/>
        <v>0</v>
      </c>
      <c r="V43" s="279">
        <f t="shared" si="118"/>
        <v>0</v>
      </c>
      <c r="W43" s="279">
        <f t="shared" si="118"/>
        <v>0</v>
      </c>
      <c r="X43" s="279">
        <f t="shared" si="118"/>
        <v>0</v>
      </c>
      <c r="Y43" s="279">
        <f t="shared" si="118"/>
        <v>0</v>
      </c>
      <c r="Z43" s="279">
        <f t="shared" si="118"/>
        <v>0</v>
      </c>
      <c r="AA43" s="279">
        <f t="shared" si="118"/>
        <v>0</v>
      </c>
      <c r="AB43" s="279">
        <f t="shared" si="118"/>
        <v>0</v>
      </c>
      <c r="AC43" s="279">
        <f t="shared" si="118"/>
        <v>0</v>
      </c>
      <c r="AD43" s="279">
        <f t="shared" si="118"/>
        <v>0</v>
      </c>
      <c r="AE43" s="279">
        <f t="shared" si="118"/>
        <v>0</v>
      </c>
      <c r="AF43" s="279">
        <f t="shared" si="118"/>
        <v>0</v>
      </c>
      <c r="AG43" s="279">
        <f t="shared" si="118"/>
        <v>0</v>
      </c>
      <c r="AH43" s="279">
        <f t="shared" si="118"/>
        <v>0</v>
      </c>
      <c r="AI43" s="279">
        <f t="shared" si="118"/>
        <v>0</v>
      </c>
      <c r="AJ43" s="279">
        <f t="shared" si="118"/>
        <v>0</v>
      </c>
      <c r="AK43" s="279">
        <f t="shared" si="118"/>
        <v>0</v>
      </c>
      <c r="AL43" s="279">
        <f t="shared" si="118"/>
        <v>0</v>
      </c>
      <c r="AM43" s="279">
        <f t="shared" si="118"/>
        <v>0</v>
      </c>
      <c r="AN43" s="279">
        <f t="shared" si="118"/>
        <v>0</v>
      </c>
      <c r="AO43" s="279">
        <f t="shared" si="118"/>
        <v>0</v>
      </c>
      <c r="AP43" s="279">
        <f t="shared" si="118"/>
        <v>0</v>
      </c>
      <c r="AQ43" s="279">
        <f t="shared" si="118"/>
        <v>0</v>
      </c>
      <c r="AR43" s="279">
        <f t="shared" si="118"/>
        <v>0</v>
      </c>
      <c r="AS43" s="279">
        <f t="shared" si="118"/>
        <v>0</v>
      </c>
      <c r="AT43" s="279">
        <f t="shared" si="118"/>
        <v>0</v>
      </c>
      <c r="AU43" s="279">
        <f t="shared" si="118"/>
        <v>0</v>
      </c>
      <c r="AV43" s="279">
        <f t="shared" si="118"/>
        <v>0</v>
      </c>
      <c r="AW43" s="279">
        <f t="shared" si="118"/>
        <v>0</v>
      </c>
      <c r="AX43" s="279">
        <f t="shared" si="118"/>
        <v>0</v>
      </c>
      <c r="AY43" s="279">
        <f t="shared" si="118"/>
        <v>0</v>
      </c>
      <c r="AZ43" s="279">
        <f t="shared" si="118"/>
        <v>0</v>
      </c>
      <c r="BA43" s="279">
        <f t="shared" si="118"/>
        <v>0</v>
      </c>
      <c r="BB43" s="279">
        <f t="shared" si="118"/>
        <v>0</v>
      </c>
      <c r="BC43" s="279">
        <f t="shared" si="118"/>
        <v>0</v>
      </c>
      <c r="BD43" s="279">
        <f t="shared" si="118"/>
        <v>0</v>
      </c>
      <c r="BE43" s="279">
        <f t="shared" si="118"/>
        <v>0</v>
      </c>
      <c r="BF43" s="279">
        <f t="shared" si="118"/>
        <v>0</v>
      </c>
      <c r="BG43" s="279">
        <f t="shared" si="118"/>
        <v>0</v>
      </c>
      <c r="BH43" s="279">
        <f t="shared" si="118"/>
        <v>0</v>
      </c>
      <c r="BI43" s="279">
        <f t="shared" si="118"/>
        <v>0</v>
      </c>
      <c r="BJ43" s="279">
        <f t="shared" si="118"/>
        <v>0</v>
      </c>
      <c r="BK43" s="279">
        <f t="shared" si="118"/>
        <v>0</v>
      </c>
      <c r="BL43" s="279">
        <f t="shared" si="118"/>
        <v>0</v>
      </c>
      <c r="BM43" s="279">
        <f t="shared" si="118"/>
        <v>0</v>
      </c>
      <c r="BN43" s="279">
        <f t="shared" si="118"/>
        <v>0</v>
      </c>
    </row>
    <row r="44" spans="1:66" ht="15.75" x14ac:dyDescent="0.25">
      <c r="A44" s="9" t="s">
        <v>26</v>
      </c>
      <c r="C44" s="322"/>
      <c r="D44" s="23" t="s">
        <v>7</v>
      </c>
      <c r="E44" s="91">
        <f t="shared" si="108"/>
        <v>6.0999999999999943</v>
      </c>
      <c r="F44" s="28">
        <f>IF(F43="",VLOOKUP($C43,'CUSTOS REALIZADOS'!$A$11:$E$995,4),(VLOOKUP($C43,'CUSTOS REALIZADOS'!$A$11:$E$995,5)))</f>
        <v>0.1</v>
      </c>
      <c r="G44" s="28">
        <f>IF(G43="",VLOOKUP($C43,'CUSTOS REALIZADOS'!$A$11:$E$995,4),(VLOOKUP($C43,'CUSTOS REALIZADOS'!$A$11:$E$995,5)))</f>
        <v>0.1</v>
      </c>
      <c r="H44" s="28">
        <f>IF(H43="",VLOOKUP($C43,'CUSTOS REALIZADOS'!$A$11:$E$995,4),(VLOOKUP($C43,'CUSTOS REALIZADOS'!$A$11:$E$995,5)))</f>
        <v>0.1</v>
      </c>
      <c r="I44" s="28">
        <f>IF(I43="",VLOOKUP($C43,'CUSTOS REALIZADOS'!$A$11:$E$995,4),(VLOOKUP($C43,'CUSTOS REALIZADOS'!$A$11:$E$995,5)))</f>
        <v>0.1</v>
      </c>
      <c r="J44" s="28">
        <f>IF(J43="",VLOOKUP($C43,'CUSTOS REALIZADOS'!$A$11:$E$995,4),(VLOOKUP($C43,'CUSTOS REALIZADOS'!$A$11:$E$995,5)))</f>
        <v>0.1</v>
      </c>
      <c r="K44" s="28">
        <f>IF(K43="",VLOOKUP($C43,'CUSTOS REALIZADOS'!$A$11:$E$995,4),(VLOOKUP($C43,'CUSTOS REALIZADOS'!$A$11:$E$995,5)))</f>
        <v>0.1</v>
      </c>
      <c r="L44" s="28">
        <f>IF(L43="",VLOOKUP($C43,'CUSTOS REALIZADOS'!$A$11:$E$995,4),(VLOOKUP($C43,'CUSTOS REALIZADOS'!$A$11:$E$995,5)))</f>
        <v>0.1</v>
      </c>
      <c r="M44" s="28">
        <f>IF(M43="",VLOOKUP($C43,'CUSTOS REALIZADOS'!$A$11:$E$995,4),(VLOOKUP($C43,'CUSTOS REALIZADOS'!$A$11:$E$995,5)))</f>
        <v>0.1</v>
      </c>
      <c r="N44" s="28">
        <f>IF(N43="",VLOOKUP($C43,'CUSTOS REALIZADOS'!$A$11:$E$995,4),(VLOOKUP($C43,'CUSTOS REALIZADOS'!$A$11:$E$995,5)))</f>
        <v>0.1</v>
      </c>
      <c r="O44" s="28">
        <f>IF(O43="",VLOOKUP($C43,'CUSTOS REALIZADOS'!$A$11:$E$995,4),(VLOOKUP($C43,'CUSTOS REALIZADOS'!$A$11:$E$995,5)))</f>
        <v>0.1</v>
      </c>
      <c r="P44" s="28">
        <f>IF(P43="",VLOOKUP($C43,'CUSTOS REALIZADOS'!$A$11:$E$995,4),(VLOOKUP($C43,'CUSTOS REALIZADOS'!$A$11:$E$995,5)))</f>
        <v>0.1</v>
      </c>
      <c r="Q44" s="28">
        <f>IF(Q43="",VLOOKUP($C43,'CUSTOS REALIZADOS'!$A$11:$E$995,4),(VLOOKUP($C43,'CUSTOS REALIZADOS'!$A$11:$E$995,5)))</f>
        <v>0.1</v>
      </c>
      <c r="R44" s="28">
        <f>IF(R43="",VLOOKUP($C43,'CUSTOS REALIZADOS'!$A$11:$E$995,4),(VLOOKUP($C43,'CUSTOS REALIZADOS'!$A$11:$E$995,5)))</f>
        <v>0.1</v>
      </c>
      <c r="S44" s="28">
        <f>IF(S43="",VLOOKUP($C43,'CUSTOS REALIZADOS'!$A$11:$E$995,4),(VLOOKUP($C43,'CUSTOS REALIZADOS'!$A$11:$E$995,5)))</f>
        <v>0.1</v>
      </c>
      <c r="T44" s="28">
        <f>IF(T43="",VLOOKUP($C43,'CUSTOS REALIZADOS'!$A$11:$E$995,4),(VLOOKUP($C43,'CUSTOS REALIZADOS'!$A$11:$E$995,5)))</f>
        <v>0.1</v>
      </c>
      <c r="U44" s="28">
        <f>IF(U43="",VLOOKUP($C43,'CUSTOS REALIZADOS'!$A$11:$E$995,4),(VLOOKUP($C43,'CUSTOS REALIZADOS'!$A$11:$E$995,5)))</f>
        <v>0.1</v>
      </c>
      <c r="V44" s="28">
        <f>IF(V43="",VLOOKUP($C43,'CUSTOS REALIZADOS'!$A$11:$E$995,4),(VLOOKUP($C43,'CUSTOS REALIZADOS'!$A$11:$E$995,5)))</f>
        <v>0.1</v>
      </c>
      <c r="W44" s="28">
        <f>IF(W43="",VLOOKUP($C43,'CUSTOS REALIZADOS'!$A$11:$E$995,4),(VLOOKUP($C43,'CUSTOS REALIZADOS'!$A$11:$E$995,5)))</f>
        <v>0.1</v>
      </c>
      <c r="X44" s="28">
        <f>IF(X43="",VLOOKUP($C43,'CUSTOS REALIZADOS'!$A$11:$E$995,4),(VLOOKUP($C43,'CUSTOS REALIZADOS'!$A$11:$E$995,5)))</f>
        <v>0.1</v>
      </c>
      <c r="Y44" s="28">
        <f>IF(Y43="",VLOOKUP($C43,'CUSTOS REALIZADOS'!$A$11:$E$995,4),(VLOOKUP($C43,'CUSTOS REALIZADOS'!$A$11:$E$995,5)))</f>
        <v>0.1</v>
      </c>
      <c r="Z44" s="28">
        <f>IF(Z43="",VLOOKUP($C43,'CUSTOS REALIZADOS'!$A$11:$E$995,4),(VLOOKUP($C43,'CUSTOS REALIZADOS'!$A$11:$E$995,5)))</f>
        <v>0.1</v>
      </c>
      <c r="AA44" s="28">
        <f>IF(AA43="",VLOOKUP($C43,'CUSTOS REALIZADOS'!$A$11:$E$995,4),(VLOOKUP($C43,'CUSTOS REALIZADOS'!$A$11:$E$995,5)))</f>
        <v>0.1</v>
      </c>
      <c r="AB44" s="28">
        <f>IF(AB43="",VLOOKUP($C43,'CUSTOS REALIZADOS'!$A$11:$E$995,4),(VLOOKUP($C43,'CUSTOS REALIZADOS'!$A$11:$E$995,5)))</f>
        <v>0.1</v>
      </c>
      <c r="AC44" s="28">
        <f>IF(AC43="",VLOOKUP($C43,'CUSTOS REALIZADOS'!$A$11:$E$995,4),(VLOOKUP($C43,'CUSTOS REALIZADOS'!$A$11:$E$995,5)))</f>
        <v>0.1</v>
      </c>
      <c r="AD44" s="28">
        <f>IF(AD43="",VLOOKUP($C43,'CUSTOS REALIZADOS'!$A$11:$E$995,4),(VLOOKUP($C43,'CUSTOS REALIZADOS'!$A$11:$E$995,5)))</f>
        <v>0.1</v>
      </c>
      <c r="AE44" s="28">
        <f>IF(AE43="",VLOOKUP($C43,'CUSTOS REALIZADOS'!$A$11:$E$995,4),(VLOOKUP($C43,'CUSTOS REALIZADOS'!$A$11:$E$995,5)))</f>
        <v>0.1</v>
      </c>
      <c r="AF44" s="28">
        <f>IF(AF43="",VLOOKUP($C43,'CUSTOS REALIZADOS'!$A$11:$E$995,4),(VLOOKUP($C43,'CUSTOS REALIZADOS'!$A$11:$E$995,5)))</f>
        <v>0.1</v>
      </c>
      <c r="AG44" s="28">
        <f>IF(AG43="",VLOOKUP($C43,'CUSTOS REALIZADOS'!$A$11:$E$995,4),(VLOOKUP($C43,'CUSTOS REALIZADOS'!$A$11:$E$995,5)))</f>
        <v>0.1</v>
      </c>
      <c r="AH44" s="28">
        <f>IF(AH43="",VLOOKUP($C43,'CUSTOS REALIZADOS'!$A$11:$E$995,4),(VLOOKUP($C43,'CUSTOS REALIZADOS'!$A$11:$E$995,5)))</f>
        <v>0.1</v>
      </c>
      <c r="AI44" s="28">
        <f>IF(AI43="",VLOOKUP($C43,'CUSTOS REALIZADOS'!$A$11:$E$995,4),(VLOOKUP($C43,'CUSTOS REALIZADOS'!$A$11:$E$995,5)))</f>
        <v>0.1</v>
      </c>
      <c r="AJ44" s="28">
        <f>IF(AJ43="",VLOOKUP($C43,'CUSTOS REALIZADOS'!$A$11:$E$995,4),(VLOOKUP($C43,'CUSTOS REALIZADOS'!$A$11:$E$995,5)))</f>
        <v>0.1</v>
      </c>
      <c r="AK44" s="28">
        <f>IF(AK43="",VLOOKUP($C43,'CUSTOS REALIZADOS'!$A$11:$E$995,4),(VLOOKUP($C43,'CUSTOS REALIZADOS'!$A$11:$E$995,5)))</f>
        <v>0.1</v>
      </c>
      <c r="AL44" s="28">
        <f>IF(AL43="",VLOOKUP($C43,'CUSTOS REALIZADOS'!$A$11:$E$995,4),(VLOOKUP($C43,'CUSTOS REALIZADOS'!$A$11:$E$995,5)))</f>
        <v>0.1</v>
      </c>
      <c r="AM44" s="28">
        <f>IF(AM43="",VLOOKUP($C43,'CUSTOS REALIZADOS'!$A$11:$E$995,4),(VLOOKUP($C43,'CUSTOS REALIZADOS'!$A$11:$E$995,5)))</f>
        <v>0.1</v>
      </c>
      <c r="AN44" s="28">
        <f>IF(AN43="",VLOOKUP($C43,'CUSTOS REALIZADOS'!$A$11:$E$995,4),(VLOOKUP($C43,'CUSTOS REALIZADOS'!$A$11:$E$995,5)))</f>
        <v>0.1</v>
      </c>
      <c r="AO44" s="28">
        <f>IF(AO43="",VLOOKUP($C43,'CUSTOS REALIZADOS'!$A$11:$E$995,4),(VLOOKUP($C43,'CUSTOS REALIZADOS'!$A$11:$E$995,5)))</f>
        <v>0.1</v>
      </c>
      <c r="AP44" s="28">
        <f>IF(AP43="",VLOOKUP($C43,'CUSTOS REALIZADOS'!$A$11:$E$995,4),(VLOOKUP($C43,'CUSTOS REALIZADOS'!$A$11:$E$995,5)))</f>
        <v>0.1</v>
      </c>
      <c r="AQ44" s="28">
        <f>IF(AQ43="",VLOOKUP($C43,'CUSTOS REALIZADOS'!$A$11:$E$995,4),(VLOOKUP($C43,'CUSTOS REALIZADOS'!$A$11:$E$995,5)))</f>
        <v>0.1</v>
      </c>
      <c r="AR44" s="28">
        <f>IF(AR43="",VLOOKUP($C43,'CUSTOS REALIZADOS'!$A$11:$E$995,4),(VLOOKUP($C43,'CUSTOS REALIZADOS'!$A$11:$E$995,5)))</f>
        <v>0.1</v>
      </c>
      <c r="AS44" s="28">
        <f>IF(AS43="",VLOOKUP($C43,'CUSTOS REALIZADOS'!$A$11:$E$995,4),(VLOOKUP($C43,'CUSTOS REALIZADOS'!$A$11:$E$995,5)))</f>
        <v>0.1</v>
      </c>
      <c r="AT44" s="28">
        <f>IF(AT43="",VLOOKUP($C43,'CUSTOS REALIZADOS'!$A$11:$E$995,4),(VLOOKUP($C43,'CUSTOS REALIZADOS'!$A$11:$E$995,5)))</f>
        <v>0.1</v>
      </c>
      <c r="AU44" s="28">
        <f>IF(AU43="",VLOOKUP($C43,'CUSTOS REALIZADOS'!$A$11:$E$995,4),(VLOOKUP($C43,'CUSTOS REALIZADOS'!$A$11:$E$995,5)))</f>
        <v>0.1</v>
      </c>
      <c r="AV44" s="28">
        <f>IF(AV43="",VLOOKUP($C43,'CUSTOS REALIZADOS'!$A$11:$E$995,4),(VLOOKUP($C43,'CUSTOS REALIZADOS'!$A$11:$E$995,5)))</f>
        <v>0.1</v>
      </c>
      <c r="AW44" s="28">
        <f>IF(AW43="",VLOOKUP($C43,'CUSTOS REALIZADOS'!$A$11:$E$995,4),(VLOOKUP($C43,'CUSTOS REALIZADOS'!$A$11:$E$995,5)))</f>
        <v>0.1</v>
      </c>
      <c r="AX44" s="28">
        <f>IF(AX43="",VLOOKUP($C43,'CUSTOS REALIZADOS'!$A$11:$E$995,4),(VLOOKUP($C43,'CUSTOS REALIZADOS'!$A$11:$E$995,5)))</f>
        <v>0.1</v>
      </c>
      <c r="AY44" s="28">
        <f>IF(AY43="",VLOOKUP($C43,'CUSTOS REALIZADOS'!$A$11:$E$995,4),(VLOOKUP($C43,'CUSTOS REALIZADOS'!$A$11:$E$995,5)))</f>
        <v>0.1</v>
      </c>
      <c r="AZ44" s="28">
        <f>IF(AZ43="",VLOOKUP($C43,'CUSTOS REALIZADOS'!$A$11:$E$995,4),(VLOOKUP($C43,'CUSTOS REALIZADOS'!$A$11:$E$995,5)))</f>
        <v>0.1</v>
      </c>
      <c r="BA44" s="28">
        <f>IF(BA43="",VLOOKUP($C43,'CUSTOS REALIZADOS'!$A$11:$E$995,4),(VLOOKUP($C43,'CUSTOS REALIZADOS'!$A$11:$E$995,5)))</f>
        <v>0.1</v>
      </c>
      <c r="BB44" s="28">
        <f>IF(BB43="",VLOOKUP($C43,'CUSTOS REALIZADOS'!$A$11:$E$995,4),(VLOOKUP($C43,'CUSTOS REALIZADOS'!$A$11:$E$995,5)))</f>
        <v>0.1</v>
      </c>
      <c r="BC44" s="28">
        <f>IF(BC43="",VLOOKUP($C43,'CUSTOS REALIZADOS'!$A$11:$E$995,4),(VLOOKUP($C43,'CUSTOS REALIZADOS'!$A$11:$E$995,5)))</f>
        <v>0.1</v>
      </c>
      <c r="BD44" s="28">
        <f>IF(BD43="",VLOOKUP($C43,'CUSTOS REALIZADOS'!$A$11:$E$995,4),(VLOOKUP($C43,'CUSTOS REALIZADOS'!$A$11:$E$995,5)))</f>
        <v>0.1</v>
      </c>
      <c r="BE44" s="28">
        <f>IF(BE43="",VLOOKUP($C43,'CUSTOS REALIZADOS'!$A$11:$E$995,4),(VLOOKUP($C43,'CUSTOS REALIZADOS'!$A$11:$E$995,5)))</f>
        <v>0.1</v>
      </c>
      <c r="BF44" s="28">
        <f>IF(BF43="",VLOOKUP($C43,'CUSTOS REALIZADOS'!$A$11:$E$995,4),(VLOOKUP($C43,'CUSTOS REALIZADOS'!$A$11:$E$995,5)))</f>
        <v>0.1</v>
      </c>
      <c r="BG44" s="28">
        <f>IF(BG43="",VLOOKUP($C43,'CUSTOS REALIZADOS'!$A$11:$E$995,4),(VLOOKUP($C43,'CUSTOS REALIZADOS'!$A$11:$E$995,5)))</f>
        <v>0.1</v>
      </c>
      <c r="BH44" s="28">
        <f>IF(BH43="",VLOOKUP($C43,'CUSTOS REALIZADOS'!$A$11:$E$995,4),(VLOOKUP($C43,'CUSTOS REALIZADOS'!$A$11:$E$995,5)))</f>
        <v>0.1</v>
      </c>
      <c r="BI44" s="28">
        <f>IF(BI43="",VLOOKUP($C43,'CUSTOS REALIZADOS'!$A$11:$E$995,4),(VLOOKUP($C43,'CUSTOS REALIZADOS'!$A$11:$E$995,5)))</f>
        <v>0.1</v>
      </c>
      <c r="BJ44" s="28">
        <f>IF(BJ43="",VLOOKUP($C43,'CUSTOS REALIZADOS'!$A$11:$E$995,4),(VLOOKUP($C43,'CUSTOS REALIZADOS'!$A$11:$E$995,5)))</f>
        <v>0.1</v>
      </c>
      <c r="BK44" s="28">
        <f>IF(BK43="",VLOOKUP($C43,'CUSTOS REALIZADOS'!$A$11:$E$995,4),(VLOOKUP($C43,'CUSTOS REALIZADOS'!$A$11:$E$995,5)))</f>
        <v>0.1</v>
      </c>
      <c r="BL44" s="28">
        <f>IF(BL43="",VLOOKUP($C43,'CUSTOS REALIZADOS'!$A$11:$E$995,4),(VLOOKUP($C43,'CUSTOS REALIZADOS'!$A$11:$E$995,5)))</f>
        <v>0.1</v>
      </c>
      <c r="BM44" s="28">
        <f>IF(BM43="",VLOOKUP($C43,'CUSTOS REALIZADOS'!$A$11:$E$995,4),(VLOOKUP($C43,'CUSTOS REALIZADOS'!$A$11:$E$995,5)))</f>
        <v>0.1</v>
      </c>
      <c r="BN44" s="28">
        <f>IF(BN43="",VLOOKUP($C43,'CUSTOS REALIZADOS'!$A$11:$E$995,4),(VLOOKUP($C43,'CUSTOS REALIZADOS'!$A$11:$E$995,5)))</f>
        <v>0.1</v>
      </c>
    </row>
    <row r="45" spans="1:66" ht="12" customHeight="1" x14ac:dyDescent="0.2">
      <c r="C45" s="322"/>
      <c r="D45" s="23" t="s">
        <v>6</v>
      </c>
      <c r="E45" s="27">
        <f t="shared" si="108"/>
        <v>95000</v>
      </c>
      <c r="F45" s="23">
        <f>IF(AND($C43&gt;=F$6,OR($C43&lt;F$8,F$8="")),F$7*F$28,0)</f>
        <v>0</v>
      </c>
      <c r="G45" s="23">
        <f t="shared" ref="G45:BN45" si="119">IF(AND($C43&gt;=G$6,OR($C43&lt;G$8,G$8="")),G$7*G$28,0)</f>
        <v>45000</v>
      </c>
      <c r="H45" s="23">
        <f t="shared" si="119"/>
        <v>50000</v>
      </c>
      <c r="I45" s="23">
        <f t="shared" si="119"/>
        <v>0</v>
      </c>
      <c r="J45" s="23">
        <f t="shared" si="119"/>
        <v>0</v>
      </c>
      <c r="K45" s="23">
        <f t="shared" si="119"/>
        <v>0</v>
      </c>
      <c r="L45" s="23">
        <f t="shared" si="119"/>
        <v>0</v>
      </c>
      <c r="M45" s="23">
        <f t="shared" si="119"/>
        <v>0</v>
      </c>
      <c r="N45" s="23">
        <f t="shared" si="119"/>
        <v>0</v>
      </c>
      <c r="O45" s="23">
        <f t="shared" si="119"/>
        <v>0</v>
      </c>
      <c r="P45" s="23">
        <f t="shared" si="119"/>
        <v>0</v>
      </c>
      <c r="Q45" s="23">
        <f t="shared" si="119"/>
        <v>0</v>
      </c>
      <c r="R45" s="23">
        <f t="shared" si="119"/>
        <v>0</v>
      </c>
      <c r="S45" s="23">
        <f t="shared" si="119"/>
        <v>0</v>
      </c>
      <c r="T45" s="23">
        <f t="shared" si="119"/>
        <v>0</v>
      </c>
      <c r="U45" s="23">
        <f t="shared" si="119"/>
        <v>0</v>
      </c>
      <c r="V45" s="23">
        <f t="shared" si="119"/>
        <v>0</v>
      </c>
      <c r="W45" s="23">
        <f t="shared" si="119"/>
        <v>0</v>
      </c>
      <c r="X45" s="23">
        <f t="shared" si="119"/>
        <v>0</v>
      </c>
      <c r="Y45" s="23">
        <f t="shared" si="119"/>
        <v>0</v>
      </c>
      <c r="Z45" s="23">
        <f t="shared" si="119"/>
        <v>0</v>
      </c>
      <c r="AA45" s="23">
        <f t="shared" si="119"/>
        <v>0</v>
      </c>
      <c r="AB45" s="23">
        <f t="shared" si="119"/>
        <v>0</v>
      </c>
      <c r="AC45" s="23">
        <f t="shared" si="119"/>
        <v>0</v>
      </c>
      <c r="AD45" s="23">
        <f t="shared" si="119"/>
        <v>0</v>
      </c>
      <c r="AE45" s="23">
        <f t="shared" si="119"/>
        <v>0</v>
      </c>
      <c r="AF45" s="23">
        <f t="shared" si="119"/>
        <v>0</v>
      </c>
      <c r="AG45" s="23">
        <f t="shared" si="119"/>
        <v>0</v>
      </c>
      <c r="AH45" s="23">
        <f t="shared" si="119"/>
        <v>0</v>
      </c>
      <c r="AI45" s="23">
        <f t="shared" si="119"/>
        <v>0</v>
      </c>
      <c r="AJ45" s="23">
        <f t="shared" si="119"/>
        <v>0</v>
      </c>
      <c r="AK45" s="23">
        <f t="shared" si="119"/>
        <v>0</v>
      </c>
      <c r="AL45" s="23">
        <f t="shared" si="119"/>
        <v>0</v>
      </c>
      <c r="AM45" s="23">
        <f t="shared" si="119"/>
        <v>0</v>
      </c>
      <c r="AN45" s="23">
        <f t="shared" si="119"/>
        <v>0</v>
      </c>
      <c r="AO45" s="23">
        <f t="shared" si="119"/>
        <v>0</v>
      </c>
      <c r="AP45" s="23">
        <f t="shared" si="119"/>
        <v>0</v>
      </c>
      <c r="AQ45" s="23">
        <f t="shared" si="119"/>
        <v>0</v>
      </c>
      <c r="AR45" s="23">
        <f t="shared" si="119"/>
        <v>0</v>
      </c>
      <c r="AS45" s="23">
        <f t="shared" si="119"/>
        <v>0</v>
      </c>
      <c r="AT45" s="23">
        <f t="shared" si="119"/>
        <v>0</v>
      </c>
      <c r="AU45" s="23">
        <f t="shared" si="119"/>
        <v>0</v>
      </c>
      <c r="AV45" s="23">
        <f t="shared" si="119"/>
        <v>0</v>
      </c>
      <c r="AW45" s="23">
        <f t="shared" si="119"/>
        <v>0</v>
      </c>
      <c r="AX45" s="23">
        <f t="shared" si="119"/>
        <v>0</v>
      </c>
      <c r="AY45" s="23">
        <f t="shared" si="119"/>
        <v>0</v>
      </c>
      <c r="AZ45" s="23">
        <f t="shared" si="119"/>
        <v>0</v>
      </c>
      <c r="BA45" s="23">
        <f t="shared" si="119"/>
        <v>0</v>
      </c>
      <c r="BB45" s="23">
        <f t="shared" si="119"/>
        <v>0</v>
      </c>
      <c r="BC45" s="23">
        <f t="shared" si="119"/>
        <v>0</v>
      </c>
      <c r="BD45" s="23">
        <f t="shared" si="119"/>
        <v>0</v>
      </c>
      <c r="BE45" s="23">
        <f t="shared" si="119"/>
        <v>0</v>
      </c>
      <c r="BF45" s="23">
        <f t="shared" si="119"/>
        <v>0</v>
      </c>
      <c r="BG45" s="23">
        <f t="shared" si="119"/>
        <v>0</v>
      </c>
      <c r="BH45" s="23">
        <f t="shared" si="119"/>
        <v>0</v>
      </c>
      <c r="BI45" s="23">
        <f t="shared" si="119"/>
        <v>0</v>
      </c>
      <c r="BJ45" s="23">
        <f t="shared" si="119"/>
        <v>0</v>
      </c>
      <c r="BK45" s="23">
        <f t="shared" si="119"/>
        <v>0</v>
      </c>
      <c r="BL45" s="23">
        <f t="shared" si="119"/>
        <v>0</v>
      </c>
      <c r="BM45" s="23">
        <f t="shared" si="119"/>
        <v>0</v>
      </c>
      <c r="BN45" s="23">
        <f t="shared" si="119"/>
        <v>0</v>
      </c>
    </row>
    <row r="46" spans="1:66" x14ac:dyDescent="0.2">
      <c r="C46" s="322"/>
      <c r="D46" s="23" t="s">
        <v>9</v>
      </c>
      <c r="E46" s="27">
        <f t="shared" si="108"/>
        <v>0</v>
      </c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</row>
    <row r="47" spans="1:66" x14ac:dyDescent="0.2">
      <c r="C47" s="322"/>
      <c r="D47" s="23" t="s">
        <v>14</v>
      </c>
      <c r="E47" s="27">
        <f>SUM(F47:AY47)</f>
        <v>855106.45500000007</v>
      </c>
      <c r="F47" s="23">
        <f>IF(F42=0,F43-F46,F42-F46)</f>
        <v>-150.04499999999999</v>
      </c>
      <c r="G47" s="23">
        <f t="shared" ref="G47" si="120">IF(G42=0,G43-G46,G42-G46)</f>
        <v>405121.5</v>
      </c>
      <c r="H47" s="23">
        <f t="shared" ref="H47" si="121">IF(H42=0,H43-H46,H42-H46)</f>
        <v>450135</v>
      </c>
      <c r="I47" s="23">
        <f t="shared" ref="I47" si="122">IF(I42=0,I43-I46,I42-I46)</f>
        <v>0</v>
      </c>
      <c r="J47" s="23">
        <f t="shared" ref="J47" si="123">IF(J42=0,J43-J46,J42-J46)</f>
        <v>0</v>
      </c>
      <c r="K47" s="23">
        <f t="shared" ref="K47" si="124">IF(K42=0,K43-K46,K42-K46)</f>
        <v>0</v>
      </c>
      <c r="L47" s="23">
        <f t="shared" ref="L47" si="125">IF(L42=0,L43-L46,L42-L46)</f>
        <v>0</v>
      </c>
      <c r="M47" s="23">
        <f t="shared" ref="M47" si="126">IF(M42=0,M43-M46,M42-M46)</f>
        <v>0</v>
      </c>
      <c r="N47" s="23">
        <f t="shared" ref="N47" si="127">IF(N42=0,N43-N46,N42-N46)</f>
        <v>0</v>
      </c>
      <c r="O47" s="23">
        <f t="shared" ref="O47" si="128">IF(O42=0,O43-O46,O42-O46)</f>
        <v>0</v>
      </c>
      <c r="P47" s="23">
        <f t="shared" ref="P47" si="129">IF(P42=0,P43-P46,P42-P46)</f>
        <v>0</v>
      </c>
      <c r="Q47" s="23">
        <f t="shared" ref="Q47" si="130">IF(Q42=0,Q43-Q46,Q42-Q46)</f>
        <v>0</v>
      </c>
      <c r="R47" s="23">
        <f t="shared" ref="R47" si="131">IF(R42=0,R43-R46,R42-R46)</f>
        <v>0</v>
      </c>
      <c r="S47" s="23">
        <f t="shared" ref="S47" si="132">IF(S42=0,S43-S46,S42-S46)</f>
        <v>0</v>
      </c>
      <c r="T47" s="23">
        <f t="shared" ref="T47" si="133">IF(T42=0,T43-T46,T42-T46)</f>
        <v>0</v>
      </c>
      <c r="U47" s="23">
        <f t="shared" ref="U47" si="134">IF(U42=0,U43-U46,U42-U46)</f>
        <v>0</v>
      </c>
      <c r="V47" s="23">
        <f t="shared" ref="V47" si="135">IF(V42=0,V43-V46,V42-V46)</f>
        <v>0</v>
      </c>
      <c r="W47" s="23">
        <f t="shared" ref="W47" si="136">IF(W42=0,W43-W46,W42-W46)</f>
        <v>0</v>
      </c>
      <c r="X47" s="23">
        <f t="shared" ref="X47" si="137">IF(X42=0,X43-X46,X42-X46)</f>
        <v>0</v>
      </c>
      <c r="Y47" s="23">
        <f t="shared" ref="Y47" si="138">IF(Y42=0,Y43-Y46,Y42-Y46)</f>
        <v>0</v>
      </c>
      <c r="Z47" s="23">
        <f t="shared" ref="Z47" si="139">IF(Z42=0,Z43-Z46,Z42-Z46)</f>
        <v>0</v>
      </c>
      <c r="AA47" s="23">
        <f t="shared" ref="AA47" si="140">IF(AA42=0,AA43-AA46,AA42-AA46)</f>
        <v>0</v>
      </c>
      <c r="AB47" s="23">
        <f t="shared" ref="AB47" si="141">IF(AB42=0,AB43-AB46,AB42-AB46)</f>
        <v>0</v>
      </c>
      <c r="AC47" s="23">
        <f t="shared" ref="AC47" si="142">IF(AC42=0,AC43-AC46,AC42-AC46)</f>
        <v>0</v>
      </c>
      <c r="AD47" s="23">
        <f t="shared" ref="AD47" si="143">IF(AD42=0,AD43-AD46,AD42-AD46)</f>
        <v>0</v>
      </c>
      <c r="AE47" s="23">
        <f t="shared" ref="AE47" si="144">IF(AE42=0,AE43-AE46,AE42-AE46)</f>
        <v>0</v>
      </c>
      <c r="AF47" s="23">
        <f t="shared" ref="AF47" si="145">IF(AF42=0,AF43-AF46,AF42-AF46)</f>
        <v>0</v>
      </c>
      <c r="AG47" s="23">
        <f t="shared" ref="AG47" si="146">IF(AG42=0,AG43-AG46,AG42-AG46)</f>
        <v>0</v>
      </c>
      <c r="AH47" s="23">
        <f t="shared" ref="AH47" si="147">IF(AH42=0,AH43-AH46,AH42-AH46)</f>
        <v>0</v>
      </c>
      <c r="AI47" s="23">
        <f t="shared" ref="AI47" si="148">IF(AI42=0,AI43-AI46,AI42-AI46)</f>
        <v>0</v>
      </c>
      <c r="AJ47" s="23">
        <f t="shared" ref="AJ47" si="149">IF(AJ42=0,AJ43-AJ46,AJ42-AJ46)</f>
        <v>0</v>
      </c>
      <c r="AK47" s="23">
        <f t="shared" ref="AK47" si="150">IF(AK42=0,AK43-AK46,AK42-AK46)</f>
        <v>0</v>
      </c>
      <c r="AL47" s="23">
        <f t="shared" ref="AL47" si="151">IF(AL42=0,AL43-AL46,AL42-AL46)</f>
        <v>0</v>
      </c>
      <c r="AM47" s="23">
        <f t="shared" ref="AM47" si="152">IF(AM42=0,AM43-AM46,AM42-AM46)</f>
        <v>0</v>
      </c>
      <c r="AN47" s="23">
        <f t="shared" ref="AN47" si="153">IF(AN42=0,AN43-AN46,AN42-AN46)</f>
        <v>0</v>
      </c>
      <c r="AO47" s="23">
        <f t="shared" ref="AO47" si="154">IF(AO42=0,AO43-AO46,AO42-AO46)</f>
        <v>0</v>
      </c>
      <c r="AP47" s="23">
        <f t="shared" ref="AP47" si="155">IF(AP42=0,AP43-AP46,AP42-AP46)</f>
        <v>0</v>
      </c>
      <c r="AQ47" s="23">
        <f t="shared" ref="AQ47" si="156">IF(AQ42=0,AQ43-AQ46,AQ42-AQ46)</f>
        <v>0</v>
      </c>
      <c r="AR47" s="23">
        <f t="shared" ref="AR47" si="157">IF(AR42=0,AR43-AR46,AR42-AR46)</f>
        <v>0</v>
      </c>
      <c r="AS47" s="23">
        <f t="shared" ref="AS47" si="158">IF(AS42=0,AS43-AS46,AS42-AS46)</f>
        <v>0</v>
      </c>
      <c r="AT47" s="23">
        <f t="shared" ref="AT47" si="159">IF(AT42=0,AT43-AT46,AT42-AT46)</f>
        <v>0</v>
      </c>
      <c r="AU47" s="23">
        <f t="shared" ref="AU47" si="160">IF(AU42=0,AU43-AU46,AU42-AU46)</f>
        <v>0</v>
      </c>
      <c r="AV47" s="23">
        <f t="shared" ref="AV47" si="161">IF(AV42=0,AV43-AV46,AV42-AV46)</f>
        <v>0</v>
      </c>
      <c r="AW47" s="23">
        <f t="shared" ref="AW47" si="162">IF(AW42=0,AW43-AW46,AW42-AW46)</f>
        <v>0</v>
      </c>
      <c r="AX47" s="23">
        <f t="shared" ref="AX47" si="163">IF(AX42=0,AX43-AX46,AX42-AX46)</f>
        <v>0</v>
      </c>
      <c r="AY47" s="23">
        <f t="shared" ref="AY47" si="164">IF(AY42=0,AY43-AY46,AY42-AY46)</f>
        <v>0</v>
      </c>
      <c r="AZ47" s="23">
        <f t="shared" ref="AZ47" si="165">IF(AZ42=0,AZ43-AZ46,AZ42-AZ46)</f>
        <v>0</v>
      </c>
      <c r="BA47" s="23">
        <f t="shared" ref="BA47" si="166">IF(BA42=0,BA43-BA46,BA42-BA46)</f>
        <v>0</v>
      </c>
      <c r="BB47" s="23">
        <f t="shared" ref="BB47" si="167">IF(BB42=0,BB43-BB46,BB42-BB46)</f>
        <v>0</v>
      </c>
      <c r="BC47" s="23">
        <f t="shared" ref="BC47" si="168">IF(BC42=0,BC43-BC46,BC42-BC46)</f>
        <v>0</v>
      </c>
      <c r="BD47" s="23">
        <f t="shared" ref="BD47" si="169">IF(BD42=0,BD43-BD46,BD42-BD46)</f>
        <v>0</v>
      </c>
      <c r="BE47" s="23">
        <f t="shared" ref="BE47" si="170">IF(BE42=0,BE43-BE46,BE42-BE46)</f>
        <v>0</v>
      </c>
      <c r="BF47" s="23">
        <f t="shared" ref="BF47" si="171">IF(BF42=0,BF43-BF46,BF42-BF46)</f>
        <v>0</v>
      </c>
      <c r="BG47" s="23">
        <f t="shared" ref="BG47" si="172">IF(BG42=0,BG43-BG46,BG42-BG46)</f>
        <v>0</v>
      </c>
      <c r="BH47" s="23">
        <f t="shared" ref="BH47" si="173">IF(BH42=0,BH43-BH46,BH42-BH46)</f>
        <v>0</v>
      </c>
      <c r="BI47" s="23">
        <f t="shared" ref="BI47" si="174">IF(BI42=0,BI43-BI46,BI42-BI46)</f>
        <v>0</v>
      </c>
      <c r="BJ47" s="23">
        <f t="shared" ref="BJ47" si="175">IF(BJ42=0,BJ43-BJ46,BJ42-BJ46)</f>
        <v>0</v>
      </c>
      <c r="BK47" s="23">
        <f t="shared" ref="BK47" si="176">IF(BK42=0,BK43-BK46,BK42-BK46)</f>
        <v>0</v>
      </c>
      <c r="BL47" s="23">
        <f t="shared" ref="BL47" si="177">IF(BL42=0,BL43-BL46,BL42-BL46)</f>
        <v>0</v>
      </c>
      <c r="BM47" s="23">
        <f t="shared" ref="BM47" si="178">IF(BM42=0,BM43-BM46,BM42-BM46)</f>
        <v>0</v>
      </c>
      <c r="BN47" s="23">
        <f t="shared" ref="BN47" si="179">IF(BN42=0,BN43-BN46,BN42-BN46)</f>
        <v>0</v>
      </c>
    </row>
    <row r="48" spans="1:66" x14ac:dyDescent="0.2">
      <c r="C48" s="322"/>
      <c r="D48" s="23" t="s">
        <v>10</v>
      </c>
      <c r="E48" s="72">
        <v>8.8000000000000005E-3</v>
      </c>
      <c r="F48" s="54">
        <v>8.8000000000000005E-3</v>
      </c>
      <c r="G48" s="54">
        <v>8.8000000000000005E-3</v>
      </c>
      <c r="H48" s="54">
        <v>8.8000000000000005E-3</v>
      </c>
      <c r="I48" s="54">
        <v>8.8000000000000005E-3</v>
      </c>
      <c r="J48" s="54">
        <v>8.8000000000000005E-3</v>
      </c>
      <c r="K48" s="54">
        <v>8.8000000000000005E-3</v>
      </c>
      <c r="L48" s="54">
        <v>8.8000000000000005E-3</v>
      </c>
      <c r="M48" s="54">
        <v>8.8000000000000005E-3</v>
      </c>
      <c r="N48" s="54">
        <v>8.8000000000000005E-3</v>
      </c>
      <c r="O48" s="54">
        <v>8.8000000000000005E-3</v>
      </c>
      <c r="P48" s="54">
        <v>8.8000000000000005E-3</v>
      </c>
      <c r="Q48" s="54">
        <v>8.8000000000000005E-3</v>
      </c>
      <c r="R48" s="54">
        <v>8.8000000000000005E-3</v>
      </c>
      <c r="S48" s="54">
        <v>8.8000000000000005E-3</v>
      </c>
      <c r="T48" s="54">
        <v>8.8000000000000005E-3</v>
      </c>
      <c r="U48" s="54">
        <v>8.8000000000000005E-3</v>
      </c>
      <c r="V48" s="54">
        <v>8.8000000000000005E-3</v>
      </c>
      <c r="W48" s="54">
        <v>8.8000000000000005E-3</v>
      </c>
      <c r="X48" s="54">
        <v>8.8000000000000005E-3</v>
      </c>
      <c r="Y48" s="54">
        <v>8.8000000000000005E-3</v>
      </c>
      <c r="Z48" s="54">
        <v>8.8000000000000005E-3</v>
      </c>
      <c r="AA48" s="54">
        <v>8.8000000000000005E-3</v>
      </c>
      <c r="AB48" s="54">
        <v>8.8000000000000005E-3</v>
      </c>
      <c r="AC48" s="54">
        <v>8.8000000000000005E-3</v>
      </c>
      <c r="AD48" s="54">
        <v>8.8000000000000005E-3</v>
      </c>
      <c r="AE48" s="54">
        <v>8.8000000000000005E-3</v>
      </c>
      <c r="AF48" s="54">
        <v>8.8000000000000005E-3</v>
      </c>
      <c r="AG48" s="54">
        <v>8.8000000000000005E-3</v>
      </c>
      <c r="AH48" s="54">
        <v>8.8000000000000005E-3</v>
      </c>
      <c r="AI48" s="54">
        <v>8.8000000000000005E-3</v>
      </c>
      <c r="AJ48" s="54">
        <v>8.8000000000000005E-3</v>
      </c>
      <c r="AK48" s="54">
        <v>8.8000000000000005E-3</v>
      </c>
      <c r="AL48" s="54">
        <v>8.8000000000000005E-3</v>
      </c>
      <c r="AM48" s="54">
        <v>8.8000000000000005E-3</v>
      </c>
      <c r="AN48" s="54">
        <v>8.8000000000000005E-3</v>
      </c>
      <c r="AO48" s="54">
        <v>8.8000000000000005E-3</v>
      </c>
      <c r="AP48" s="54">
        <v>8.8000000000000005E-3</v>
      </c>
      <c r="AQ48" s="54">
        <v>8.8000000000000005E-3</v>
      </c>
      <c r="AR48" s="54">
        <v>8.8000000000000005E-3</v>
      </c>
      <c r="AS48" s="54">
        <v>8.8000000000000005E-3</v>
      </c>
      <c r="AT48" s="54">
        <v>8.8000000000000005E-3</v>
      </c>
      <c r="AU48" s="54">
        <v>8.8000000000000005E-3</v>
      </c>
      <c r="AV48" s="54">
        <v>8.8000000000000005E-3</v>
      </c>
      <c r="AW48" s="54">
        <v>8.8000000000000005E-3</v>
      </c>
      <c r="AX48" s="54">
        <v>8.8000000000000005E-3</v>
      </c>
      <c r="AY48" s="54">
        <v>8.8000000000000005E-3</v>
      </c>
      <c r="AZ48" s="54">
        <v>8.8000000000000005E-3</v>
      </c>
      <c r="BA48" s="54">
        <v>8.8000000000000005E-3</v>
      </c>
      <c r="BB48" s="54">
        <v>8.8000000000000005E-3</v>
      </c>
      <c r="BC48" s="54">
        <v>8.8000000000000005E-3</v>
      </c>
      <c r="BD48" s="54">
        <v>8.8000000000000005E-3</v>
      </c>
      <c r="BE48" s="54">
        <v>8.8000000000000005E-3</v>
      </c>
      <c r="BF48" s="54">
        <v>8.8000000000000005E-3</v>
      </c>
      <c r="BG48" s="54">
        <v>8.8000000000000005E-3</v>
      </c>
      <c r="BH48" s="54">
        <v>8.8000000000000005E-3</v>
      </c>
      <c r="BI48" s="54">
        <v>8.8000000000000005E-3</v>
      </c>
      <c r="BJ48" s="54">
        <v>8.8000000000000005E-3</v>
      </c>
      <c r="BK48" s="54">
        <v>8.8000000000000005E-3</v>
      </c>
      <c r="BL48" s="54">
        <v>8.8000000000000005E-3</v>
      </c>
      <c r="BM48" s="54">
        <v>8.8000000000000005E-3</v>
      </c>
      <c r="BN48" s="54">
        <v>8.8000000000000005E-3</v>
      </c>
    </row>
    <row r="49" spans="3:66" x14ac:dyDescent="0.2">
      <c r="C49" s="322"/>
      <c r="D49" s="23" t="s">
        <v>12</v>
      </c>
      <c r="E49" s="27">
        <f t="shared" ref="E49:E54" si="180">SUM(F49:BN49)</f>
        <v>7524.9368040000008</v>
      </c>
      <c r="F49" s="29">
        <f>+F47*F48</f>
        <v>-1.3203959999999999</v>
      </c>
      <c r="G49" s="29">
        <f>+G47*G48</f>
        <v>3565.0692000000004</v>
      </c>
      <c r="H49" s="29">
        <f>+H47*H48</f>
        <v>3961.1880000000001</v>
      </c>
      <c r="I49" s="29">
        <f t="shared" ref="I49:O49" si="181">+I47*I48</f>
        <v>0</v>
      </c>
      <c r="J49" s="29">
        <f t="shared" si="181"/>
        <v>0</v>
      </c>
      <c r="K49" s="29">
        <f t="shared" si="181"/>
        <v>0</v>
      </c>
      <c r="L49" s="29">
        <f t="shared" si="181"/>
        <v>0</v>
      </c>
      <c r="M49" s="29">
        <f t="shared" si="181"/>
        <v>0</v>
      </c>
      <c r="N49" s="29">
        <f t="shared" si="181"/>
        <v>0</v>
      </c>
      <c r="O49" s="29">
        <f t="shared" si="181"/>
        <v>0</v>
      </c>
      <c r="P49" s="29">
        <f>+P47*P48</f>
        <v>0</v>
      </c>
      <c r="Q49" s="29">
        <f t="shared" ref="Q49" si="182">+Q47*Q48</f>
        <v>0</v>
      </c>
      <c r="R49" s="29">
        <f>+R47*R48</f>
        <v>0</v>
      </c>
      <c r="S49" s="29">
        <f>+S47*S48</f>
        <v>0</v>
      </c>
      <c r="T49" s="29">
        <f t="shared" ref="T49" si="183">+T47*T48</f>
        <v>0</v>
      </c>
      <c r="U49" s="29">
        <f>+U47*U48</f>
        <v>0</v>
      </c>
      <c r="V49" s="29">
        <f t="shared" ref="V49:X49" si="184">+V47*V48</f>
        <v>0</v>
      </c>
      <c r="W49" s="29">
        <f t="shared" si="184"/>
        <v>0</v>
      </c>
      <c r="X49" s="29">
        <f t="shared" si="184"/>
        <v>0</v>
      </c>
      <c r="Y49" s="29">
        <v>0</v>
      </c>
      <c r="Z49" s="29">
        <f>+Z47*Z48</f>
        <v>0</v>
      </c>
      <c r="AA49" s="29">
        <f>+AA47*AA48</f>
        <v>0</v>
      </c>
      <c r="AB49" s="29">
        <f t="shared" ref="AB49:AD49" si="185">+AB47*AB48</f>
        <v>0</v>
      </c>
      <c r="AC49" s="29">
        <f t="shared" si="185"/>
        <v>0</v>
      </c>
      <c r="AD49" s="29">
        <f t="shared" si="185"/>
        <v>0</v>
      </c>
      <c r="AE49" s="29">
        <v>0</v>
      </c>
      <c r="AF49" s="29">
        <f>+AF47*AF48</f>
        <v>0</v>
      </c>
      <c r="AG49" s="29">
        <f t="shared" ref="AG49:AI49" si="186">+AG47*AG48</f>
        <v>0</v>
      </c>
      <c r="AH49" s="29">
        <f t="shared" si="186"/>
        <v>0</v>
      </c>
      <c r="AI49" s="29">
        <f t="shared" si="186"/>
        <v>0</v>
      </c>
      <c r="AJ49" s="29">
        <f t="shared" ref="AJ49:AN49" si="187">+AJ47*AJ48</f>
        <v>0</v>
      </c>
      <c r="AK49" s="29">
        <f t="shared" si="187"/>
        <v>0</v>
      </c>
      <c r="AL49" s="29">
        <f t="shared" si="187"/>
        <v>0</v>
      </c>
      <c r="AM49" s="29">
        <f t="shared" si="187"/>
        <v>0</v>
      </c>
      <c r="AN49" s="29">
        <f t="shared" si="187"/>
        <v>0</v>
      </c>
      <c r="AO49" s="29">
        <f t="shared" ref="AO49:AP49" si="188">+AO47*AO48</f>
        <v>0</v>
      </c>
      <c r="AP49" s="29">
        <f t="shared" si="188"/>
        <v>0</v>
      </c>
      <c r="AQ49" s="29">
        <f>+AQ47*AQ48</f>
        <v>0</v>
      </c>
      <c r="AR49" s="29">
        <f t="shared" ref="AR49:AU49" si="189">+AR47*AR48</f>
        <v>0</v>
      </c>
      <c r="AS49" s="29">
        <f t="shared" si="189"/>
        <v>0</v>
      </c>
      <c r="AT49" s="29">
        <f t="shared" si="189"/>
        <v>0</v>
      </c>
      <c r="AU49" s="29">
        <f t="shared" si="189"/>
        <v>0</v>
      </c>
      <c r="AV49" s="29">
        <v>0</v>
      </c>
      <c r="AW49" s="29">
        <f t="shared" ref="AW49:BN49" si="190">+AW47*AW48</f>
        <v>0</v>
      </c>
      <c r="AX49" s="29">
        <f t="shared" si="190"/>
        <v>0</v>
      </c>
      <c r="AY49" s="29">
        <v>0</v>
      </c>
      <c r="AZ49" s="29">
        <v>0</v>
      </c>
      <c r="BA49" s="29">
        <f t="shared" si="190"/>
        <v>0</v>
      </c>
      <c r="BB49" s="29">
        <f t="shared" si="190"/>
        <v>0</v>
      </c>
      <c r="BC49" s="29">
        <v>0</v>
      </c>
      <c r="BD49" s="29">
        <f t="shared" si="190"/>
        <v>0</v>
      </c>
      <c r="BE49" s="29">
        <f t="shared" si="190"/>
        <v>0</v>
      </c>
      <c r="BF49" s="29">
        <f t="shared" si="190"/>
        <v>0</v>
      </c>
      <c r="BG49" s="29">
        <f t="shared" si="190"/>
        <v>0</v>
      </c>
      <c r="BH49" s="29">
        <f t="shared" si="190"/>
        <v>0</v>
      </c>
      <c r="BI49" s="29">
        <f t="shared" si="190"/>
        <v>0</v>
      </c>
      <c r="BJ49" s="29">
        <f t="shared" si="190"/>
        <v>0</v>
      </c>
      <c r="BK49" s="29">
        <f t="shared" si="190"/>
        <v>0</v>
      </c>
      <c r="BL49" s="29">
        <f t="shared" si="190"/>
        <v>0</v>
      </c>
      <c r="BM49" s="29">
        <f t="shared" si="190"/>
        <v>0</v>
      </c>
      <c r="BN49" s="29">
        <f t="shared" si="190"/>
        <v>0</v>
      </c>
    </row>
    <row r="50" spans="3:66" ht="13.5" thickBot="1" x14ac:dyDescent="0.25">
      <c r="C50" s="323"/>
      <c r="D50" s="25" t="s">
        <v>11</v>
      </c>
      <c r="E50" s="30">
        <f t="shared" si="180"/>
        <v>862631.39180400013</v>
      </c>
      <c r="F50" s="46">
        <f>+F47+F49</f>
        <v>-151.36539599999998</v>
      </c>
      <c r="G50" s="46">
        <f>+G47+G49</f>
        <v>408686.56920000003</v>
      </c>
      <c r="H50" s="46">
        <f>+H47+H49</f>
        <v>454096.18800000002</v>
      </c>
      <c r="I50" s="46">
        <f t="shared" ref="I50:BN50" si="191">+I47+I49</f>
        <v>0</v>
      </c>
      <c r="J50" s="46">
        <f t="shared" si="191"/>
        <v>0</v>
      </c>
      <c r="K50" s="46">
        <f t="shared" si="191"/>
        <v>0</v>
      </c>
      <c r="L50" s="46">
        <f t="shared" si="191"/>
        <v>0</v>
      </c>
      <c r="M50" s="46">
        <f t="shared" si="191"/>
        <v>0</v>
      </c>
      <c r="N50" s="46">
        <f t="shared" si="191"/>
        <v>0</v>
      </c>
      <c r="O50" s="46">
        <f t="shared" si="191"/>
        <v>0</v>
      </c>
      <c r="P50" s="46">
        <f t="shared" si="191"/>
        <v>0</v>
      </c>
      <c r="Q50" s="46">
        <f t="shared" si="191"/>
        <v>0</v>
      </c>
      <c r="R50" s="46">
        <f t="shared" si="191"/>
        <v>0</v>
      </c>
      <c r="S50" s="46">
        <f t="shared" si="191"/>
        <v>0</v>
      </c>
      <c r="T50" s="46">
        <f t="shared" si="191"/>
        <v>0</v>
      </c>
      <c r="U50" s="46">
        <f t="shared" si="191"/>
        <v>0</v>
      </c>
      <c r="V50" s="46">
        <f t="shared" si="191"/>
        <v>0</v>
      </c>
      <c r="W50" s="46">
        <f t="shared" si="191"/>
        <v>0</v>
      </c>
      <c r="X50" s="46">
        <f t="shared" si="191"/>
        <v>0</v>
      </c>
      <c r="Y50" s="46">
        <f t="shared" si="191"/>
        <v>0</v>
      </c>
      <c r="Z50" s="46">
        <f t="shared" si="191"/>
        <v>0</v>
      </c>
      <c r="AA50" s="46">
        <f t="shared" si="191"/>
        <v>0</v>
      </c>
      <c r="AB50" s="46">
        <f t="shared" si="191"/>
        <v>0</v>
      </c>
      <c r="AC50" s="46">
        <f t="shared" si="191"/>
        <v>0</v>
      </c>
      <c r="AD50" s="46">
        <f t="shared" si="191"/>
        <v>0</v>
      </c>
      <c r="AE50" s="46">
        <f t="shared" si="191"/>
        <v>0</v>
      </c>
      <c r="AF50" s="46">
        <f t="shared" si="191"/>
        <v>0</v>
      </c>
      <c r="AG50" s="46">
        <f t="shared" si="191"/>
        <v>0</v>
      </c>
      <c r="AH50" s="46">
        <f t="shared" si="191"/>
        <v>0</v>
      </c>
      <c r="AI50" s="46">
        <f t="shared" si="191"/>
        <v>0</v>
      </c>
      <c r="AJ50" s="46">
        <f t="shared" si="191"/>
        <v>0</v>
      </c>
      <c r="AK50" s="46">
        <f t="shared" si="191"/>
        <v>0</v>
      </c>
      <c r="AL50" s="46">
        <f t="shared" si="191"/>
        <v>0</v>
      </c>
      <c r="AM50" s="46">
        <f t="shared" si="191"/>
        <v>0</v>
      </c>
      <c r="AN50" s="46">
        <f t="shared" si="191"/>
        <v>0</v>
      </c>
      <c r="AO50" s="46">
        <f t="shared" si="191"/>
        <v>0</v>
      </c>
      <c r="AP50" s="46">
        <f t="shared" si="191"/>
        <v>0</v>
      </c>
      <c r="AQ50" s="46">
        <f t="shared" si="191"/>
        <v>0</v>
      </c>
      <c r="AR50" s="46">
        <f t="shared" si="191"/>
        <v>0</v>
      </c>
      <c r="AS50" s="46">
        <f t="shared" si="191"/>
        <v>0</v>
      </c>
      <c r="AT50" s="46">
        <f t="shared" si="191"/>
        <v>0</v>
      </c>
      <c r="AU50" s="46">
        <f t="shared" si="191"/>
        <v>0</v>
      </c>
      <c r="AV50" s="46">
        <f>+AV47+AV49</f>
        <v>0</v>
      </c>
      <c r="AW50" s="46">
        <f t="shared" si="191"/>
        <v>0</v>
      </c>
      <c r="AX50" s="46">
        <f t="shared" si="191"/>
        <v>0</v>
      </c>
      <c r="AY50" s="46">
        <f t="shared" si="191"/>
        <v>0</v>
      </c>
      <c r="AZ50" s="46">
        <f t="shared" si="191"/>
        <v>0</v>
      </c>
      <c r="BA50" s="46">
        <f t="shared" si="191"/>
        <v>0</v>
      </c>
      <c r="BB50" s="46">
        <f t="shared" si="191"/>
        <v>0</v>
      </c>
      <c r="BC50" s="46">
        <f t="shared" si="191"/>
        <v>0</v>
      </c>
      <c r="BD50" s="46">
        <f t="shared" si="191"/>
        <v>0</v>
      </c>
      <c r="BE50" s="46">
        <f t="shared" si="191"/>
        <v>0</v>
      </c>
      <c r="BF50" s="46">
        <f t="shared" si="191"/>
        <v>0</v>
      </c>
      <c r="BG50" s="46">
        <f t="shared" si="191"/>
        <v>0</v>
      </c>
      <c r="BH50" s="46">
        <f t="shared" si="191"/>
        <v>0</v>
      </c>
      <c r="BI50" s="46">
        <f t="shared" si="191"/>
        <v>0</v>
      </c>
      <c r="BJ50" s="46">
        <f t="shared" si="191"/>
        <v>0</v>
      </c>
      <c r="BK50" s="46">
        <f t="shared" si="191"/>
        <v>0</v>
      </c>
      <c r="BL50" s="46">
        <f t="shared" si="191"/>
        <v>0</v>
      </c>
      <c r="BM50" s="46">
        <f t="shared" si="191"/>
        <v>0</v>
      </c>
      <c r="BN50" s="46">
        <f t="shared" si="191"/>
        <v>0</v>
      </c>
    </row>
    <row r="51" spans="3:66" x14ac:dyDescent="0.2">
      <c r="C51" s="321">
        <v>43709</v>
      </c>
      <c r="D51" s="20" t="s">
        <v>5</v>
      </c>
      <c r="E51" s="50">
        <f t="shared" si="180"/>
        <v>0</v>
      </c>
      <c r="F51" s="279">
        <f>IF(F$6=$C51,F$7,0)</f>
        <v>0</v>
      </c>
      <c r="G51" s="279">
        <f t="shared" ref="G51:BN51" si="192">IF(G$6=$C51,G$7,0)</f>
        <v>0</v>
      </c>
      <c r="H51" s="279">
        <f t="shared" si="192"/>
        <v>0</v>
      </c>
      <c r="I51" s="279">
        <f t="shared" si="192"/>
        <v>0</v>
      </c>
      <c r="J51" s="279">
        <f t="shared" si="192"/>
        <v>0</v>
      </c>
      <c r="K51" s="279">
        <f t="shared" si="192"/>
        <v>0</v>
      </c>
      <c r="L51" s="279">
        <f t="shared" si="192"/>
        <v>0</v>
      </c>
      <c r="M51" s="279">
        <f t="shared" si="192"/>
        <v>0</v>
      </c>
      <c r="N51" s="279">
        <f t="shared" si="192"/>
        <v>0</v>
      </c>
      <c r="O51" s="279">
        <f t="shared" si="192"/>
        <v>0</v>
      </c>
      <c r="P51" s="279">
        <f t="shared" si="192"/>
        <v>0</v>
      </c>
      <c r="Q51" s="279">
        <f t="shared" si="192"/>
        <v>0</v>
      </c>
      <c r="R51" s="279">
        <f t="shared" si="192"/>
        <v>0</v>
      </c>
      <c r="S51" s="279">
        <f t="shared" si="192"/>
        <v>0</v>
      </c>
      <c r="T51" s="279">
        <f t="shared" si="192"/>
        <v>0</v>
      </c>
      <c r="U51" s="279">
        <f t="shared" si="192"/>
        <v>0</v>
      </c>
      <c r="V51" s="279">
        <f t="shared" si="192"/>
        <v>0</v>
      </c>
      <c r="W51" s="279">
        <f t="shared" si="192"/>
        <v>0</v>
      </c>
      <c r="X51" s="279">
        <f t="shared" si="192"/>
        <v>0</v>
      </c>
      <c r="Y51" s="279">
        <f t="shared" si="192"/>
        <v>0</v>
      </c>
      <c r="Z51" s="279">
        <f t="shared" si="192"/>
        <v>0</v>
      </c>
      <c r="AA51" s="279">
        <f t="shared" si="192"/>
        <v>0</v>
      </c>
      <c r="AB51" s="279">
        <f t="shared" si="192"/>
        <v>0</v>
      </c>
      <c r="AC51" s="279">
        <f t="shared" si="192"/>
        <v>0</v>
      </c>
      <c r="AD51" s="279">
        <f t="shared" si="192"/>
        <v>0</v>
      </c>
      <c r="AE51" s="279">
        <f t="shared" si="192"/>
        <v>0</v>
      </c>
      <c r="AF51" s="279">
        <f t="shared" si="192"/>
        <v>0</v>
      </c>
      <c r="AG51" s="279">
        <f t="shared" si="192"/>
        <v>0</v>
      </c>
      <c r="AH51" s="279">
        <f t="shared" si="192"/>
        <v>0</v>
      </c>
      <c r="AI51" s="279">
        <f t="shared" si="192"/>
        <v>0</v>
      </c>
      <c r="AJ51" s="279">
        <f t="shared" si="192"/>
        <v>0</v>
      </c>
      <c r="AK51" s="279">
        <f t="shared" si="192"/>
        <v>0</v>
      </c>
      <c r="AL51" s="279">
        <f t="shared" si="192"/>
        <v>0</v>
      </c>
      <c r="AM51" s="279">
        <f t="shared" si="192"/>
        <v>0</v>
      </c>
      <c r="AN51" s="279">
        <f t="shared" si="192"/>
        <v>0</v>
      </c>
      <c r="AO51" s="279">
        <f t="shared" si="192"/>
        <v>0</v>
      </c>
      <c r="AP51" s="279">
        <f t="shared" si="192"/>
        <v>0</v>
      </c>
      <c r="AQ51" s="279">
        <f t="shared" si="192"/>
        <v>0</v>
      </c>
      <c r="AR51" s="279">
        <f t="shared" si="192"/>
        <v>0</v>
      </c>
      <c r="AS51" s="279">
        <f t="shared" si="192"/>
        <v>0</v>
      </c>
      <c r="AT51" s="279">
        <f t="shared" si="192"/>
        <v>0</v>
      </c>
      <c r="AU51" s="279">
        <f t="shared" si="192"/>
        <v>0</v>
      </c>
      <c r="AV51" s="279">
        <f t="shared" si="192"/>
        <v>0</v>
      </c>
      <c r="AW51" s="279">
        <f t="shared" si="192"/>
        <v>0</v>
      </c>
      <c r="AX51" s="279">
        <f t="shared" si="192"/>
        <v>0</v>
      </c>
      <c r="AY51" s="279">
        <f t="shared" si="192"/>
        <v>0</v>
      </c>
      <c r="AZ51" s="279">
        <f t="shared" si="192"/>
        <v>0</v>
      </c>
      <c r="BA51" s="279">
        <f t="shared" si="192"/>
        <v>0</v>
      </c>
      <c r="BB51" s="279">
        <f t="shared" si="192"/>
        <v>0</v>
      </c>
      <c r="BC51" s="279">
        <f t="shared" si="192"/>
        <v>0</v>
      </c>
      <c r="BD51" s="279">
        <f t="shared" si="192"/>
        <v>0</v>
      </c>
      <c r="BE51" s="279">
        <f t="shared" si="192"/>
        <v>0</v>
      </c>
      <c r="BF51" s="279">
        <f t="shared" si="192"/>
        <v>0</v>
      </c>
      <c r="BG51" s="279">
        <f t="shared" si="192"/>
        <v>0</v>
      </c>
      <c r="BH51" s="279">
        <f t="shared" si="192"/>
        <v>0</v>
      </c>
      <c r="BI51" s="279">
        <f t="shared" si="192"/>
        <v>0</v>
      </c>
      <c r="BJ51" s="279">
        <f t="shared" si="192"/>
        <v>0</v>
      </c>
      <c r="BK51" s="279">
        <f t="shared" si="192"/>
        <v>0</v>
      </c>
      <c r="BL51" s="279">
        <f t="shared" si="192"/>
        <v>0</v>
      </c>
      <c r="BM51" s="279">
        <f t="shared" si="192"/>
        <v>0</v>
      </c>
      <c r="BN51" s="279">
        <f t="shared" si="192"/>
        <v>0</v>
      </c>
    </row>
    <row r="52" spans="3:66" x14ac:dyDescent="0.2">
      <c r="C52" s="322"/>
      <c r="D52" s="23" t="s">
        <v>7</v>
      </c>
      <c r="E52" s="91">
        <f t="shared" si="180"/>
        <v>6.0999999999999943</v>
      </c>
      <c r="F52" s="28">
        <f>IF(F51="",VLOOKUP($C51,'CUSTOS REALIZADOS'!$A$11:$E$995,4),(VLOOKUP($C51,'CUSTOS REALIZADOS'!$A$11:$E$995,5)))</f>
        <v>0.1</v>
      </c>
      <c r="G52" s="28">
        <f>IF(G51="",VLOOKUP($C51,'CUSTOS REALIZADOS'!$A$11:$E$995,4),(VLOOKUP($C51,'CUSTOS REALIZADOS'!$A$11:$E$995,5)))</f>
        <v>0.1</v>
      </c>
      <c r="H52" s="28">
        <f>IF(H51="",VLOOKUP($C51,'CUSTOS REALIZADOS'!$A$11:$E$995,4),(VLOOKUP($C51,'CUSTOS REALIZADOS'!$A$11:$E$995,5)))</f>
        <v>0.1</v>
      </c>
      <c r="I52" s="28">
        <f>IF(I51="",VLOOKUP($C51,'CUSTOS REALIZADOS'!$A$11:$E$995,4),(VLOOKUP($C51,'CUSTOS REALIZADOS'!$A$11:$E$995,5)))</f>
        <v>0.1</v>
      </c>
      <c r="J52" s="28">
        <f>IF(J51="",VLOOKUP($C51,'CUSTOS REALIZADOS'!$A$11:$E$995,4),(VLOOKUP($C51,'CUSTOS REALIZADOS'!$A$11:$E$995,5)))</f>
        <v>0.1</v>
      </c>
      <c r="K52" s="28">
        <f>IF(K51="",VLOOKUP($C51,'CUSTOS REALIZADOS'!$A$11:$E$995,4),(VLOOKUP($C51,'CUSTOS REALIZADOS'!$A$11:$E$995,5)))</f>
        <v>0.1</v>
      </c>
      <c r="L52" s="28">
        <f>IF(L51="",VLOOKUP($C51,'CUSTOS REALIZADOS'!$A$11:$E$995,4),(VLOOKUP($C51,'CUSTOS REALIZADOS'!$A$11:$E$995,5)))</f>
        <v>0.1</v>
      </c>
      <c r="M52" s="28">
        <f>IF(M51="",VLOOKUP($C51,'CUSTOS REALIZADOS'!$A$11:$E$995,4),(VLOOKUP($C51,'CUSTOS REALIZADOS'!$A$11:$E$995,5)))</f>
        <v>0.1</v>
      </c>
      <c r="N52" s="28">
        <f>IF(N51="",VLOOKUP($C51,'CUSTOS REALIZADOS'!$A$11:$E$995,4),(VLOOKUP($C51,'CUSTOS REALIZADOS'!$A$11:$E$995,5)))</f>
        <v>0.1</v>
      </c>
      <c r="O52" s="28">
        <f>IF(O51="",VLOOKUP($C51,'CUSTOS REALIZADOS'!$A$11:$E$995,4),(VLOOKUP($C51,'CUSTOS REALIZADOS'!$A$11:$E$995,5)))</f>
        <v>0.1</v>
      </c>
      <c r="P52" s="28">
        <f>IF(P51="",VLOOKUP($C51,'CUSTOS REALIZADOS'!$A$11:$E$995,4),(VLOOKUP($C51,'CUSTOS REALIZADOS'!$A$11:$E$995,5)))</f>
        <v>0.1</v>
      </c>
      <c r="Q52" s="28">
        <f>IF(Q51="",VLOOKUP($C51,'CUSTOS REALIZADOS'!$A$11:$E$995,4),(VLOOKUP($C51,'CUSTOS REALIZADOS'!$A$11:$E$995,5)))</f>
        <v>0.1</v>
      </c>
      <c r="R52" s="28">
        <f>IF(R51="",VLOOKUP($C51,'CUSTOS REALIZADOS'!$A$11:$E$995,4),(VLOOKUP($C51,'CUSTOS REALIZADOS'!$A$11:$E$995,5)))</f>
        <v>0.1</v>
      </c>
      <c r="S52" s="28">
        <f>IF(S51="",VLOOKUP($C51,'CUSTOS REALIZADOS'!$A$11:$E$995,4),(VLOOKUP($C51,'CUSTOS REALIZADOS'!$A$11:$E$995,5)))</f>
        <v>0.1</v>
      </c>
      <c r="T52" s="28">
        <f>IF(T51="",VLOOKUP($C51,'CUSTOS REALIZADOS'!$A$11:$E$995,4),(VLOOKUP($C51,'CUSTOS REALIZADOS'!$A$11:$E$995,5)))</f>
        <v>0.1</v>
      </c>
      <c r="U52" s="28">
        <f>IF(U51="",VLOOKUP($C51,'CUSTOS REALIZADOS'!$A$11:$E$995,4),(VLOOKUP($C51,'CUSTOS REALIZADOS'!$A$11:$E$995,5)))</f>
        <v>0.1</v>
      </c>
      <c r="V52" s="28">
        <f>IF(V51="",VLOOKUP($C51,'CUSTOS REALIZADOS'!$A$11:$E$995,4),(VLOOKUP($C51,'CUSTOS REALIZADOS'!$A$11:$E$995,5)))</f>
        <v>0.1</v>
      </c>
      <c r="W52" s="28">
        <f>IF(W51="",VLOOKUP($C51,'CUSTOS REALIZADOS'!$A$11:$E$995,4),(VLOOKUP($C51,'CUSTOS REALIZADOS'!$A$11:$E$995,5)))</f>
        <v>0.1</v>
      </c>
      <c r="X52" s="28">
        <f>IF(X51="",VLOOKUP($C51,'CUSTOS REALIZADOS'!$A$11:$E$995,4),(VLOOKUP($C51,'CUSTOS REALIZADOS'!$A$11:$E$995,5)))</f>
        <v>0.1</v>
      </c>
      <c r="Y52" s="28">
        <f>IF(Y51="",VLOOKUP($C51,'CUSTOS REALIZADOS'!$A$11:$E$995,4),(VLOOKUP($C51,'CUSTOS REALIZADOS'!$A$11:$E$995,5)))</f>
        <v>0.1</v>
      </c>
      <c r="Z52" s="28">
        <f>IF(Z51="",VLOOKUP($C51,'CUSTOS REALIZADOS'!$A$11:$E$995,4),(VLOOKUP($C51,'CUSTOS REALIZADOS'!$A$11:$E$995,5)))</f>
        <v>0.1</v>
      </c>
      <c r="AA52" s="28">
        <f>IF(AA51="",VLOOKUP($C51,'CUSTOS REALIZADOS'!$A$11:$E$995,4),(VLOOKUP($C51,'CUSTOS REALIZADOS'!$A$11:$E$995,5)))</f>
        <v>0.1</v>
      </c>
      <c r="AB52" s="28">
        <f>IF(AB51="",VLOOKUP($C51,'CUSTOS REALIZADOS'!$A$11:$E$995,4),(VLOOKUP($C51,'CUSTOS REALIZADOS'!$A$11:$E$995,5)))</f>
        <v>0.1</v>
      </c>
      <c r="AC52" s="28">
        <f>IF(AC51="",VLOOKUP($C51,'CUSTOS REALIZADOS'!$A$11:$E$995,4),(VLOOKUP($C51,'CUSTOS REALIZADOS'!$A$11:$E$995,5)))</f>
        <v>0.1</v>
      </c>
      <c r="AD52" s="28">
        <f>IF(AD51="",VLOOKUP($C51,'CUSTOS REALIZADOS'!$A$11:$E$995,4),(VLOOKUP($C51,'CUSTOS REALIZADOS'!$A$11:$E$995,5)))</f>
        <v>0.1</v>
      </c>
      <c r="AE52" s="28">
        <f>IF(AE51="",VLOOKUP($C51,'CUSTOS REALIZADOS'!$A$11:$E$995,4),(VLOOKUP($C51,'CUSTOS REALIZADOS'!$A$11:$E$995,5)))</f>
        <v>0.1</v>
      </c>
      <c r="AF52" s="28">
        <f>IF(AF51="",VLOOKUP($C51,'CUSTOS REALIZADOS'!$A$11:$E$995,4),(VLOOKUP($C51,'CUSTOS REALIZADOS'!$A$11:$E$995,5)))</f>
        <v>0.1</v>
      </c>
      <c r="AG52" s="28">
        <f>IF(AG51="",VLOOKUP($C51,'CUSTOS REALIZADOS'!$A$11:$E$995,4),(VLOOKUP($C51,'CUSTOS REALIZADOS'!$A$11:$E$995,5)))</f>
        <v>0.1</v>
      </c>
      <c r="AH52" s="28">
        <f>IF(AH51="",VLOOKUP($C51,'CUSTOS REALIZADOS'!$A$11:$E$995,4),(VLOOKUP($C51,'CUSTOS REALIZADOS'!$A$11:$E$995,5)))</f>
        <v>0.1</v>
      </c>
      <c r="AI52" s="28">
        <f>IF(AI51="",VLOOKUP($C51,'CUSTOS REALIZADOS'!$A$11:$E$995,4),(VLOOKUP($C51,'CUSTOS REALIZADOS'!$A$11:$E$995,5)))</f>
        <v>0.1</v>
      </c>
      <c r="AJ52" s="28">
        <f>IF(AJ51="",VLOOKUP($C51,'CUSTOS REALIZADOS'!$A$11:$E$995,4),(VLOOKUP($C51,'CUSTOS REALIZADOS'!$A$11:$E$995,5)))</f>
        <v>0.1</v>
      </c>
      <c r="AK52" s="28">
        <f>IF(AK51="",VLOOKUP($C51,'CUSTOS REALIZADOS'!$A$11:$E$995,4),(VLOOKUP($C51,'CUSTOS REALIZADOS'!$A$11:$E$995,5)))</f>
        <v>0.1</v>
      </c>
      <c r="AL52" s="28">
        <f>IF(AL51="",VLOOKUP($C51,'CUSTOS REALIZADOS'!$A$11:$E$995,4),(VLOOKUP($C51,'CUSTOS REALIZADOS'!$A$11:$E$995,5)))</f>
        <v>0.1</v>
      </c>
      <c r="AM52" s="28">
        <f>IF(AM51="",VLOOKUP($C51,'CUSTOS REALIZADOS'!$A$11:$E$995,4),(VLOOKUP($C51,'CUSTOS REALIZADOS'!$A$11:$E$995,5)))</f>
        <v>0.1</v>
      </c>
      <c r="AN52" s="28">
        <f>IF(AN51="",VLOOKUP($C51,'CUSTOS REALIZADOS'!$A$11:$E$995,4),(VLOOKUP($C51,'CUSTOS REALIZADOS'!$A$11:$E$995,5)))</f>
        <v>0.1</v>
      </c>
      <c r="AO52" s="28">
        <f>IF(AO51="",VLOOKUP($C51,'CUSTOS REALIZADOS'!$A$11:$E$995,4),(VLOOKUP($C51,'CUSTOS REALIZADOS'!$A$11:$E$995,5)))</f>
        <v>0.1</v>
      </c>
      <c r="AP52" s="28">
        <f>IF(AP51="",VLOOKUP($C51,'CUSTOS REALIZADOS'!$A$11:$E$995,4),(VLOOKUP($C51,'CUSTOS REALIZADOS'!$A$11:$E$995,5)))</f>
        <v>0.1</v>
      </c>
      <c r="AQ52" s="28">
        <f>IF(AQ51="",VLOOKUP($C51,'CUSTOS REALIZADOS'!$A$11:$E$995,4),(VLOOKUP($C51,'CUSTOS REALIZADOS'!$A$11:$E$995,5)))</f>
        <v>0.1</v>
      </c>
      <c r="AR52" s="28">
        <f>IF(AR51="",VLOOKUP($C51,'CUSTOS REALIZADOS'!$A$11:$E$995,4),(VLOOKUP($C51,'CUSTOS REALIZADOS'!$A$11:$E$995,5)))</f>
        <v>0.1</v>
      </c>
      <c r="AS52" s="28">
        <f>IF(AS51="",VLOOKUP($C51,'CUSTOS REALIZADOS'!$A$11:$E$995,4),(VLOOKUP($C51,'CUSTOS REALIZADOS'!$A$11:$E$995,5)))</f>
        <v>0.1</v>
      </c>
      <c r="AT52" s="28">
        <f>IF(AT51="",VLOOKUP($C51,'CUSTOS REALIZADOS'!$A$11:$E$995,4),(VLOOKUP($C51,'CUSTOS REALIZADOS'!$A$11:$E$995,5)))</f>
        <v>0.1</v>
      </c>
      <c r="AU52" s="28">
        <f>IF(AU51="",VLOOKUP($C51,'CUSTOS REALIZADOS'!$A$11:$E$995,4),(VLOOKUP($C51,'CUSTOS REALIZADOS'!$A$11:$E$995,5)))</f>
        <v>0.1</v>
      </c>
      <c r="AV52" s="28">
        <f>IF(AV51="",VLOOKUP($C51,'CUSTOS REALIZADOS'!$A$11:$E$995,4),(VLOOKUP($C51,'CUSTOS REALIZADOS'!$A$11:$E$995,5)))</f>
        <v>0.1</v>
      </c>
      <c r="AW52" s="28">
        <f>IF(AW51="",VLOOKUP($C51,'CUSTOS REALIZADOS'!$A$11:$E$995,4),(VLOOKUP($C51,'CUSTOS REALIZADOS'!$A$11:$E$995,5)))</f>
        <v>0.1</v>
      </c>
      <c r="AX52" s="28">
        <f>IF(AX51="",VLOOKUP($C51,'CUSTOS REALIZADOS'!$A$11:$E$995,4),(VLOOKUP($C51,'CUSTOS REALIZADOS'!$A$11:$E$995,5)))</f>
        <v>0.1</v>
      </c>
      <c r="AY52" s="28">
        <f>IF(AY51="",VLOOKUP($C51,'CUSTOS REALIZADOS'!$A$11:$E$995,4),(VLOOKUP($C51,'CUSTOS REALIZADOS'!$A$11:$E$995,5)))</f>
        <v>0.1</v>
      </c>
      <c r="AZ52" s="28">
        <f>IF(AZ51="",VLOOKUP($C51,'CUSTOS REALIZADOS'!$A$11:$E$995,4),(VLOOKUP($C51,'CUSTOS REALIZADOS'!$A$11:$E$995,5)))</f>
        <v>0.1</v>
      </c>
      <c r="BA52" s="28">
        <f>IF(BA51="",VLOOKUP($C51,'CUSTOS REALIZADOS'!$A$11:$E$995,4),(VLOOKUP($C51,'CUSTOS REALIZADOS'!$A$11:$E$995,5)))</f>
        <v>0.1</v>
      </c>
      <c r="BB52" s="28">
        <f>IF(BB51="",VLOOKUP($C51,'CUSTOS REALIZADOS'!$A$11:$E$995,4),(VLOOKUP($C51,'CUSTOS REALIZADOS'!$A$11:$E$995,5)))</f>
        <v>0.1</v>
      </c>
      <c r="BC52" s="28">
        <f>IF(BC51="",VLOOKUP($C51,'CUSTOS REALIZADOS'!$A$11:$E$995,4),(VLOOKUP($C51,'CUSTOS REALIZADOS'!$A$11:$E$995,5)))</f>
        <v>0.1</v>
      </c>
      <c r="BD52" s="28">
        <f>IF(BD51="",VLOOKUP($C51,'CUSTOS REALIZADOS'!$A$11:$E$995,4),(VLOOKUP($C51,'CUSTOS REALIZADOS'!$A$11:$E$995,5)))</f>
        <v>0.1</v>
      </c>
      <c r="BE52" s="28">
        <f>IF(BE51="",VLOOKUP($C51,'CUSTOS REALIZADOS'!$A$11:$E$995,4),(VLOOKUP($C51,'CUSTOS REALIZADOS'!$A$11:$E$995,5)))</f>
        <v>0.1</v>
      </c>
      <c r="BF52" s="28">
        <f>IF(BF51="",VLOOKUP($C51,'CUSTOS REALIZADOS'!$A$11:$E$995,4),(VLOOKUP($C51,'CUSTOS REALIZADOS'!$A$11:$E$995,5)))</f>
        <v>0.1</v>
      </c>
      <c r="BG52" s="28">
        <f>IF(BG51="",VLOOKUP($C51,'CUSTOS REALIZADOS'!$A$11:$E$995,4),(VLOOKUP($C51,'CUSTOS REALIZADOS'!$A$11:$E$995,5)))</f>
        <v>0.1</v>
      </c>
      <c r="BH52" s="28">
        <f>IF(BH51="",VLOOKUP($C51,'CUSTOS REALIZADOS'!$A$11:$E$995,4),(VLOOKUP($C51,'CUSTOS REALIZADOS'!$A$11:$E$995,5)))</f>
        <v>0.1</v>
      </c>
      <c r="BI52" s="28">
        <f>IF(BI51="",VLOOKUP($C51,'CUSTOS REALIZADOS'!$A$11:$E$995,4),(VLOOKUP($C51,'CUSTOS REALIZADOS'!$A$11:$E$995,5)))</f>
        <v>0.1</v>
      </c>
      <c r="BJ52" s="28">
        <f>IF(BJ51="",VLOOKUP($C51,'CUSTOS REALIZADOS'!$A$11:$E$995,4),(VLOOKUP($C51,'CUSTOS REALIZADOS'!$A$11:$E$995,5)))</f>
        <v>0.1</v>
      </c>
      <c r="BK52" s="28">
        <f>IF(BK51="",VLOOKUP($C51,'CUSTOS REALIZADOS'!$A$11:$E$995,4),(VLOOKUP($C51,'CUSTOS REALIZADOS'!$A$11:$E$995,5)))</f>
        <v>0.1</v>
      </c>
      <c r="BL52" s="28">
        <f>IF(BL51="",VLOOKUP($C51,'CUSTOS REALIZADOS'!$A$11:$E$995,4),(VLOOKUP($C51,'CUSTOS REALIZADOS'!$A$11:$E$995,5)))</f>
        <v>0.1</v>
      </c>
      <c r="BM52" s="28">
        <f>IF(BM51="",VLOOKUP($C51,'CUSTOS REALIZADOS'!$A$11:$E$995,4),(VLOOKUP($C51,'CUSTOS REALIZADOS'!$A$11:$E$995,5)))</f>
        <v>0.1</v>
      </c>
      <c r="BN52" s="28">
        <f>IF(BN51="",VLOOKUP($C51,'CUSTOS REALIZADOS'!$A$11:$E$995,4),(VLOOKUP($C51,'CUSTOS REALIZADOS'!$A$11:$E$995,5)))</f>
        <v>0.1</v>
      </c>
    </row>
    <row r="53" spans="3:66" x14ac:dyDescent="0.2">
      <c r="C53" s="322"/>
      <c r="D53" s="23" t="s">
        <v>6</v>
      </c>
      <c r="E53" s="27">
        <f t="shared" si="180"/>
        <v>95000</v>
      </c>
      <c r="F53" s="23">
        <f>IF(AND($C51&gt;=F$6,OR($C51&lt;F$8,F$8="")),F$7*F$28,0)</f>
        <v>0</v>
      </c>
      <c r="G53" s="23">
        <f t="shared" ref="G53:BN53" si="193">IF(AND($C51&gt;=G$6,OR($C51&lt;G$8,G$8="")),G$7*G$28,0)</f>
        <v>45000</v>
      </c>
      <c r="H53" s="23">
        <f t="shared" si="193"/>
        <v>50000</v>
      </c>
      <c r="I53" s="23">
        <f t="shared" si="193"/>
        <v>0</v>
      </c>
      <c r="J53" s="23">
        <f t="shared" si="193"/>
        <v>0</v>
      </c>
      <c r="K53" s="23">
        <f t="shared" si="193"/>
        <v>0</v>
      </c>
      <c r="L53" s="23">
        <f t="shared" si="193"/>
        <v>0</v>
      </c>
      <c r="M53" s="23">
        <f t="shared" si="193"/>
        <v>0</v>
      </c>
      <c r="N53" s="23">
        <f t="shared" si="193"/>
        <v>0</v>
      </c>
      <c r="O53" s="23">
        <f t="shared" si="193"/>
        <v>0</v>
      </c>
      <c r="P53" s="23">
        <f t="shared" si="193"/>
        <v>0</v>
      </c>
      <c r="Q53" s="23">
        <f t="shared" si="193"/>
        <v>0</v>
      </c>
      <c r="R53" s="23">
        <f t="shared" si="193"/>
        <v>0</v>
      </c>
      <c r="S53" s="23">
        <f t="shared" si="193"/>
        <v>0</v>
      </c>
      <c r="T53" s="23">
        <f t="shared" si="193"/>
        <v>0</v>
      </c>
      <c r="U53" s="23">
        <f t="shared" si="193"/>
        <v>0</v>
      </c>
      <c r="V53" s="23">
        <f t="shared" si="193"/>
        <v>0</v>
      </c>
      <c r="W53" s="23">
        <f t="shared" si="193"/>
        <v>0</v>
      </c>
      <c r="X53" s="23">
        <f t="shared" si="193"/>
        <v>0</v>
      </c>
      <c r="Y53" s="23">
        <f t="shared" si="193"/>
        <v>0</v>
      </c>
      <c r="Z53" s="23">
        <f t="shared" si="193"/>
        <v>0</v>
      </c>
      <c r="AA53" s="23">
        <f t="shared" si="193"/>
        <v>0</v>
      </c>
      <c r="AB53" s="23">
        <f t="shared" si="193"/>
        <v>0</v>
      </c>
      <c r="AC53" s="23">
        <f t="shared" si="193"/>
        <v>0</v>
      </c>
      <c r="AD53" s="23">
        <f t="shared" si="193"/>
        <v>0</v>
      </c>
      <c r="AE53" s="23">
        <f t="shared" si="193"/>
        <v>0</v>
      </c>
      <c r="AF53" s="23">
        <f t="shared" si="193"/>
        <v>0</v>
      </c>
      <c r="AG53" s="23">
        <f t="shared" si="193"/>
        <v>0</v>
      </c>
      <c r="AH53" s="23">
        <f t="shared" si="193"/>
        <v>0</v>
      </c>
      <c r="AI53" s="23">
        <f t="shared" si="193"/>
        <v>0</v>
      </c>
      <c r="AJ53" s="23">
        <f t="shared" si="193"/>
        <v>0</v>
      </c>
      <c r="AK53" s="23">
        <f t="shared" si="193"/>
        <v>0</v>
      </c>
      <c r="AL53" s="23">
        <f t="shared" si="193"/>
        <v>0</v>
      </c>
      <c r="AM53" s="23">
        <f t="shared" si="193"/>
        <v>0</v>
      </c>
      <c r="AN53" s="23">
        <f t="shared" si="193"/>
        <v>0</v>
      </c>
      <c r="AO53" s="23">
        <f t="shared" si="193"/>
        <v>0</v>
      </c>
      <c r="AP53" s="23">
        <f t="shared" si="193"/>
        <v>0</v>
      </c>
      <c r="AQ53" s="23">
        <f t="shared" si="193"/>
        <v>0</v>
      </c>
      <c r="AR53" s="23">
        <f t="shared" si="193"/>
        <v>0</v>
      </c>
      <c r="AS53" s="23">
        <f t="shared" si="193"/>
        <v>0</v>
      </c>
      <c r="AT53" s="23">
        <f t="shared" si="193"/>
        <v>0</v>
      </c>
      <c r="AU53" s="23">
        <f t="shared" si="193"/>
        <v>0</v>
      </c>
      <c r="AV53" s="23">
        <f t="shared" si="193"/>
        <v>0</v>
      </c>
      <c r="AW53" s="23">
        <f t="shared" si="193"/>
        <v>0</v>
      </c>
      <c r="AX53" s="23">
        <f t="shared" si="193"/>
        <v>0</v>
      </c>
      <c r="AY53" s="23">
        <f t="shared" si="193"/>
        <v>0</v>
      </c>
      <c r="AZ53" s="23">
        <f t="shared" si="193"/>
        <v>0</v>
      </c>
      <c r="BA53" s="23">
        <f t="shared" si="193"/>
        <v>0</v>
      </c>
      <c r="BB53" s="23">
        <f t="shared" si="193"/>
        <v>0</v>
      </c>
      <c r="BC53" s="23">
        <f t="shared" si="193"/>
        <v>0</v>
      </c>
      <c r="BD53" s="23">
        <f t="shared" si="193"/>
        <v>0</v>
      </c>
      <c r="BE53" s="23">
        <f t="shared" si="193"/>
        <v>0</v>
      </c>
      <c r="BF53" s="23">
        <f t="shared" si="193"/>
        <v>0</v>
      </c>
      <c r="BG53" s="23">
        <f t="shared" si="193"/>
        <v>0</v>
      </c>
      <c r="BH53" s="23">
        <f t="shared" si="193"/>
        <v>0</v>
      </c>
      <c r="BI53" s="23">
        <f t="shared" si="193"/>
        <v>0</v>
      </c>
      <c r="BJ53" s="23">
        <f t="shared" si="193"/>
        <v>0</v>
      </c>
      <c r="BK53" s="23">
        <f t="shared" si="193"/>
        <v>0</v>
      </c>
      <c r="BL53" s="23">
        <f t="shared" si="193"/>
        <v>0</v>
      </c>
      <c r="BM53" s="23">
        <f t="shared" si="193"/>
        <v>0</v>
      </c>
      <c r="BN53" s="23">
        <f t="shared" si="193"/>
        <v>0</v>
      </c>
    </row>
    <row r="54" spans="3:66" x14ac:dyDescent="0.2">
      <c r="C54" s="322"/>
      <c r="D54" s="23" t="s">
        <v>9</v>
      </c>
      <c r="E54" s="27">
        <f t="shared" si="180"/>
        <v>0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</row>
    <row r="55" spans="3:66" x14ac:dyDescent="0.2">
      <c r="C55" s="322"/>
      <c r="D55" s="23" t="s">
        <v>14</v>
      </c>
      <c r="E55" s="27">
        <f>SUM(F55:AY55)</f>
        <v>862631.39180400013</v>
      </c>
      <c r="F55" s="23">
        <f>IF(F50=0,F51-F54,F50-F54)</f>
        <v>-151.36539599999998</v>
      </c>
      <c r="G55" s="23">
        <f t="shared" ref="G55" si="194">IF(G50=0,G51-G54,G50-G54)</f>
        <v>408686.56920000003</v>
      </c>
      <c r="H55" s="23">
        <f t="shared" ref="H55" si="195">IF(H50=0,H51-H54,H50-H54)</f>
        <v>454096.18800000002</v>
      </c>
      <c r="I55" s="23">
        <f t="shared" ref="I55" si="196">IF(I50=0,I51-I54,I50-I54)</f>
        <v>0</v>
      </c>
      <c r="J55" s="23">
        <f t="shared" ref="J55" si="197">IF(J50=0,J51-J54,J50-J54)</f>
        <v>0</v>
      </c>
      <c r="K55" s="23">
        <f t="shared" ref="K55" si="198">IF(K50=0,K51-K54,K50-K54)</f>
        <v>0</v>
      </c>
      <c r="L55" s="23">
        <f t="shared" ref="L55" si="199">IF(L50=0,L51-L54,L50-L54)</f>
        <v>0</v>
      </c>
      <c r="M55" s="23">
        <f t="shared" ref="M55" si="200">IF(M50=0,M51-M54,M50-M54)</f>
        <v>0</v>
      </c>
      <c r="N55" s="23">
        <f t="shared" ref="N55" si="201">IF(N50=0,N51-N54,N50-N54)</f>
        <v>0</v>
      </c>
      <c r="O55" s="23">
        <f t="shared" ref="O55" si="202">IF(O50=0,O51-O54,O50-O54)</f>
        <v>0</v>
      </c>
      <c r="P55" s="23">
        <f t="shared" ref="P55" si="203">IF(P50=0,P51-P54,P50-P54)</f>
        <v>0</v>
      </c>
      <c r="Q55" s="23">
        <f t="shared" ref="Q55" si="204">IF(Q50=0,Q51-Q54,Q50-Q54)</f>
        <v>0</v>
      </c>
      <c r="R55" s="23">
        <f t="shared" ref="R55" si="205">IF(R50=0,R51-R54,R50-R54)</f>
        <v>0</v>
      </c>
      <c r="S55" s="23">
        <f t="shared" ref="S55" si="206">IF(S50=0,S51-S54,S50-S54)</f>
        <v>0</v>
      </c>
      <c r="T55" s="23">
        <f t="shared" ref="T55" si="207">IF(T50=0,T51-T54,T50-T54)</f>
        <v>0</v>
      </c>
      <c r="U55" s="23">
        <f t="shared" ref="U55" si="208">IF(U50=0,U51-U54,U50-U54)</f>
        <v>0</v>
      </c>
      <c r="V55" s="23">
        <f t="shared" ref="V55" si="209">IF(V50=0,V51-V54,V50-V54)</f>
        <v>0</v>
      </c>
      <c r="W55" s="23">
        <f t="shared" ref="W55" si="210">IF(W50=0,W51-W54,W50-W54)</f>
        <v>0</v>
      </c>
      <c r="X55" s="23">
        <f t="shared" ref="X55" si="211">IF(X50=0,X51-X54,X50-X54)</f>
        <v>0</v>
      </c>
      <c r="Y55" s="23">
        <f t="shared" ref="Y55" si="212">IF(Y50=0,Y51-Y54,Y50-Y54)</f>
        <v>0</v>
      </c>
      <c r="Z55" s="23">
        <f t="shared" ref="Z55" si="213">IF(Z50=0,Z51-Z54,Z50-Z54)</f>
        <v>0</v>
      </c>
      <c r="AA55" s="23">
        <f t="shared" ref="AA55" si="214">IF(AA50=0,AA51-AA54,AA50-AA54)</f>
        <v>0</v>
      </c>
      <c r="AB55" s="23">
        <f t="shared" ref="AB55" si="215">IF(AB50=0,AB51-AB54,AB50-AB54)</f>
        <v>0</v>
      </c>
      <c r="AC55" s="23">
        <f t="shared" ref="AC55" si="216">IF(AC50=0,AC51-AC54,AC50-AC54)</f>
        <v>0</v>
      </c>
      <c r="AD55" s="23">
        <f t="shared" ref="AD55" si="217">IF(AD50=0,AD51-AD54,AD50-AD54)</f>
        <v>0</v>
      </c>
      <c r="AE55" s="23">
        <f t="shared" ref="AE55" si="218">IF(AE50=0,AE51-AE54,AE50-AE54)</f>
        <v>0</v>
      </c>
      <c r="AF55" s="23">
        <f t="shared" ref="AF55" si="219">IF(AF50=0,AF51-AF54,AF50-AF54)</f>
        <v>0</v>
      </c>
      <c r="AG55" s="23">
        <f t="shared" ref="AG55" si="220">IF(AG50=0,AG51-AG54,AG50-AG54)</f>
        <v>0</v>
      </c>
      <c r="AH55" s="23">
        <f t="shared" ref="AH55" si="221">IF(AH50=0,AH51-AH54,AH50-AH54)</f>
        <v>0</v>
      </c>
      <c r="AI55" s="23">
        <f t="shared" ref="AI55" si="222">IF(AI50=0,AI51-AI54,AI50-AI54)</f>
        <v>0</v>
      </c>
      <c r="AJ55" s="23">
        <f t="shared" ref="AJ55" si="223">IF(AJ50=0,AJ51-AJ54,AJ50-AJ54)</f>
        <v>0</v>
      </c>
      <c r="AK55" s="23">
        <f t="shared" ref="AK55" si="224">IF(AK50=0,AK51-AK54,AK50-AK54)</f>
        <v>0</v>
      </c>
      <c r="AL55" s="23">
        <f t="shared" ref="AL55" si="225">IF(AL50=0,AL51-AL54,AL50-AL54)</f>
        <v>0</v>
      </c>
      <c r="AM55" s="23">
        <f t="shared" ref="AM55" si="226">IF(AM50=0,AM51-AM54,AM50-AM54)</f>
        <v>0</v>
      </c>
      <c r="AN55" s="23">
        <f t="shared" ref="AN55" si="227">IF(AN50=0,AN51-AN54,AN50-AN54)</f>
        <v>0</v>
      </c>
      <c r="AO55" s="23">
        <f t="shared" ref="AO55" si="228">IF(AO50=0,AO51-AO54,AO50-AO54)</f>
        <v>0</v>
      </c>
      <c r="AP55" s="23">
        <f t="shared" ref="AP55" si="229">IF(AP50=0,AP51-AP54,AP50-AP54)</f>
        <v>0</v>
      </c>
      <c r="AQ55" s="23">
        <f t="shared" ref="AQ55" si="230">IF(AQ50=0,AQ51-AQ54,AQ50-AQ54)</f>
        <v>0</v>
      </c>
      <c r="AR55" s="23">
        <f t="shared" ref="AR55" si="231">IF(AR50=0,AR51-AR54,AR50-AR54)</f>
        <v>0</v>
      </c>
      <c r="AS55" s="23">
        <f t="shared" ref="AS55" si="232">IF(AS50=0,AS51-AS54,AS50-AS54)</f>
        <v>0</v>
      </c>
      <c r="AT55" s="23">
        <f t="shared" ref="AT55" si="233">IF(AT50=0,AT51-AT54,AT50-AT54)</f>
        <v>0</v>
      </c>
      <c r="AU55" s="23">
        <f t="shared" ref="AU55" si="234">IF(AU50=0,AU51-AU54,AU50-AU54)</f>
        <v>0</v>
      </c>
      <c r="AV55" s="23">
        <f t="shared" ref="AV55" si="235">IF(AV50=0,AV51-AV54,AV50-AV54)</f>
        <v>0</v>
      </c>
      <c r="AW55" s="23">
        <f t="shared" ref="AW55" si="236">IF(AW50=0,AW51-AW54,AW50-AW54)</f>
        <v>0</v>
      </c>
      <c r="AX55" s="23">
        <f t="shared" ref="AX55" si="237">IF(AX50=0,AX51-AX54,AX50-AX54)</f>
        <v>0</v>
      </c>
      <c r="AY55" s="23">
        <f t="shared" ref="AY55" si="238">IF(AY50=0,AY51-AY54,AY50-AY54)</f>
        <v>0</v>
      </c>
      <c r="AZ55" s="23">
        <f t="shared" ref="AZ55" si="239">IF(AZ50=0,AZ51-AZ54,AZ50-AZ54)</f>
        <v>0</v>
      </c>
      <c r="BA55" s="23">
        <f t="shared" ref="BA55" si="240">IF(BA50=0,BA51-BA54,BA50-BA54)</f>
        <v>0</v>
      </c>
      <c r="BB55" s="23">
        <f t="shared" ref="BB55" si="241">IF(BB50=0,BB51-BB54,BB50-BB54)</f>
        <v>0</v>
      </c>
      <c r="BC55" s="23">
        <f t="shared" ref="BC55" si="242">IF(BC50=0,BC51-BC54,BC50-BC54)</f>
        <v>0</v>
      </c>
      <c r="BD55" s="23">
        <f t="shared" ref="BD55" si="243">IF(BD50=0,BD51-BD54,BD50-BD54)</f>
        <v>0</v>
      </c>
      <c r="BE55" s="23">
        <f t="shared" ref="BE55" si="244">IF(BE50=0,BE51-BE54,BE50-BE54)</f>
        <v>0</v>
      </c>
      <c r="BF55" s="23">
        <f t="shared" ref="BF55" si="245">IF(BF50=0,BF51-BF54,BF50-BF54)</f>
        <v>0</v>
      </c>
      <c r="BG55" s="23">
        <f t="shared" ref="BG55" si="246">IF(BG50=0,BG51-BG54,BG50-BG54)</f>
        <v>0</v>
      </c>
      <c r="BH55" s="23">
        <f t="shared" ref="BH55" si="247">IF(BH50=0,BH51-BH54,BH50-BH54)</f>
        <v>0</v>
      </c>
      <c r="BI55" s="23">
        <f t="shared" ref="BI55" si="248">IF(BI50=0,BI51-BI54,BI50-BI54)</f>
        <v>0</v>
      </c>
      <c r="BJ55" s="23">
        <f t="shared" ref="BJ55" si="249">IF(BJ50=0,BJ51-BJ54,BJ50-BJ54)</f>
        <v>0</v>
      </c>
      <c r="BK55" s="23">
        <f t="shared" ref="BK55" si="250">IF(BK50=0,BK51-BK54,BK50-BK54)</f>
        <v>0</v>
      </c>
      <c r="BL55" s="23">
        <f t="shared" ref="BL55" si="251">IF(BL50=0,BL51-BL54,BL50-BL54)</f>
        <v>0</v>
      </c>
      <c r="BM55" s="23">
        <f t="shared" ref="BM55" si="252">IF(BM50=0,BM51-BM54,BM50-BM54)</f>
        <v>0</v>
      </c>
      <c r="BN55" s="23">
        <f t="shared" ref="BN55" si="253">IF(BN50=0,BN51-BN54,BN50-BN54)</f>
        <v>0</v>
      </c>
    </row>
    <row r="56" spans="3:66" x14ac:dyDescent="0.2">
      <c r="C56" s="322"/>
      <c r="D56" s="23" t="s">
        <v>10</v>
      </c>
      <c r="E56" s="72">
        <v>5.7999999999999996E-3</v>
      </c>
      <c r="F56" s="54">
        <v>5.7999999999999996E-3</v>
      </c>
      <c r="G56" s="54">
        <v>5.7999999999999996E-3</v>
      </c>
      <c r="H56" s="54">
        <v>5.7999999999999996E-3</v>
      </c>
      <c r="I56" s="54">
        <v>5.7999999999999996E-3</v>
      </c>
      <c r="J56" s="54">
        <v>5.7999999999999996E-3</v>
      </c>
      <c r="K56" s="54">
        <v>5.7999999999999996E-3</v>
      </c>
      <c r="L56" s="54">
        <v>5.7999999999999996E-3</v>
      </c>
      <c r="M56" s="54">
        <v>5.7999999999999996E-3</v>
      </c>
      <c r="N56" s="54">
        <v>5.7999999999999996E-3</v>
      </c>
      <c r="O56" s="54">
        <v>5.7999999999999996E-3</v>
      </c>
      <c r="P56" s="54">
        <v>5.7999999999999996E-3</v>
      </c>
      <c r="Q56" s="54">
        <v>5.7999999999999996E-3</v>
      </c>
      <c r="R56" s="54">
        <v>5.7999999999999996E-3</v>
      </c>
      <c r="S56" s="54">
        <v>5.7999999999999996E-3</v>
      </c>
      <c r="T56" s="54">
        <v>5.7999999999999996E-3</v>
      </c>
      <c r="U56" s="54">
        <v>5.7999999999999996E-3</v>
      </c>
      <c r="V56" s="54">
        <v>5.7999999999999996E-3</v>
      </c>
      <c r="W56" s="54">
        <v>5.7999999999999996E-3</v>
      </c>
      <c r="X56" s="54">
        <v>5.7999999999999996E-3</v>
      </c>
      <c r="Y56" s="54">
        <v>5.7999999999999996E-3</v>
      </c>
      <c r="Z56" s="54">
        <v>5.7999999999999996E-3</v>
      </c>
      <c r="AA56" s="54">
        <v>5.7999999999999996E-3</v>
      </c>
      <c r="AB56" s="54">
        <v>5.7999999999999996E-3</v>
      </c>
      <c r="AC56" s="54">
        <v>5.7999999999999996E-3</v>
      </c>
      <c r="AD56" s="54">
        <v>5.7999999999999996E-3</v>
      </c>
      <c r="AE56" s="54">
        <v>5.7999999999999996E-3</v>
      </c>
      <c r="AF56" s="54">
        <v>5.7999999999999996E-3</v>
      </c>
      <c r="AG56" s="54">
        <v>5.7999999999999996E-3</v>
      </c>
      <c r="AH56" s="54">
        <v>5.7999999999999996E-3</v>
      </c>
      <c r="AI56" s="54">
        <v>5.7999999999999996E-3</v>
      </c>
      <c r="AJ56" s="54">
        <v>5.7999999999999996E-3</v>
      </c>
      <c r="AK56" s="54">
        <v>5.7999999999999996E-3</v>
      </c>
      <c r="AL56" s="54">
        <v>5.7999999999999996E-3</v>
      </c>
      <c r="AM56" s="54">
        <v>5.7999999999999996E-3</v>
      </c>
      <c r="AN56" s="54">
        <v>5.7999999999999996E-3</v>
      </c>
      <c r="AO56" s="54">
        <v>5.7999999999999996E-3</v>
      </c>
      <c r="AP56" s="54">
        <v>5.7999999999999996E-3</v>
      </c>
      <c r="AQ56" s="54">
        <v>5.7999999999999996E-3</v>
      </c>
      <c r="AR56" s="54">
        <v>5.7999999999999996E-3</v>
      </c>
      <c r="AS56" s="54">
        <v>5.7999999999999996E-3</v>
      </c>
      <c r="AT56" s="54">
        <v>5.7999999999999996E-3</v>
      </c>
      <c r="AU56" s="54">
        <v>5.7999999999999996E-3</v>
      </c>
      <c r="AV56" s="54">
        <v>5.7999999999999996E-3</v>
      </c>
      <c r="AW56" s="54">
        <v>5.7999999999999996E-3</v>
      </c>
      <c r="AX56" s="54">
        <v>5.7999999999999996E-3</v>
      </c>
      <c r="AY56" s="54">
        <v>5.7999999999999996E-3</v>
      </c>
      <c r="AZ56" s="54">
        <v>5.7999999999999996E-3</v>
      </c>
      <c r="BA56" s="54">
        <v>5.7999999999999996E-3</v>
      </c>
      <c r="BB56" s="54">
        <v>5.7999999999999996E-3</v>
      </c>
      <c r="BC56" s="54">
        <v>5.7999999999999996E-3</v>
      </c>
      <c r="BD56" s="54">
        <v>5.7999999999999996E-3</v>
      </c>
      <c r="BE56" s="54">
        <v>5.7999999999999996E-3</v>
      </c>
      <c r="BF56" s="54">
        <v>5.7999999999999996E-3</v>
      </c>
      <c r="BG56" s="54">
        <v>5.7999999999999996E-3</v>
      </c>
      <c r="BH56" s="54">
        <v>5.7999999999999996E-3</v>
      </c>
      <c r="BI56" s="54">
        <v>5.7999999999999996E-3</v>
      </c>
      <c r="BJ56" s="54">
        <v>5.7999999999999996E-3</v>
      </c>
      <c r="BK56" s="54">
        <v>5.7999999999999996E-3</v>
      </c>
      <c r="BL56" s="54">
        <v>5.7999999999999996E-3</v>
      </c>
      <c r="BM56" s="54">
        <v>5.7999999999999996E-3</v>
      </c>
      <c r="BN56" s="54">
        <v>5.7999999999999996E-3</v>
      </c>
    </row>
    <row r="57" spans="3:66" x14ac:dyDescent="0.2">
      <c r="C57" s="322"/>
      <c r="D57" s="23" t="s">
        <v>12</v>
      </c>
      <c r="E57" s="27">
        <f t="shared" ref="E57:E62" si="254">SUM(F57:BN57)</f>
        <v>5003.2620724631997</v>
      </c>
      <c r="F57" s="29">
        <f>+F55*F56</f>
        <v>-0.8779192967999998</v>
      </c>
      <c r="G57" s="29">
        <f>+G55*G56</f>
        <v>2370.38210136</v>
      </c>
      <c r="H57" s="29">
        <f>+H55*H56</f>
        <v>2633.7578904000002</v>
      </c>
      <c r="I57" s="29">
        <f t="shared" ref="I57:O57" si="255">+I55*I56</f>
        <v>0</v>
      </c>
      <c r="J57" s="29">
        <f t="shared" si="255"/>
        <v>0</v>
      </c>
      <c r="K57" s="29">
        <f t="shared" si="255"/>
        <v>0</v>
      </c>
      <c r="L57" s="29">
        <f t="shared" si="255"/>
        <v>0</v>
      </c>
      <c r="M57" s="29">
        <f t="shared" si="255"/>
        <v>0</v>
      </c>
      <c r="N57" s="29">
        <f t="shared" si="255"/>
        <v>0</v>
      </c>
      <c r="O57" s="29">
        <f t="shared" si="255"/>
        <v>0</v>
      </c>
      <c r="P57" s="29">
        <f>+P55*P56</f>
        <v>0</v>
      </c>
      <c r="Q57" s="29">
        <f t="shared" ref="Q57" si="256">+Q55*Q56</f>
        <v>0</v>
      </c>
      <c r="R57" s="29">
        <f>+R55*R56</f>
        <v>0</v>
      </c>
      <c r="S57" s="29">
        <f>+S55*S56</f>
        <v>0</v>
      </c>
      <c r="T57" s="29">
        <f t="shared" ref="T57" si="257">+T55*T56</f>
        <v>0</v>
      </c>
      <c r="U57" s="29">
        <f>+U55*U56</f>
        <v>0</v>
      </c>
      <c r="V57" s="29">
        <f t="shared" ref="V57:X57" si="258">+V55*V56</f>
        <v>0</v>
      </c>
      <c r="W57" s="29">
        <f t="shared" si="258"/>
        <v>0</v>
      </c>
      <c r="X57" s="29">
        <f t="shared" si="258"/>
        <v>0</v>
      </c>
      <c r="Y57" s="29">
        <v>0</v>
      </c>
      <c r="Z57" s="29">
        <f>+Z55*Z56</f>
        <v>0</v>
      </c>
      <c r="AA57" s="29">
        <f>+AA55*AA56</f>
        <v>0</v>
      </c>
      <c r="AB57" s="29">
        <f t="shared" ref="AB57:AD57" si="259">+AB55*AB56</f>
        <v>0</v>
      </c>
      <c r="AC57" s="29">
        <f t="shared" si="259"/>
        <v>0</v>
      </c>
      <c r="AD57" s="29">
        <f t="shared" si="259"/>
        <v>0</v>
      </c>
      <c r="AE57" s="29">
        <v>0</v>
      </c>
      <c r="AF57" s="29">
        <f>+AF55*AF56</f>
        <v>0</v>
      </c>
      <c r="AG57" s="29">
        <f t="shared" ref="AG57:AI57" si="260">+AG55*AG56</f>
        <v>0</v>
      </c>
      <c r="AH57" s="29">
        <f t="shared" si="260"/>
        <v>0</v>
      </c>
      <c r="AI57" s="29">
        <f t="shared" si="260"/>
        <v>0</v>
      </c>
      <c r="AJ57" s="29">
        <f t="shared" ref="AJ57:AN57" si="261">+AJ55*AJ56</f>
        <v>0</v>
      </c>
      <c r="AK57" s="29">
        <f t="shared" si="261"/>
        <v>0</v>
      </c>
      <c r="AL57" s="29">
        <f t="shared" si="261"/>
        <v>0</v>
      </c>
      <c r="AM57" s="29">
        <f t="shared" si="261"/>
        <v>0</v>
      </c>
      <c r="AN57" s="29">
        <f t="shared" si="261"/>
        <v>0</v>
      </c>
      <c r="AO57" s="29">
        <f t="shared" ref="AO57:AP57" si="262">+AO55*AO56</f>
        <v>0</v>
      </c>
      <c r="AP57" s="29">
        <f t="shared" si="262"/>
        <v>0</v>
      </c>
      <c r="AQ57" s="29">
        <f>+AQ55*AQ56</f>
        <v>0</v>
      </c>
      <c r="AR57" s="29">
        <v>0</v>
      </c>
      <c r="AS57" s="29">
        <f t="shared" ref="AS57:AU57" si="263">+AS55*AS56</f>
        <v>0</v>
      </c>
      <c r="AT57" s="29">
        <f t="shared" si="263"/>
        <v>0</v>
      </c>
      <c r="AU57" s="29">
        <f t="shared" si="263"/>
        <v>0</v>
      </c>
      <c r="AV57" s="29">
        <v>0</v>
      </c>
      <c r="AW57" s="29">
        <f t="shared" ref="AW57:AX57" si="264">+AW55*AW56</f>
        <v>0</v>
      </c>
      <c r="AX57" s="29">
        <f t="shared" si="264"/>
        <v>0</v>
      </c>
      <c r="AY57" s="29">
        <f t="shared" ref="AY57:BN57" si="265">+AY55*AY56</f>
        <v>0</v>
      </c>
      <c r="AZ57" s="29">
        <v>0</v>
      </c>
      <c r="BA57" s="29">
        <f t="shared" si="265"/>
        <v>0</v>
      </c>
      <c r="BB57" s="29">
        <f t="shared" si="265"/>
        <v>0</v>
      </c>
      <c r="BC57" s="29">
        <f t="shared" si="265"/>
        <v>0</v>
      </c>
      <c r="BD57" s="29">
        <f t="shared" si="265"/>
        <v>0</v>
      </c>
      <c r="BE57" s="29">
        <f t="shared" si="265"/>
        <v>0</v>
      </c>
      <c r="BF57" s="29">
        <f t="shared" si="265"/>
        <v>0</v>
      </c>
      <c r="BG57" s="29">
        <f t="shared" si="265"/>
        <v>0</v>
      </c>
      <c r="BH57" s="29">
        <f t="shared" si="265"/>
        <v>0</v>
      </c>
      <c r="BI57" s="29">
        <f t="shared" si="265"/>
        <v>0</v>
      </c>
      <c r="BJ57" s="29">
        <f t="shared" si="265"/>
        <v>0</v>
      </c>
      <c r="BK57" s="29">
        <f t="shared" si="265"/>
        <v>0</v>
      </c>
      <c r="BL57" s="29">
        <f t="shared" si="265"/>
        <v>0</v>
      </c>
      <c r="BM57" s="29">
        <f t="shared" si="265"/>
        <v>0</v>
      </c>
      <c r="BN57" s="29">
        <f t="shared" si="265"/>
        <v>0</v>
      </c>
    </row>
    <row r="58" spans="3:66" ht="13.5" thickBot="1" x14ac:dyDescent="0.25">
      <c r="C58" s="323"/>
      <c r="D58" s="25" t="s">
        <v>11</v>
      </c>
      <c r="E58" s="30">
        <f t="shared" si="254"/>
        <v>867634.6538764633</v>
      </c>
      <c r="F58" s="46">
        <f>+F55+F57</f>
        <v>-152.24331529679998</v>
      </c>
      <c r="G58" s="46">
        <f>+G55+G57</f>
        <v>411056.95130136004</v>
      </c>
      <c r="H58" s="46">
        <f>+H55+H57</f>
        <v>456729.94589040003</v>
      </c>
      <c r="I58" s="46">
        <f t="shared" ref="I58:AU58" si="266">+I55+I57</f>
        <v>0</v>
      </c>
      <c r="J58" s="46">
        <f t="shared" si="266"/>
        <v>0</v>
      </c>
      <c r="K58" s="46">
        <f t="shared" si="266"/>
        <v>0</v>
      </c>
      <c r="L58" s="46">
        <f t="shared" si="266"/>
        <v>0</v>
      </c>
      <c r="M58" s="46">
        <f t="shared" si="266"/>
        <v>0</v>
      </c>
      <c r="N58" s="46">
        <f t="shared" si="266"/>
        <v>0</v>
      </c>
      <c r="O58" s="46">
        <f t="shared" si="266"/>
        <v>0</v>
      </c>
      <c r="P58" s="46">
        <f t="shared" si="266"/>
        <v>0</v>
      </c>
      <c r="Q58" s="46">
        <f t="shared" si="266"/>
        <v>0</v>
      </c>
      <c r="R58" s="46">
        <f t="shared" si="266"/>
        <v>0</v>
      </c>
      <c r="S58" s="46">
        <f t="shared" si="266"/>
        <v>0</v>
      </c>
      <c r="T58" s="46">
        <f t="shared" si="266"/>
        <v>0</v>
      </c>
      <c r="U58" s="46">
        <f t="shared" si="266"/>
        <v>0</v>
      </c>
      <c r="V58" s="46">
        <f t="shared" si="266"/>
        <v>0</v>
      </c>
      <c r="W58" s="46">
        <f t="shared" si="266"/>
        <v>0</v>
      </c>
      <c r="X58" s="46">
        <f t="shared" si="266"/>
        <v>0</v>
      </c>
      <c r="Y58" s="46">
        <f t="shared" si="266"/>
        <v>0</v>
      </c>
      <c r="Z58" s="46">
        <f t="shared" si="266"/>
        <v>0</v>
      </c>
      <c r="AA58" s="46">
        <f t="shared" si="266"/>
        <v>0</v>
      </c>
      <c r="AB58" s="46">
        <f t="shared" si="266"/>
        <v>0</v>
      </c>
      <c r="AC58" s="46">
        <f t="shared" si="266"/>
        <v>0</v>
      </c>
      <c r="AD58" s="46">
        <f t="shared" si="266"/>
        <v>0</v>
      </c>
      <c r="AE58" s="46">
        <f t="shared" si="266"/>
        <v>0</v>
      </c>
      <c r="AF58" s="46">
        <f t="shared" si="266"/>
        <v>0</v>
      </c>
      <c r="AG58" s="46">
        <f t="shared" si="266"/>
        <v>0</v>
      </c>
      <c r="AH58" s="46">
        <f t="shared" si="266"/>
        <v>0</v>
      </c>
      <c r="AI58" s="46">
        <f t="shared" si="266"/>
        <v>0</v>
      </c>
      <c r="AJ58" s="46">
        <f t="shared" si="266"/>
        <v>0</v>
      </c>
      <c r="AK58" s="46">
        <f t="shared" si="266"/>
        <v>0</v>
      </c>
      <c r="AL58" s="46">
        <f t="shared" si="266"/>
        <v>0</v>
      </c>
      <c r="AM58" s="46">
        <f t="shared" si="266"/>
        <v>0</v>
      </c>
      <c r="AN58" s="46">
        <f t="shared" si="266"/>
        <v>0</v>
      </c>
      <c r="AO58" s="46">
        <f t="shared" si="266"/>
        <v>0</v>
      </c>
      <c r="AP58" s="46">
        <f t="shared" si="266"/>
        <v>0</v>
      </c>
      <c r="AQ58" s="46">
        <f t="shared" si="266"/>
        <v>0</v>
      </c>
      <c r="AR58" s="46">
        <f t="shared" si="266"/>
        <v>0</v>
      </c>
      <c r="AS58" s="46">
        <f t="shared" si="266"/>
        <v>0</v>
      </c>
      <c r="AT58" s="46">
        <f t="shared" si="266"/>
        <v>0</v>
      </c>
      <c r="AU58" s="46">
        <f t="shared" si="266"/>
        <v>0</v>
      </c>
      <c r="AV58" s="46">
        <f>+AV55+AV57</f>
        <v>0</v>
      </c>
      <c r="AW58" s="46">
        <f t="shared" ref="AW58:BN58" si="267">+AW55+AW57</f>
        <v>0</v>
      </c>
      <c r="AX58" s="46">
        <f t="shared" si="267"/>
        <v>0</v>
      </c>
      <c r="AY58" s="46">
        <f t="shared" si="267"/>
        <v>0</v>
      </c>
      <c r="AZ58" s="46">
        <f t="shared" si="267"/>
        <v>0</v>
      </c>
      <c r="BA58" s="46">
        <f t="shared" si="267"/>
        <v>0</v>
      </c>
      <c r="BB58" s="46">
        <f t="shared" si="267"/>
        <v>0</v>
      </c>
      <c r="BC58" s="46">
        <f t="shared" si="267"/>
        <v>0</v>
      </c>
      <c r="BD58" s="46">
        <f t="shared" si="267"/>
        <v>0</v>
      </c>
      <c r="BE58" s="46">
        <f t="shared" si="267"/>
        <v>0</v>
      </c>
      <c r="BF58" s="46">
        <f t="shared" si="267"/>
        <v>0</v>
      </c>
      <c r="BG58" s="46">
        <f t="shared" si="267"/>
        <v>0</v>
      </c>
      <c r="BH58" s="46">
        <f t="shared" si="267"/>
        <v>0</v>
      </c>
      <c r="BI58" s="46">
        <f t="shared" si="267"/>
        <v>0</v>
      </c>
      <c r="BJ58" s="46">
        <f t="shared" si="267"/>
        <v>0</v>
      </c>
      <c r="BK58" s="46">
        <f t="shared" si="267"/>
        <v>0</v>
      </c>
      <c r="BL58" s="46">
        <f t="shared" si="267"/>
        <v>0</v>
      </c>
      <c r="BM58" s="46">
        <f t="shared" si="267"/>
        <v>0</v>
      </c>
      <c r="BN58" s="46">
        <f t="shared" si="267"/>
        <v>0</v>
      </c>
    </row>
    <row r="59" spans="3:66" x14ac:dyDescent="0.2">
      <c r="C59" s="321">
        <v>43739</v>
      </c>
      <c r="D59" s="20" t="s">
        <v>5</v>
      </c>
      <c r="E59" s="50">
        <f t="shared" si="254"/>
        <v>0</v>
      </c>
      <c r="F59" s="279">
        <f>IF(F$6=$C59,F$7,0)</f>
        <v>0</v>
      </c>
      <c r="G59" s="279">
        <f t="shared" ref="G59:BN59" si="268">IF(G$6=$C59,G$7,0)</f>
        <v>0</v>
      </c>
      <c r="H59" s="279">
        <f t="shared" si="268"/>
        <v>0</v>
      </c>
      <c r="I59" s="279">
        <f t="shared" si="268"/>
        <v>0</v>
      </c>
      <c r="J59" s="279">
        <f t="shared" si="268"/>
        <v>0</v>
      </c>
      <c r="K59" s="279">
        <f t="shared" si="268"/>
        <v>0</v>
      </c>
      <c r="L59" s="279">
        <f t="shared" si="268"/>
        <v>0</v>
      </c>
      <c r="M59" s="279">
        <f t="shared" si="268"/>
        <v>0</v>
      </c>
      <c r="N59" s="279">
        <f t="shared" si="268"/>
        <v>0</v>
      </c>
      <c r="O59" s="279">
        <f t="shared" si="268"/>
        <v>0</v>
      </c>
      <c r="P59" s="279">
        <f t="shared" si="268"/>
        <v>0</v>
      </c>
      <c r="Q59" s="279">
        <f t="shared" si="268"/>
        <v>0</v>
      </c>
      <c r="R59" s="279">
        <f t="shared" si="268"/>
        <v>0</v>
      </c>
      <c r="S59" s="279">
        <f t="shared" si="268"/>
        <v>0</v>
      </c>
      <c r="T59" s="279">
        <f t="shared" si="268"/>
        <v>0</v>
      </c>
      <c r="U59" s="279">
        <f t="shared" si="268"/>
        <v>0</v>
      </c>
      <c r="V59" s="279">
        <f t="shared" si="268"/>
        <v>0</v>
      </c>
      <c r="W59" s="279">
        <f t="shared" si="268"/>
        <v>0</v>
      </c>
      <c r="X59" s="279">
        <f t="shared" si="268"/>
        <v>0</v>
      </c>
      <c r="Y59" s="279">
        <f t="shared" si="268"/>
        <v>0</v>
      </c>
      <c r="Z59" s="279">
        <f t="shared" si="268"/>
        <v>0</v>
      </c>
      <c r="AA59" s="279">
        <f t="shared" si="268"/>
        <v>0</v>
      </c>
      <c r="AB59" s="279">
        <f t="shared" si="268"/>
        <v>0</v>
      </c>
      <c r="AC59" s="279">
        <f t="shared" si="268"/>
        <v>0</v>
      </c>
      <c r="AD59" s="279">
        <f t="shared" si="268"/>
        <v>0</v>
      </c>
      <c r="AE59" s="279">
        <f t="shared" si="268"/>
        <v>0</v>
      </c>
      <c r="AF59" s="279">
        <f t="shared" si="268"/>
        <v>0</v>
      </c>
      <c r="AG59" s="279">
        <f t="shared" si="268"/>
        <v>0</v>
      </c>
      <c r="AH59" s="279">
        <f t="shared" si="268"/>
        <v>0</v>
      </c>
      <c r="AI59" s="279">
        <f t="shared" si="268"/>
        <v>0</v>
      </c>
      <c r="AJ59" s="279">
        <f t="shared" si="268"/>
        <v>0</v>
      </c>
      <c r="AK59" s="279">
        <f t="shared" si="268"/>
        <v>0</v>
      </c>
      <c r="AL59" s="279">
        <f t="shared" si="268"/>
        <v>0</v>
      </c>
      <c r="AM59" s="279">
        <f t="shared" si="268"/>
        <v>0</v>
      </c>
      <c r="AN59" s="279">
        <f t="shared" si="268"/>
        <v>0</v>
      </c>
      <c r="AO59" s="279">
        <f t="shared" si="268"/>
        <v>0</v>
      </c>
      <c r="AP59" s="279">
        <f t="shared" si="268"/>
        <v>0</v>
      </c>
      <c r="AQ59" s="279">
        <f t="shared" si="268"/>
        <v>0</v>
      </c>
      <c r="AR59" s="279">
        <f t="shared" si="268"/>
        <v>0</v>
      </c>
      <c r="AS59" s="279">
        <f t="shared" si="268"/>
        <v>0</v>
      </c>
      <c r="AT59" s="279">
        <f t="shared" si="268"/>
        <v>0</v>
      </c>
      <c r="AU59" s="279">
        <f t="shared" si="268"/>
        <v>0</v>
      </c>
      <c r="AV59" s="279">
        <f t="shared" si="268"/>
        <v>0</v>
      </c>
      <c r="AW59" s="279">
        <f t="shared" si="268"/>
        <v>0</v>
      </c>
      <c r="AX59" s="279">
        <f t="shared" si="268"/>
        <v>0</v>
      </c>
      <c r="AY59" s="279">
        <f t="shared" si="268"/>
        <v>0</v>
      </c>
      <c r="AZ59" s="279">
        <f t="shared" si="268"/>
        <v>0</v>
      </c>
      <c r="BA59" s="279">
        <f t="shared" si="268"/>
        <v>0</v>
      </c>
      <c r="BB59" s="279">
        <f t="shared" si="268"/>
        <v>0</v>
      </c>
      <c r="BC59" s="279">
        <f t="shared" si="268"/>
        <v>0</v>
      </c>
      <c r="BD59" s="279">
        <f t="shared" si="268"/>
        <v>0</v>
      </c>
      <c r="BE59" s="279">
        <f t="shared" si="268"/>
        <v>0</v>
      </c>
      <c r="BF59" s="279">
        <f t="shared" si="268"/>
        <v>0</v>
      </c>
      <c r="BG59" s="279">
        <f t="shared" si="268"/>
        <v>0</v>
      </c>
      <c r="BH59" s="279">
        <f t="shared" si="268"/>
        <v>0</v>
      </c>
      <c r="BI59" s="279">
        <f t="shared" si="268"/>
        <v>0</v>
      </c>
      <c r="BJ59" s="279">
        <f t="shared" si="268"/>
        <v>0</v>
      </c>
      <c r="BK59" s="279">
        <f t="shared" si="268"/>
        <v>0</v>
      </c>
      <c r="BL59" s="279">
        <f t="shared" si="268"/>
        <v>0</v>
      </c>
      <c r="BM59" s="279">
        <f t="shared" si="268"/>
        <v>0</v>
      </c>
      <c r="BN59" s="279">
        <f t="shared" si="268"/>
        <v>0</v>
      </c>
    </row>
    <row r="60" spans="3:66" x14ac:dyDescent="0.2">
      <c r="C60" s="322"/>
      <c r="D60" s="23" t="s">
        <v>7</v>
      </c>
      <c r="E60" s="91">
        <f t="shared" si="254"/>
        <v>6.0999999999999943</v>
      </c>
      <c r="F60" s="28">
        <f>IF(F59="",VLOOKUP($C59,'CUSTOS REALIZADOS'!$A$11:$E$995,4),(VLOOKUP($C59,'CUSTOS REALIZADOS'!$A$11:$E$995,5)))</f>
        <v>0.1</v>
      </c>
      <c r="G60" s="28">
        <f>IF(G59="",VLOOKUP($C59,'CUSTOS REALIZADOS'!$A$11:$E$995,4),(VLOOKUP($C59,'CUSTOS REALIZADOS'!$A$11:$E$995,5)))</f>
        <v>0.1</v>
      </c>
      <c r="H60" s="28">
        <f>IF(H59="",VLOOKUP($C59,'CUSTOS REALIZADOS'!$A$11:$E$995,4),(VLOOKUP($C59,'CUSTOS REALIZADOS'!$A$11:$E$995,5)))</f>
        <v>0.1</v>
      </c>
      <c r="I60" s="28">
        <f>IF(I59="",VLOOKUP($C59,'CUSTOS REALIZADOS'!$A$11:$E$995,4),(VLOOKUP($C59,'CUSTOS REALIZADOS'!$A$11:$E$995,5)))</f>
        <v>0.1</v>
      </c>
      <c r="J60" s="28">
        <f>IF(J59="",VLOOKUP($C59,'CUSTOS REALIZADOS'!$A$11:$E$995,4),(VLOOKUP($C59,'CUSTOS REALIZADOS'!$A$11:$E$995,5)))</f>
        <v>0.1</v>
      </c>
      <c r="K60" s="28">
        <f>IF(K59="",VLOOKUP($C59,'CUSTOS REALIZADOS'!$A$11:$E$995,4),(VLOOKUP($C59,'CUSTOS REALIZADOS'!$A$11:$E$995,5)))</f>
        <v>0.1</v>
      </c>
      <c r="L60" s="28">
        <f>IF(L59="",VLOOKUP($C59,'CUSTOS REALIZADOS'!$A$11:$E$995,4),(VLOOKUP($C59,'CUSTOS REALIZADOS'!$A$11:$E$995,5)))</f>
        <v>0.1</v>
      </c>
      <c r="M60" s="28">
        <f>IF(M59="",VLOOKUP($C59,'CUSTOS REALIZADOS'!$A$11:$E$995,4),(VLOOKUP($C59,'CUSTOS REALIZADOS'!$A$11:$E$995,5)))</f>
        <v>0.1</v>
      </c>
      <c r="N60" s="28">
        <f>IF(N59="",VLOOKUP($C59,'CUSTOS REALIZADOS'!$A$11:$E$995,4),(VLOOKUP($C59,'CUSTOS REALIZADOS'!$A$11:$E$995,5)))</f>
        <v>0.1</v>
      </c>
      <c r="O60" s="28">
        <f>IF(O59="",VLOOKUP($C59,'CUSTOS REALIZADOS'!$A$11:$E$995,4),(VLOOKUP($C59,'CUSTOS REALIZADOS'!$A$11:$E$995,5)))</f>
        <v>0.1</v>
      </c>
      <c r="P60" s="28">
        <f>IF(P59="",VLOOKUP($C59,'CUSTOS REALIZADOS'!$A$11:$E$995,4),(VLOOKUP($C59,'CUSTOS REALIZADOS'!$A$11:$E$995,5)))</f>
        <v>0.1</v>
      </c>
      <c r="Q60" s="28">
        <f>IF(Q59="",VLOOKUP($C59,'CUSTOS REALIZADOS'!$A$11:$E$995,4),(VLOOKUP($C59,'CUSTOS REALIZADOS'!$A$11:$E$995,5)))</f>
        <v>0.1</v>
      </c>
      <c r="R60" s="28">
        <f>IF(R59="",VLOOKUP($C59,'CUSTOS REALIZADOS'!$A$11:$E$995,4),(VLOOKUP($C59,'CUSTOS REALIZADOS'!$A$11:$E$995,5)))</f>
        <v>0.1</v>
      </c>
      <c r="S60" s="28">
        <f>IF(S59="",VLOOKUP($C59,'CUSTOS REALIZADOS'!$A$11:$E$995,4),(VLOOKUP($C59,'CUSTOS REALIZADOS'!$A$11:$E$995,5)))</f>
        <v>0.1</v>
      </c>
      <c r="T60" s="28">
        <f>IF(T59="",VLOOKUP($C59,'CUSTOS REALIZADOS'!$A$11:$E$995,4),(VLOOKUP($C59,'CUSTOS REALIZADOS'!$A$11:$E$995,5)))</f>
        <v>0.1</v>
      </c>
      <c r="U60" s="28">
        <f>IF(U59="",VLOOKUP($C59,'CUSTOS REALIZADOS'!$A$11:$E$995,4),(VLOOKUP($C59,'CUSTOS REALIZADOS'!$A$11:$E$995,5)))</f>
        <v>0.1</v>
      </c>
      <c r="V60" s="28">
        <f>IF(V59="",VLOOKUP($C59,'CUSTOS REALIZADOS'!$A$11:$E$995,4),(VLOOKUP($C59,'CUSTOS REALIZADOS'!$A$11:$E$995,5)))</f>
        <v>0.1</v>
      </c>
      <c r="W60" s="28">
        <f>IF(W59="",VLOOKUP($C59,'CUSTOS REALIZADOS'!$A$11:$E$995,4),(VLOOKUP($C59,'CUSTOS REALIZADOS'!$A$11:$E$995,5)))</f>
        <v>0.1</v>
      </c>
      <c r="X60" s="28">
        <f>IF(X59="",VLOOKUP($C59,'CUSTOS REALIZADOS'!$A$11:$E$995,4),(VLOOKUP($C59,'CUSTOS REALIZADOS'!$A$11:$E$995,5)))</f>
        <v>0.1</v>
      </c>
      <c r="Y60" s="28">
        <f>IF(Y59="",VLOOKUP($C59,'CUSTOS REALIZADOS'!$A$11:$E$995,4),(VLOOKUP($C59,'CUSTOS REALIZADOS'!$A$11:$E$995,5)))</f>
        <v>0.1</v>
      </c>
      <c r="Z60" s="28">
        <f>IF(Z59="",VLOOKUP($C59,'CUSTOS REALIZADOS'!$A$11:$E$995,4),(VLOOKUP($C59,'CUSTOS REALIZADOS'!$A$11:$E$995,5)))</f>
        <v>0.1</v>
      </c>
      <c r="AA60" s="28">
        <f>IF(AA59="",VLOOKUP($C59,'CUSTOS REALIZADOS'!$A$11:$E$995,4),(VLOOKUP($C59,'CUSTOS REALIZADOS'!$A$11:$E$995,5)))</f>
        <v>0.1</v>
      </c>
      <c r="AB60" s="28">
        <f>IF(AB59="",VLOOKUP($C59,'CUSTOS REALIZADOS'!$A$11:$E$995,4),(VLOOKUP($C59,'CUSTOS REALIZADOS'!$A$11:$E$995,5)))</f>
        <v>0.1</v>
      </c>
      <c r="AC60" s="28">
        <f>IF(AC59="",VLOOKUP($C59,'CUSTOS REALIZADOS'!$A$11:$E$995,4),(VLOOKUP($C59,'CUSTOS REALIZADOS'!$A$11:$E$995,5)))</f>
        <v>0.1</v>
      </c>
      <c r="AD60" s="28">
        <f>IF(AD59="",VLOOKUP($C59,'CUSTOS REALIZADOS'!$A$11:$E$995,4),(VLOOKUP($C59,'CUSTOS REALIZADOS'!$A$11:$E$995,5)))</f>
        <v>0.1</v>
      </c>
      <c r="AE60" s="28">
        <f>IF(AE59="",VLOOKUP($C59,'CUSTOS REALIZADOS'!$A$11:$E$995,4),(VLOOKUP($C59,'CUSTOS REALIZADOS'!$A$11:$E$995,5)))</f>
        <v>0.1</v>
      </c>
      <c r="AF60" s="28">
        <f>IF(AF59="",VLOOKUP($C59,'CUSTOS REALIZADOS'!$A$11:$E$995,4),(VLOOKUP($C59,'CUSTOS REALIZADOS'!$A$11:$E$995,5)))</f>
        <v>0.1</v>
      </c>
      <c r="AG60" s="28">
        <f>IF(AG59="",VLOOKUP($C59,'CUSTOS REALIZADOS'!$A$11:$E$995,4),(VLOOKUP($C59,'CUSTOS REALIZADOS'!$A$11:$E$995,5)))</f>
        <v>0.1</v>
      </c>
      <c r="AH60" s="28">
        <f>IF(AH59="",VLOOKUP($C59,'CUSTOS REALIZADOS'!$A$11:$E$995,4),(VLOOKUP($C59,'CUSTOS REALIZADOS'!$A$11:$E$995,5)))</f>
        <v>0.1</v>
      </c>
      <c r="AI60" s="28">
        <f>IF(AI59="",VLOOKUP($C59,'CUSTOS REALIZADOS'!$A$11:$E$995,4),(VLOOKUP($C59,'CUSTOS REALIZADOS'!$A$11:$E$995,5)))</f>
        <v>0.1</v>
      </c>
      <c r="AJ60" s="28">
        <f>IF(AJ59="",VLOOKUP($C59,'CUSTOS REALIZADOS'!$A$11:$E$995,4),(VLOOKUP($C59,'CUSTOS REALIZADOS'!$A$11:$E$995,5)))</f>
        <v>0.1</v>
      </c>
      <c r="AK60" s="28">
        <f>IF(AK59="",VLOOKUP($C59,'CUSTOS REALIZADOS'!$A$11:$E$995,4),(VLOOKUP($C59,'CUSTOS REALIZADOS'!$A$11:$E$995,5)))</f>
        <v>0.1</v>
      </c>
      <c r="AL60" s="28">
        <f>IF(AL59="",VLOOKUP($C59,'CUSTOS REALIZADOS'!$A$11:$E$995,4),(VLOOKUP($C59,'CUSTOS REALIZADOS'!$A$11:$E$995,5)))</f>
        <v>0.1</v>
      </c>
      <c r="AM60" s="28">
        <f>IF(AM59="",VLOOKUP($C59,'CUSTOS REALIZADOS'!$A$11:$E$995,4),(VLOOKUP($C59,'CUSTOS REALIZADOS'!$A$11:$E$995,5)))</f>
        <v>0.1</v>
      </c>
      <c r="AN60" s="28">
        <f>IF(AN59="",VLOOKUP($C59,'CUSTOS REALIZADOS'!$A$11:$E$995,4),(VLOOKUP($C59,'CUSTOS REALIZADOS'!$A$11:$E$995,5)))</f>
        <v>0.1</v>
      </c>
      <c r="AO60" s="28">
        <f>IF(AO59="",VLOOKUP($C59,'CUSTOS REALIZADOS'!$A$11:$E$995,4),(VLOOKUP($C59,'CUSTOS REALIZADOS'!$A$11:$E$995,5)))</f>
        <v>0.1</v>
      </c>
      <c r="AP60" s="28">
        <f>IF(AP59="",VLOOKUP($C59,'CUSTOS REALIZADOS'!$A$11:$E$995,4),(VLOOKUP($C59,'CUSTOS REALIZADOS'!$A$11:$E$995,5)))</f>
        <v>0.1</v>
      </c>
      <c r="AQ60" s="28">
        <f>IF(AQ59="",VLOOKUP($C59,'CUSTOS REALIZADOS'!$A$11:$E$995,4),(VLOOKUP($C59,'CUSTOS REALIZADOS'!$A$11:$E$995,5)))</f>
        <v>0.1</v>
      </c>
      <c r="AR60" s="28">
        <f>IF(AR59="",VLOOKUP($C59,'CUSTOS REALIZADOS'!$A$11:$E$995,4),(VLOOKUP($C59,'CUSTOS REALIZADOS'!$A$11:$E$995,5)))</f>
        <v>0.1</v>
      </c>
      <c r="AS60" s="28">
        <f>IF(AS59="",VLOOKUP($C59,'CUSTOS REALIZADOS'!$A$11:$E$995,4),(VLOOKUP($C59,'CUSTOS REALIZADOS'!$A$11:$E$995,5)))</f>
        <v>0.1</v>
      </c>
      <c r="AT60" s="28">
        <f>IF(AT59="",VLOOKUP($C59,'CUSTOS REALIZADOS'!$A$11:$E$995,4),(VLOOKUP($C59,'CUSTOS REALIZADOS'!$A$11:$E$995,5)))</f>
        <v>0.1</v>
      </c>
      <c r="AU60" s="28">
        <f>IF(AU59="",VLOOKUP($C59,'CUSTOS REALIZADOS'!$A$11:$E$995,4),(VLOOKUP($C59,'CUSTOS REALIZADOS'!$A$11:$E$995,5)))</f>
        <v>0.1</v>
      </c>
      <c r="AV60" s="28">
        <f>IF(AV59="",VLOOKUP($C59,'CUSTOS REALIZADOS'!$A$11:$E$995,4),(VLOOKUP($C59,'CUSTOS REALIZADOS'!$A$11:$E$995,5)))</f>
        <v>0.1</v>
      </c>
      <c r="AW60" s="28">
        <f>IF(AW59="",VLOOKUP($C59,'CUSTOS REALIZADOS'!$A$11:$E$995,4),(VLOOKUP($C59,'CUSTOS REALIZADOS'!$A$11:$E$995,5)))</f>
        <v>0.1</v>
      </c>
      <c r="AX60" s="28">
        <f>IF(AX59="",VLOOKUP($C59,'CUSTOS REALIZADOS'!$A$11:$E$995,4),(VLOOKUP($C59,'CUSTOS REALIZADOS'!$A$11:$E$995,5)))</f>
        <v>0.1</v>
      </c>
      <c r="AY60" s="28">
        <f>IF(AY59="",VLOOKUP($C59,'CUSTOS REALIZADOS'!$A$11:$E$995,4),(VLOOKUP($C59,'CUSTOS REALIZADOS'!$A$11:$E$995,5)))</f>
        <v>0.1</v>
      </c>
      <c r="AZ60" s="28">
        <f>IF(AZ59="",VLOOKUP($C59,'CUSTOS REALIZADOS'!$A$11:$E$995,4),(VLOOKUP($C59,'CUSTOS REALIZADOS'!$A$11:$E$995,5)))</f>
        <v>0.1</v>
      </c>
      <c r="BA60" s="28">
        <f>IF(BA59="",VLOOKUP($C59,'CUSTOS REALIZADOS'!$A$11:$E$995,4),(VLOOKUP($C59,'CUSTOS REALIZADOS'!$A$11:$E$995,5)))</f>
        <v>0.1</v>
      </c>
      <c r="BB60" s="28">
        <f>IF(BB59="",VLOOKUP($C59,'CUSTOS REALIZADOS'!$A$11:$E$995,4),(VLOOKUP($C59,'CUSTOS REALIZADOS'!$A$11:$E$995,5)))</f>
        <v>0.1</v>
      </c>
      <c r="BC60" s="28">
        <f>IF(BC59="",VLOOKUP($C59,'CUSTOS REALIZADOS'!$A$11:$E$995,4),(VLOOKUP($C59,'CUSTOS REALIZADOS'!$A$11:$E$995,5)))</f>
        <v>0.1</v>
      </c>
      <c r="BD60" s="28">
        <f>IF(BD59="",VLOOKUP($C59,'CUSTOS REALIZADOS'!$A$11:$E$995,4),(VLOOKUP($C59,'CUSTOS REALIZADOS'!$A$11:$E$995,5)))</f>
        <v>0.1</v>
      </c>
      <c r="BE60" s="28">
        <f>IF(BE59="",VLOOKUP($C59,'CUSTOS REALIZADOS'!$A$11:$E$995,4),(VLOOKUP($C59,'CUSTOS REALIZADOS'!$A$11:$E$995,5)))</f>
        <v>0.1</v>
      </c>
      <c r="BF60" s="28">
        <f>IF(BF59="",VLOOKUP($C59,'CUSTOS REALIZADOS'!$A$11:$E$995,4),(VLOOKUP($C59,'CUSTOS REALIZADOS'!$A$11:$E$995,5)))</f>
        <v>0.1</v>
      </c>
      <c r="BG60" s="28">
        <f>IF(BG59="",VLOOKUP($C59,'CUSTOS REALIZADOS'!$A$11:$E$995,4),(VLOOKUP($C59,'CUSTOS REALIZADOS'!$A$11:$E$995,5)))</f>
        <v>0.1</v>
      </c>
      <c r="BH60" s="28">
        <f>IF(BH59="",VLOOKUP($C59,'CUSTOS REALIZADOS'!$A$11:$E$995,4),(VLOOKUP($C59,'CUSTOS REALIZADOS'!$A$11:$E$995,5)))</f>
        <v>0.1</v>
      </c>
      <c r="BI60" s="28">
        <f>IF(BI59="",VLOOKUP($C59,'CUSTOS REALIZADOS'!$A$11:$E$995,4),(VLOOKUP($C59,'CUSTOS REALIZADOS'!$A$11:$E$995,5)))</f>
        <v>0.1</v>
      </c>
      <c r="BJ60" s="28">
        <f>IF(BJ59="",VLOOKUP($C59,'CUSTOS REALIZADOS'!$A$11:$E$995,4),(VLOOKUP($C59,'CUSTOS REALIZADOS'!$A$11:$E$995,5)))</f>
        <v>0.1</v>
      </c>
      <c r="BK60" s="28">
        <f>IF(BK59="",VLOOKUP($C59,'CUSTOS REALIZADOS'!$A$11:$E$995,4),(VLOOKUP($C59,'CUSTOS REALIZADOS'!$A$11:$E$995,5)))</f>
        <v>0.1</v>
      </c>
      <c r="BL60" s="28">
        <f>IF(BL59="",VLOOKUP($C59,'CUSTOS REALIZADOS'!$A$11:$E$995,4),(VLOOKUP($C59,'CUSTOS REALIZADOS'!$A$11:$E$995,5)))</f>
        <v>0.1</v>
      </c>
      <c r="BM60" s="28">
        <f>IF(BM59="",VLOOKUP($C59,'CUSTOS REALIZADOS'!$A$11:$E$995,4),(VLOOKUP($C59,'CUSTOS REALIZADOS'!$A$11:$E$995,5)))</f>
        <v>0.1</v>
      </c>
      <c r="BN60" s="28">
        <f>IF(BN59="",VLOOKUP($C59,'CUSTOS REALIZADOS'!$A$11:$E$995,4),(VLOOKUP($C59,'CUSTOS REALIZADOS'!$A$11:$E$995,5)))</f>
        <v>0.1</v>
      </c>
    </row>
    <row r="61" spans="3:66" x14ac:dyDescent="0.2">
      <c r="C61" s="322"/>
      <c r="D61" s="23" t="s">
        <v>6</v>
      </c>
      <c r="E61" s="27">
        <f t="shared" si="254"/>
        <v>95000</v>
      </c>
      <c r="F61" s="23">
        <f>IF(AND($C59&gt;=F$6,OR($C59&lt;F$8,F$8="")),F$7*F$28,0)</f>
        <v>0</v>
      </c>
      <c r="G61" s="23">
        <f t="shared" ref="G61:BN61" si="269">IF(AND($C59&gt;=G$6,OR($C59&lt;G$8,G$8="")),G$7*G$28,0)</f>
        <v>45000</v>
      </c>
      <c r="H61" s="23">
        <f t="shared" si="269"/>
        <v>50000</v>
      </c>
      <c r="I61" s="23">
        <f t="shared" si="269"/>
        <v>0</v>
      </c>
      <c r="J61" s="23">
        <f t="shared" si="269"/>
        <v>0</v>
      </c>
      <c r="K61" s="23">
        <f t="shared" si="269"/>
        <v>0</v>
      </c>
      <c r="L61" s="23">
        <f t="shared" si="269"/>
        <v>0</v>
      </c>
      <c r="M61" s="23">
        <f t="shared" si="269"/>
        <v>0</v>
      </c>
      <c r="N61" s="23">
        <f t="shared" si="269"/>
        <v>0</v>
      </c>
      <c r="O61" s="23">
        <f t="shared" si="269"/>
        <v>0</v>
      </c>
      <c r="P61" s="23">
        <f t="shared" si="269"/>
        <v>0</v>
      </c>
      <c r="Q61" s="23">
        <f t="shared" si="269"/>
        <v>0</v>
      </c>
      <c r="R61" s="23">
        <f t="shared" si="269"/>
        <v>0</v>
      </c>
      <c r="S61" s="23">
        <f t="shared" si="269"/>
        <v>0</v>
      </c>
      <c r="T61" s="23">
        <f t="shared" si="269"/>
        <v>0</v>
      </c>
      <c r="U61" s="23">
        <f t="shared" si="269"/>
        <v>0</v>
      </c>
      <c r="V61" s="23">
        <f t="shared" si="269"/>
        <v>0</v>
      </c>
      <c r="W61" s="23">
        <f t="shared" si="269"/>
        <v>0</v>
      </c>
      <c r="X61" s="23">
        <f t="shared" si="269"/>
        <v>0</v>
      </c>
      <c r="Y61" s="23">
        <f t="shared" si="269"/>
        <v>0</v>
      </c>
      <c r="Z61" s="23">
        <f t="shared" si="269"/>
        <v>0</v>
      </c>
      <c r="AA61" s="23">
        <f t="shared" si="269"/>
        <v>0</v>
      </c>
      <c r="AB61" s="23">
        <f t="shared" si="269"/>
        <v>0</v>
      </c>
      <c r="AC61" s="23">
        <f t="shared" si="269"/>
        <v>0</v>
      </c>
      <c r="AD61" s="23">
        <f t="shared" si="269"/>
        <v>0</v>
      </c>
      <c r="AE61" s="23">
        <f t="shared" si="269"/>
        <v>0</v>
      </c>
      <c r="AF61" s="23">
        <f t="shared" si="269"/>
        <v>0</v>
      </c>
      <c r="AG61" s="23">
        <f t="shared" si="269"/>
        <v>0</v>
      </c>
      <c r="AH61" s="23">
        <f t="shared" si="269"/>
        <v>0</v>
      </c>
      <c r="AI61" s="23">
        <f t="shared" si="269"/>
        <v>0</v>
      </c>
      <c r="AJ61" s="23">
        <f t="shared" si="269"/>
        <v>0</v>
      </c>
      <c r="AK61" s="23">
        <f t="shared" si="269"/>
        <v>0</v>
      </c>
      <c r="AL61" s="23">
        <f t="shared" si="269"/>
        <v>0</v>
      </c>
      <c r="AM61" s="23">
        <f t="shared" si="269"/>
        <v>0</v>
      </c>
      <c r="AN61" s="23">
        <f t="shared" si="269"/>
        <v>0</v>
      </c>
      <c r="AO61" s="23">
        <f t="shared" si="269"/>
        <v>0</v>
      </c>
      <c r="AP61" s="23">
        <f t="shared" si="269"/>
        <v>0</v>
      </c>
      <c r="AQ61" s="23">
        <f t="shared" si="269"/>
        <v>0</v>
      </c>
      <c r="AR61" s="23">
        <f t="shared" si="269"/>
        <v>0</v>
      </c>
      <c r="AS61" s="23">
        <f t="shared" si="269"/>
        <v>0</v>
      </c>
      <c r="AT61" s="23">
        <f t="shared" si="269"/>
        <v>0</v>
      </c>
      <c r="AU61" s="23">
        <f t="shared" si="269"/>
        <v>0</v>
      </c>
      <c r="AV61" s="23">
        <f t="shared" si="269"/>
        <v>0</v>
      </c>
      <c r="AW61" s="23">
        <f t="shared" si="269"/>
        <v>0</v>
      </c>
      <c r="AX61" s="23">
        <f t="shared" si="269"/>
        <v>0</v>
      </c>
      <c r="AY61" s="23">
        <f t="shared" si="269"/>
        <v>0</v>
      </c>
      <c r="AZ61" s="23">
        <f t="shared" si="269"/>
        <v>0</v>
      </c>
      <c r="BA61" s="23">
        <f t="shared" si="269"/>
        <v>0</v>
      </c>
      <c r="BB61" s="23">
        <f t="shared" si="269"/>
        <v>0</v>
      </c>
      <c r="BC61" s="23">
        <f t="shared" si="269"/>
        <v>0</v>
      </c>
      <c r="BD61" s="23">
        <f t="shared" si="269"/>
        <v>0</v>
      </c>
      <c r="BE61" s="23">
        <f t="shared" si="269"/>
        <v>0</v>
      </c>
      <c r="BF61" s="23">
        <f t="shared" si="269"/>
        <v>0</v>
      </c>
      <c r="BG61" s="23">
        <f t="shared" si="269"/>
        <v>0</v>
      </c>
      <c r="BH61" s="23">
        <f t="shared" si="269"/>
        <v>0</v>
      </c>
      <c r="BI61" s="23">
        <f t="shared" si="269"/>
        <v>0</v>
      </c>
      <c r="BJ61" s="23">
        <f t="shared" si="269"/>
        <v>0</v>
      </c>
      <c r="BK61" s="23">
        <f t="shared" si="269"/>
        <v>0</v>
      </c>
      <c r="BL61" s="23">
        <f t="shared" si="269"/>
        <v>0</v>
      </c>
      <c r="BM61" s="23">
        <f t="shared" si="269"/>
        <v>0</v>
      </c>
      <c r="BN61" s="23">
        <f t="shared" si="269"/>
        <v>0</v>
      </c>
    </row>
    <row r="62" spans="3:66" x14ac:dyDescent="0.2">
      <c r="C62" s="322"/>
      <c r="D62" s="23" t="s">
        <v>9</v>
      </c>
      <c r="E62" s="27">
        <f t="shared" si="254"/>
        <v>0</v>
      </c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</row>
    <row r="63" spans="3:66" x14ac:dyDescent="0.2">
      <c r="C63" s="322"/>
      <c r="D63" s="23" t="s">
        <v>14</v>
      </c>
      <c r="E63" s="27">
        <f>SUM(F63:AY63)</f>
        <v>867634.6538764633</v>
      </c>
      <c r="F63" s="23">
        <f>IF(F58=0,F59-F62,F58-F62)</f>
        <v>-152.24331529679998</v>
      </c>
      <c r="G63" s="23">
        <f t="shared" ref="G63" si="270">IF(G58=0,G59-G62,G58-G62)</f>
        <v>411056.95130136004</v>
      </c>
      <c r="H63" s="23">
        <f t="shared" ref="H63" si="271">IF(H58=0,H59-H62,H58-H62)</f>
        <v>456729.94589040003</v>
      </c>
      <c r="I63" s="23">
        <f t="shared" ref="I63" si="272">IF(I58=0,I59-I62,I58-I62)</f>
        <v>0</v>
      </c>
      <c r="J63" s="23">
        <f t="shared" ref="J63" si="273">IF(J58=0,J59-J62,J58-J62)</f>
        <v>0</v>
      </c>
      <c r="K63" s="23">
        <f t="shared" ref="K63" si="274">IF(K58=0,K59-K62,K58-K62)</f>
        <v>0</v>
      </c>
      <c r="L63" s="23">
        <f t="shared" ref="L63" si="275">IF(L58=0,L59-L62,L58-L62)</f>
        <v>0</v>
      </c>
      <c r="M63" s="23">
        <f t="shared" ref="M63" si="276">IF(M58=0,M59-M62,M58-M62)</f>
        <v>0</v>
      </c>
      <c r="N63" s="23">
        <f t="shared" ref="N63" si="277">IF(N58=0,N59-N62,N58-N62)</f>
        <v>0</v>
      </c>
      <c r="O63" s="23">
        <f t="shared" ref="O63" si="278">IF(O58=0,O59-O62,O58-O62)</f>
        <v>0</v>
      </c>
      <c r="P63" s="23">
        <f t="shared" ref="P63" si="279">IF(P58=0,P59-P62,P58-P62)</f>
        <v>0</v>
      </c>
      <c r="Q63" s="23">
        <f t="shared" ref="Q63" si="280">IF(Q58=0,Q59-Q62,Q58-Q62)</f>
        <v>0</v>
      </c>
      <c r="R63" s="23">
        <f t="shared" ref="R63" si="281">IF(R58=0,R59-R62,R58-R62)</f>
        <v>0</v>
      </c>
      <c r="S63" s="23">
        <f t="shared" ref="S63" si="282">IF(S58=0,S59-S62,S58-S62)</f>
        <v>0</v>
      </c>
      <c r="T63" s="23">
        <f t="shared" ref="T63" si="283">IF(T58=0,T59-T62,T58-T62)</f>
        <v>0</v>
      </c>
      <c r="U63" s="23">
        <f t="shared" ref="U63" si="284">IF(U58=0,U59-U62,U58-U62)</f>
        <v>0</v>
      </c>
      <c r="V63" s="23">
        <f t="shared" ref="V63" si="285">IF(V58=0,V59-V62,V58-V62)</f>
        <v>0</v>
      </c>
      <c r="W63" s="23">
        <f t="shared" ref="W63" si="286">IF(W58=0,W59-W62,W58-W62)</f>
        <v>0</v>
      </c>
      <c r="X63" s="23">
        <f t="shared" ref="X63" si="287">IF(X58=0,X59-X62,X58-X62)</f>
        <v>0</v>
      </c>
      <c r="Y63" s="23">
        <f t="shared" ref="Y63" si="288">IF(Y58=0,Y59-Y62,Y58-Y62)</f>
        <v>0</v>
      </c>
      <c r="Z63" s="23">
        <f t="shared" ref="Z63" si="289">IF(Z58=0,Z59-Z62,Z58-Z62)</f>
        <v>0</v>
      </c>
      <c r="AA63" s="23">
        <f t="shared" ref="AA63" si="290">IF(AA58=0,AA59-AA62,AA58-AA62)</f>
        <v>0</v>
      </c>
      <c r="AB63" s="23">
        <f t="shared" ref="AB63" si="291">IF(AB58=0,AB59-AB62,AB58-AB62)</f>
        <v>0</v>
      </c>
      <c r="AC63" s="23">
        <f t="shared" ref="AC63" si="292">IF(AC58=0,AC59-AC62,AC58-AC62)</f>
        <v>0</v>
      </c>
      <c r="AD63" s="23">
        <f t="shared" ref="AD63" si="293">IF(AD58=0,AD59-AD62,AD58-AD62)</f>
        <v>0</v>
      </c>
      <c r="AE63" s="23">
        <f t="shared" ref="AE63" si="294">IF(AE58=0,AE59-AE62,AE58-AE62)</f>
        <v>0</v>
      </c>
      <c r="AF63" s="23">
        <f t="shared" ref="AF63" si="295">IF(AF58=0,AF59-AF62,AF58-AF62)</f>
        <v>0</v>
      </c>
      <c r="AG63" s="23">
        <f t="shared" ref="AG63" si="296">IF(AG58=0,AG59-AG62,AG58-AG62)</f>
        <v>0</v>
      </c>
      <c r="AH63" s="23">
        <f t="shared" ref="AH63" si="297">IF(AH58=0,AH59-AH62,AH58-AH62)</f>
        <v>0</v>
      </c>
      <c r="AI63" s="23">
        <f t="shared" ref="AI63" si="298">IF(AI58=0,AI59-AI62,AI58-AI62)</f>
        <v>0</v>
      </c>
      <c r="AJ63" s="23">
        <f t="shared" ref="AJ63" si="299">IF(AJ58=0,AJ59-AJ62,AJ58-AJ62)</f>
        <v>0</v>
      </c>
      <c r="AK63" s="23">
        <f t="shared" ref="AK63" si="300">IF(AK58=0,AK59-AK62,AK58-AK62)</f>
        <v>0</v>
      </c>
      <c r="AL63" s="23">
        <f t="shared" ref="AL63" si="301">IF(AL58=0,AL59-AL62,AL58-AL62)</f>
        <v>0</v>
      </c>
      <c r="AM63" s="23">
        <f t="shared" ref="AM63" si="302">IF(AM58=0,AM59-AM62,AM58-AM62)</f>
        <v>0</v>
      </c>
      <c r="AN63" s="23">
        <f t="shared" ref="AN63" si="303">IF(AN58=0,AN59-AN62,AN58-AN62)</f>
        <v>0</v>
      </c>
      <c r="AO63" s="23">
        <f t="shared" ref="AO63" si="304">IF(AO58=0,AO59-AO62,AO58-AO62)</f>
        <v>0</v>
      </c>
      <c r="AP63" s="23">
        <f t="shared" ref="AP63" si="305">IF(AP58=0,AP59-AP62,AP58-AP62)</f>
        <v>0</v>
      </c>
      <c r="AQ63" s="23">
        <f t="shared" ref="AQ63" si="306">IF(AQ58=0,AQ59-AQ62,AQ58-AQ62)</f>
        <v>0</v>
      </c>
      <c r="AR63" s="23">
        <f t="shared" ref="AR63" si="307">IF(AR58=0,AR59-AR62,AR58-AR62)</f>
        <v>0</v>
      </c>
      <c r="AS63" s="23">
        <f t="shared" ref="AS63" si="308">IF(AS58=0,AS59-AS62,AS58-AS62)</f>
        <v>0</v>
      </c>
      <c r="AT63" s="23">
        <f t="shared" ref="AT63" si="309">IF(AT58=0,AT59-AT62,AT58-AT62)</f>
        <v>0</v>
      </c>
      <c r="AU63" s="23">
        <f t="shared" ref="AU63" si="310">IF(AU58=0,AU59-AU62,AU58-AU62)</f>
        <v>0</v>
      </c>
      <c r="AV63" s="23">
        <f t="shared" ref="AV63" si="311">IF(AV58=0,AV59-AV62,AV58-AV62)</f>
        <v>0</v>
      </c>
      <c r="AW63" s="23">
        <f t="shared" ref="AW63" si="312">IF(AW58=0,AW59-AW62,AW58-AW62)</f>
        <v>0</v>
      </c>
      <c r="AX63" s="23">
        <f t="shared" ref="AX63" si="313">IF(AX58=0,AX59-AX62,AX58-AX62)</f>
        <v>0</v>
      </c>
      <c r="AY63" s="23">
        <f t="shared" ref="AY63" si="314">IF(AY58=0,AY59-AY62,AY58-AY62)</f>
        <v>0</v>
      </c>
      <c r="AZ63" s="23">
        <f t="shared" ref="AZ63" si="315">IF(AZ58=0,AZ59-AZ62,AZ58-AZ62)</f>
        <v>0</v>
      </c>
      <c r="BA63" s="23">
        <f t="shared" ref="BA63" si="316">IF(BA58=0,BA59-BA62,BA58-BA62)</f>
        <v>0</v>
      </c>
      <c r="BB63" s="23">
        <f t="shared" ref="BB63" si="317">IF(BB58=0,BB59-BB62,BB58-BB62)</f>
        <v>0</v>
      </c>
      <c r="BC63" s="23">
        <f t="shared" ref="BC63" si="318">IF(BC58=0,BC59-BC62,BC58-BC62)</f>
        <v>0</v>
      </c>
      <c r="BD63" s="23">
        <f t="shared" ref="BD63" si="319">IF(BD58=0,BD59-BD62,BD58-BD62)</f>
        <v>0</v>
      </c>
      <c r="BE63" s="23">
        <f t="shared" ref="BE63" si="320">IF(BE58=0,BE59-BE62,BE58-BE62)</f>
        <v>0</v>
      </c>
      <c r="BF63" s="23">
        <f t="shared" ref="BF63" si="321">IF(BF58=0,BF59-BF62,BF58-BF62)</f>
        <v>0</v>
      </c>
      <c r="BG63" s="23">
        <f t="shared" ref="BG63" si="322">IF(BG58=0,BG59-BG62,BG58-BG62)</f>
        <v>0</v>
      </c>
      <c r="BH63" s="23">
        <f t="shared" ref="BH63" si="323">IF(BH58=0,BH59-BH62,BH58-BH62)</f>
        <v>0</v>
      </c>
      <c r="BI63" s="23">
        <f t="shared" ref="BI63" si="324">IF(BI58=0,BI59-BI62,BI58-BI62)</f>
        <v>0</v>
      </c>
      <c r="BJ63" s="23">
        <f t="shared" ref="BJ63" si="325">IF(BJ58=0,BJ59-BJ62,BJ58-BJ62)</f>
        <v>0</v>
      </c>
      <c r="BK63" s="23">
        <f t="shared" ref="BK63" si="326">IF(BK58=0,BK59-BK62,BK58-BK62)</f>
        <v>0</v>
      </c>
      <c r="BL63" s="23">
        <f t="shared" ref="BL63" si="327">IF(BL58=0,BL59-BL62,BL58-BL62)</f>
        <v>0</v>
      </c>
      <c r="BM63" s="23">
        <f t="shared" ref="BM63" si="328">IF(BM58=0,BM59-BM62,BM58-BM62)</f>
        <v>0</v>
      </c>
      <c r="BN63" s="23">
        <f t="shared" ref="BN63" si="329">IF(BN58=0,BN59-BN62,BN58-BN62)</f>
        <v>0</v>
      </c>
    </row>
    <row r="64" spans="3:66" x14ac:dyDescent="0.2">
      <c r="C64" s="322"/>
      <c r="D64" s="23" t="s">
        <v>10</v>
      </c>
      <c r="E64" s="72">
        <v>4.1999999999999997E-3</v>
      </c>
      <c r="F64" s="54">
        <v>4.1999999999999997E-3</v>
      </c>
      <c r="G64" s="54">
        <v>4.1999999999999997E-3</v>
      </c>
      <c r="H64" s="54">
        <v>4.1999999999999997E-3</v>
      </c>
      <c r="I64" s="54">
        <v>4.1999999999999997E-3</v>
      </c>
      <c r="J64" s="54">
        <v>4.1999999999999997E-3</v>
      </c>
      <c r="K64" s="54">
        <v>4.1999999999999997E-3</v>
      </c>
      <c r="L64" s="54">
        <v>4.1999999999999997E-3</v>
      </c>
      <c r="M64" s="54">
        <v>4.1999999999999997E-3</v>
      </c>
      <c r="N64" s="54">
        <v>4.1999999999999997E-3</v>
      </c>
      <c r="O64" s="54">
        <v>4.1999999999999997E-3</v>
      </c>
      <c r="P64" s="54">
        <v>4.1999999999999997E-3</v>
      </c>
      <c r="Q64" s="54">
        <v>4.1999999999999997E-3</v>
      </c>
      <c r="R64" s="54">
        <v>4.1999999999999997E-3</v>
      </c>
      <c r="S64" s="54">
        <v>4.1999999999999997E-3</v>
      </c>
      <c r="T64" s="54">
        <v>4.1999999999999997E-3</v>
      </c>
      <c r="U64" s="54">
        <v>4.1999999999999997E-3</v>
      </c>
      <c r="V64" s="54">
        <v>4.1999999999999997E-3</v>
      </c>
      <c r="W64" s="54">
        <v>4.1999999999999997E-3</v>
      </c>
      <c r="X64" s="54">
        <v>4.1999999999999997E-3</v>
      </c>
      <c r="Y64" s="54">
        <v>4.1999999999999997E-3</v>
      </c>
      <c r="Z64" s="54">
        <v>4.1999999999999997E-3</v>
      </c>
      <c r="AA64" s="54">
        <v>4.1999999999999997E-3</v>
      </c>
      <c r="AB64" s="54">
        <v>4.1999999999999997E-3</v>
      </c>
      <c r="AC64" s="54">
        <v>4.1999999999999997E-3</v>
      </c>
      <c r="AD64" s="54">
        <v>4.1999999999999997E-3</v>
      </c>
      <c r="AE64" s="54">
        <v>4.1999999999999997E-3</v>
      </c>
      <c r="AF64" s="54">
        <v>4.1999999999999997E-3</v>
      </c>
      <c r="AG64" s="54">
        <v>4.1999999999999997E-3</v>
      </c>
      <c r="AH64" s="54">
        <v>4.1999999999999997E-3</v>
      </c>
      <c r="AI64" s="54">
        <v>4.1999999999999997E-3</v>
      </c>
      <c r="AJ64" s="54">
        <v>4.1999999999999997E-3</v>
      </c>
      <c r="AK64" s="54">
        <v>4.1999999999999997E-3</v>
      </c>
      <c r="AL64" s="54">
        <v>4.1999999999999997E-3</v>
      </c>
      <c r="AM64" s="54">
        <v>4.1999999999999997E-3</v>
      </c>
      <c r="AN64" s="54">
        <v>4.1999999999999997E-3</v>
      </c>
      <c r="AO64" s="54">
        <v>4.1999999999999997E-3</v>
      </c>
      <c r="AP64" s="54">
        <v>4.1999999999999997E-3</v>
      </c>
      <c r="AQ64" s="54">
        <v>4.1999999999999997E-3</v>
      </c>
      <c r="AR64" s="54">
        <v>4.1999999999999997E-3</v>
      </c>
      <c r="AS64" s="54">
        <v>4.1999999999999997E-3</v>
      </c>
      <c r="AT64" s="54">
        <v>4.1999999999999997E-3</v>
      </c>
      <c r="AU64" s="54">
        <v>4.1999999999999997E-3</v>
      </c>
      <c r="AV64" s="54">
        <v>4.1999999999999997E-3</v>
      </c>
      <c r="AW64" s="54">
        <v>4.1999999999999997E-3</v>
      </c>
      <c r="AX64" s="54">
        <v>4.1999999999999997E-3</v>
      </c>
      <c r="AY64" s="54">
        <v>4.1999999999999997E-3</v>
      </c>
      <c r="AZ64" s="54">
        <v>4.1999999999999997E-3</v>
      </c>
      <c r="BA64" s="54">
        <v>4.1999999999999997E-3</v>
      </c>
      <c r="BB64" s="54">
        <v>4.1999999999999997E-3</v>
      </c>
      <c r="BC64" s="54">
        <v>4.1999999999999997E-3</v>
      </c>
      <c r="BD64" s="54">
        <v>4.1999999999999997E-3</v>
      </c>
      <c r="BE64" s="54">
        <v>4.1999999999999997E-3</v>
      </c>
      <c r="BF64" s="54">
        <v>4.1999999999999997E-3</v>
      </c>
      <c r="BG64" s="54">
        <v>4.1999999999999997E-3</v>
      </c>
      <c r="BH64" s="54">
        <v>4.1999999999999997E-3</v>
      </c>
      <c r="BI64" s="54">
        <v>4.1999999999999997E-3</v>
      </c>
      <c r="BJ64" s="54">
        <v>4.1999999999999997E-3</v>
      </c>
      <c r="BK64" s="54">
        <v>4.1999999999999997E-3</v>
      </c>
      <c r="BL64" s="54">
        <v>4.1999999999999997E-3</v>
      </c>
      <c r="BM64" s="54">
        <v>4.1999999999999997E-3</v>
      </c>
      <c r="BN64" s="54">
        <v>4.1999999999999997E-3</v>
      </c>
    </row>
    <row r="65" spans="3:66" x14ac:dyDescent="0.2">
      <c r="C65" s="322"/>
      <c r="D65" s="23" t="s">
        <v>12</v>
      </c>
      <c r="E65" s="27">
        <f t="shared" ref="E65:E70" si="330">SUM(F65:BN65)</f>
        <v>3644.0655462811455</v>
      </c>
      <c r="F65" s="29">
        <f>+F63*F64</f>
        <v>-0.63942192424655986</v>
      </c>
      <c r="G65" s="29">
        <f>+G63*G64</f>
        <v>1726.4391954657121</v>
      </c>
      <c r="H65" s="29">
        <f>+H63*H64</f>
        <v>1918.26577273968</v>
      </c>
      <c r="I65" s="29">
        <f t="shared" ref="I65:O65" si="331">+I63*I64</f>
        <v>0</v>
      </c>
      <c r="J65" s="29">
        <f t="shared" si="331"/>
        <v>0</v>
      </c>
      <c r="K65" s="29">
        <f t="shared" si="331"/>
        <v>0</v>
      </c>
      <c r="L65" s="29">
        <f t="shared" si="331"/>
        <v>0</v>
      </c>
      <c r="M65" s="29">
        <f t="shared" si="331"/>
        <v>0</v>
      </c>
      <c r="N65" s="29">
        <f t="shared" si="331"/>
        <v>0</v>
      </c>
      <c r="O65" s="29">
        <f t="shared" si="331"/>
        <v>0</v>
      </c>
      <c r="P65" s="29">
        <f>+P63*P64</f>
        <v>0</v>
      </c>
      <c r="Q65" s="29">
        <f t="shared" ref="Q65" si="332">+Q63*Q64</f>
        <v>0</v>
      </c>
      <c r="R65" s="29">
        <f>+R63*R64</f>
        <v>0</v>
      </c>
      <c r="S65" s="29">
        <f>+S63*S64</f>
        <v>0</v>
      </c>
      <c r="T65" s="29">
        <f t="shared" ref="T65" si="333">+T63*T64</f>
        <v>0</v>
      </c>
      <c r="U65" s="29">
        <f>+U63*U64</f>
        <v>0</v>
      </c>
      <c r="V65" s="29">
        <f t="shared" ref="V65:X65" si="334">+V63*V64</f>
        <v>0</v>
      </c>
      <c r="W65" s="29">
        <f t="shared" si="334"/>
        <v>0</v>
      </c>
      <c r="X65" s="29">
        <f t="shared" si="334"/>
        <v>0</v>
      </c>
      <c r="Y65" s="29">
        <v>0</v>
      </c>
      <c r="Z65" s="29">
        <f>+Z63*Z64</f>
        <v>0</v>
      </c>
      <c r="AA65" s="29">
        <f>+AA63*AA64</f>
        <v>0</v>
      </c>
      <c r="AB65" s="29">
        <f t="shared" ref="AB65:AD65" si="335">+AB63*AB64</f>
        <v>0</v>
      </c>
      <c r="AC65" s="29">
        <f t="shared" si="335"/>
        <v>0</v>
      </c>
      <c r="AD65" s="29">
        <f t="shared" si="335"/>
        <v>0</v>
      </c>
      <c r="AE65" s="29">
        <v>0</v>
      </c>
      <c r="AF65" s="29">
        <f>+AF63*AF64</f>
        <v>0</v>
      </c>
      <c r="AG65" s="29">
        <f t="shared" ref="AG65:AP65" si="336">+AG63*AG64</f>
        <v>0</v>
      </c>
      <c r="AH65" s="29">
        <f t="shared" si="336"/>
        <v>0</v>
      </c>
      <c r="AI65" s="29">
        <f t="shared" si="336"/>
        <v>0</v>
      </c>
      <c r="AJ65" s="29">
        <f t="shared" si="336"/>
        <v>0</v>
      </c>
      <c r="AK65" s="29">
        <f t="shared" si="336"/>
        <v>0</v>
      </c>
      <c r="AL65" s="29">
        <f t="shared" si="336"/>
        <v>0</v>
      </c>
      <c r="AM65" s="29">
        <f t="shared" si="336"/>
        <v>0</v>
      </c>
      <c r="AN65" s="29">
        <f t="shared" si="336"/>
        <v>0</v>
      </c>
      <c r="AO65" s="29">
        <f t="shared" si="336"/>
        <v>0</v>
      </c>
      <c r="AP65" s="29">
        <f t="shared" si="336"/>
        <v>0</v>
      </c>
      <c r="AQ65" s="29">
        <f>+AQ63*AQ64</f>
        <v>0</v>
      </c>
      <c r="AR65" s="29">
        <f>+AR63*AR64</f>
        <v>0</v>
      </c>
      <c r="AS65" s="29">
        <f t="shared" ref="AS65:AU65" si="337">+AS63*AS64</f>
        <v>0</v>
      </c>
      <c r="AT65" s="29">
        <f t="shared" si="337"/>
        <v>0</v>
      </c>
      <c r="AU65" s="29">
        <f t="shared" si="337"/>
        <v>0</v>
      </c>
      <c r="AV65" s="29">
        <v>0</v>
      </c>
      <c r="AW65" s="29">
        <f t="shared" ref="AW65:AX65" si="338">+AW63*AW64</f>
        <v>0</v>
      </c>
      <c r="AX65" s="29">
        <f t="shared" si="338"/>
        <v>0</v>
      </c>
      <c r="AY65" s="29">
        <f>+AY63*AY64</f>
        <v>0</v>
      </c>
      <c r="AZ65" s="29">
        <v>0</v>
      </c>
      <c r="BA65" s="29">
        <v>0</v>
      </c>
      <c r="BB65" s="29">
        <f t="shared" ref="BB65:BN65" si="339">+BB63*BB64</f>
        <v>0</v>
      </c>
      <c r="BC65" s="29">
        <f t="shared" si="339"/>
        <v>0</v>
      </c>
      <c r="BD65" s="29">
        <f t="shared" si="339"/>
        <v>0</v>
      </c>
      <c r="BE65" s="29">
        <v>0</v>
      </c>
      <c r="BF65" s="29">
        <f t="shared" si="339"/>
        <v>0</v>
      </c>
      <c r="BG65" s="29">
        <f t="shared" si="339"/>
        <v>0</v>
      </c>
      <c r="BH65" s="29">
        <f t="shared" si="339"/>
        <v>0</v>
      </c>
      <c r="BI65" s="29">
        <f t="shared" si="339"/>
        <v>0</v>
      </c>
      <c r="BJ65" s="29">
        <f t="shared" si="339"/>
        <v>0</v>
      </c>
      <c r="BK65" s="29">
        <f t="shared" si="339"/>
        <v>0</v>
      </c>
      <c r="BL65" s="29">
        <f t="shared" si="339"/>
        <v>0</v>
      </c>
      <c r="BM65" s="29">
        <v>0</v>
      </c>
      <c r="BN65" s="29">
        <f t="shared" si="339"/>
        <v>0</v>
      </c>
    </row>
    <row r="66" spans="3:66" ht="13.5" thickBot="1" x14ac:dyDescent="0.25">
      <c r="C66" s="323"/>
      <c r="D66" s="25" t="s">
        <v>11</v>
      </c>
      <c r="E66" s="30">
        <f t="shared" si="330"/>
        <v>871278.71942274435</v>
      </c>
      <c r="F66" s="46">
        <f>+F63+F65</f>
        <v>-152.88273722104654</v>
      </c>
      <c r="G66" s="46">
        <f>+G63+G65</f>
        <v>412783.39049682574</v>
      </c>
      <c r="H66" s="46">
        <f>+H63+H65</f>
        <v>458648.21166313969</v>
      </c>
      <c r="I66" s="46">
        <f t="shared" ref="I66:AU66" si="340">+I63+I65</f>
        <v>0</v>
      </c>
      <c r="J66" s="46">
        <f t="shared" si="340"/>
        <v>0</v>
      </c>
      <c r="K66" s="46">
        <f t="shared" si="340"/>
        <v>0</v>
      </c>
      <c r="L66" s="46">
        <f t="shared" si="340"/>
        <v>0</v>
      </c>
      <c r="M66" s="46">
        <f t="shared" si="340"/>
        <v>0</v>
      </c>
      <c r="N66" s="46">
        <f t="shared" si="340"/>
        <v>0</v>
      </c>
      <c r="O66" s="46">
        <f t="shared" si="340"/>
        <v>0</v>
      </c>
      <c r="P66" s="46">
        <f t="shared" si="340"/>
        <v>0</v>
      </c>
      <c r="Q66" s="46">
        <f t="shared" si="340"/>
        <v>0</v>
      </c>
      <c r="R66" s="46">
        <f t="shared" si="340"/>
        <v>0</v>
      </c>
      <c r="S66" s="46">
        <f t="shared" si="340"/>
        <v>0</v>
      </c>
      <c r="T66" s="46">
        <f t="shared" si="340"/>
        <v>0</v>
      </c>
      <c r="U66" s="46">
        <f t="shared" si="340"/>
        <v>0</v>
      </c>
      <c r="V66" s="46">
        <f t="shared" si="340"/>
        <v>0</v>
      </c>
      <c r="W66" s="46">
        <f t="shared" si="340"/>
        <v>0</v>
      </c>
      <c r="X66" s="46">
        <f t="shared" si="340"/>
        <v>0</v>
      </c>
      <c r="Y66" s="46">
        <f t="shared" si="340"/>
        <v>0</v>
      </c>
      <c r="Z66" s="46">
        <f t="shared" si="340"/>
        <v>0</v>
      </c>
      <c r="AA66" s="46">
        <f t="shared" si="340"/>
        <v>0</v>
      </c>
      <c r="AB66" s="46">
        <f t="shared" si="340"/>
        <v>0</v>
      </c>
      <c r="AC66" s="46">
        <f t="shared" si="340"/>
        <v>0</v>
      </c>
      <c r="AD66" s="46">
        <f t="shared" si="340"/>
        <v>0</v>
      </c>
      <c r="AE66" s="46">
        <f t="shared" si="340"/>
        <v>0</v>
      </c>
      <c r="AF66" s="46">
        <f t="shared" si="340"/>
        <v>0</v>
      </c>
      <c r="AG66" s="46">
        <f t="shared" si="340"/>
        <v>0</v>
      </c>
      <c r="AH66" s="46">
        <f t="shared" si="340"/>
        <v>0</v>
      </c>
      <c r="AI66" s="46">
        <f t="shared" si="340"/>
        <v>0</v>
      </c>
      <c r="AJ66" s="46">
        <f t="shared" si="340"/>
        <v>0</v>
      </c>
      <c r="AK66" s="46">
        <f t="shared" si="340"/>
        <v>0</v>
      </c>
      <c r="AL66" s="46">
        <f t="shared" si="340"/>
        <v>0</v>
      </c>
      <c r="AM66" s="46">
        <f t="shared" si="340"/>
        <v>0</v>
      </c>
      <c r="AN66" s="46">
        <f t="shared" si="340"/>
        <v>0</v>
      </c>
      <c r="AO66" s="46">
        <f t="shared" si="340"/>
        <v>0</v>
      </c>
      <c r="AP66" s="46">
        <f t="shared" si="340"/>
        <v>0</v>
      </c>
      <c r="AQ66" s="46">
        <f t="shared" si="340"/>
        <v>0</v>
      </c>
      <c r="AR66" s="46">
        <f t="shared" si="340"/>
        <v>0</v>
      </c>
      <c r="AS66" s="46">
        <f t="shared" si="340"/>
        <v>0</v>
      </c>
      <c r="AT66" s="46">
        <f t="shared" si="340"/>
        <v>0</v>
      </c>
      <c r="AU66" s="46">
        <f t="shared" si="340"/>
        <v>0</v>
      </c>
      <c r="AV66" s="46">
        <f>+AV63+AV65</f>
        <v>0</v>
      </c>
      <c r="AW66" s="46">
        <f t="shared" ref="AW66:BN66" si="341">+AW63+AW65</f>
        <v>0</v>
      </c>
      <c r="AX66" s="46">
        <f t="shared" si="341"/>
        <v>0</v>
      </c>
      <c r="AY66" s="46">
        <f t="shared" si="341"/>
        <v>0</v>
      </c>
      <c r="AZ66" s="46">
        <f t="shared" si="341"/>
        <v>0</v>
      </c>
      <c r="BA66" s="46">
        <f t="shared" si="341"/>
        <v>0</v>
      </c>
      <c r="BB66" s="46">
        <f t="shared" si="341"/>
        <v>0</v>
      </c>
      <c r="BC66" s="46">
        <f t="shared" si="341"/>
        <v>0</v>
      </c>
      <c r="BD66" s="46">
        <f t="shared" si="341"/>
        <v>0</v>
      </c>
      <c r="BE66" s="46">
        <f t="shared" si="341"/>
        <v>0</v>
      </c>
      <c r="BF66" s="46">
        <f t="shared" si="341"/>
        <v>0</v>
      </c>
      <c r="BG66" s="46">
        <f t="shared" si="341"/>
        <v>0</v>
      </c>
      <c r="BH66" s="46">
        <f t="shared" si="341"/>
        <v>0</v>
      </c>
      <c r="BI66" s="46">
        <f t="shared" si="341"/>
        <v>0</v>
      </c>
      <c r="BJ66" s="46">
        <f t="shared" si="341"/>
        <v>0</v>
      </c>
      <c r="BK66" s="46">
        <f t="shared" si="341"/>
        <v>0</v>
      </c>
      <c r="BL66" s="46">
        <f t="shared" si="341"/>
        <v>0</v>
      </c>
      <c r="BM66" s="46">
        <f t="shared" si="341"/>
        <v>0</v>
      </c>
      <c r="BN66" s="46">
        <f t="shared" si="341"/>
        <v>0</v>
      </c>
    </row>
    <row r="67" spans="3:66" x14ac:dyDescent="0.2">
      <c r="C67" s="321">
        <v>43770</v>
      </c>
      <c r="D67" s="20" t="s">
        <v>5</v>
      </c>
      <c r="E67" s="50">
        <f t="shared" si="330"/>
        <v>0</v>
      </c>
      <c r="F67" s="279">
        <f>IF(F$6=$C67,F$7,0)</f>
        <v>0</v>
      </c>
      <c r="G67" s="279">
        <f t="shared" ref="G67:BN67" si="342">IF(G$6=$C67,G$7,0)</f>
        <v>0</v>
      </c>
      <c r="H67" s="279">
        <f t="shared" si="342"/>
        <v>0</v>
      </c>
      <c r="I67" s="279">
        <f t="shared" si="342"/>
        <v>0</v>
      </c>
      <c r="J67" s="279">
        <f t="shared" si="342"/>
        <v>0</v>
      </c>
      <c r="K67" s="279">
        <f t="shared" si="342"/>
        <v>0</v>
      </c>
      <c r="L67" s="279">
        <f t="shared" si="342"/>
        <v>0</v>
      </c>
      <c r="M67" s="279">
        <f t="shared" si="342"/>
        <v>0</v>
      </c>
      <c r="N67" s="279">
        <f t="shared" si="342"/>
        <v>0</v>
      </c>
      <c r="O67" s="279">
        <f t="shared" si="342"/>
        <v>0</v>
      </c>
      <c r="P67" s="279">
        <f t="shared" si="342"/>
        <v>0</v>
      </c>
      <c r="Q67" s="279">
        <f t="shared" si="342"/>
        <v>0</v>
      </c>
      <c r="R67" s="279">
        <f t="shared" si="342"/>
        <v>0</v>
      </c>
      <c r="S67" s="279">
        <f t="shared" si="342"/>
        <v>0</v>
      </c>
      <c r="T67" s="279">
        <f t="shared" si="342"/>
        <v>0</v>
      </c>
      <c r="U67" s="279">
        <f t="shared" si="342"/>
        <v>0</v>
      </c>
      <c r="V67" s="279">
        <f t="shared" si="342"/>
        <v>0</v>
      </c>
      <c r="W67" s="279">
        <f t="shared" si="342"/>
        <v>0</v>
      </c>
      <c r="X67" s="279">
        <f t="shared" si="342"/>
        <v>0</v>
      </c>
      <c r="Y67" s="279">
        <f t="shared" si="342"/>
        <v>0</v>
      </c>
      <c r="Z67" s="279">
        <f t="shared" si="342"/>
        <v>0</v>
      </c>
      <c r="AA67" s="279">
        <f t="shared" si="342"/>
        <v>0</v>
      </c>
      <c r="AB67" s="279">
        <f t="shared" si="342"/>
        <v>0</v>
      </c>
      <c r="AC67" s="279">
        <f t="shared" si="342"/>
        <v>0</v>
      </c>
      <c r="AD67" s="279">
        <f t="shared" si="342"/>
        <v>0</v>
      </c>
      <c r="AE67" s="279">
        <f t="shared" si="342"/>
        <v>0</v>
      </c>
      <c r="AF67" s="279">
        <f t="shared" si="342"/>
        <v>0</v>
      </c>
      <c r="AG67" s="279">
        <f t="shared" si="342"/>
        <v>0</v>
      </c>
      <c r="AH67" s="279">
        <f t="shared" si="342"/>
        <v>0</v>
      </c>
      <c r="AI67" s="279">
        <f t="shared" si="342"/>
        <v>0</v>
      </c>
      <c r="AJ67" s="279">
        <f t="shared" si="342"/>
        <v>0</v>
      </c>
      <c r="AK67" s="279">
        <f t="shared" si="342"/>
        <v>0</v>
      </c>
      <c r="AL67" s="279">
        <f t="shared" si="342"/>
        <v>0</v>
      </c>
      <c r="AM67" s="279">
        <f t="shared" si="342"/>
        <v>0</v>
      </c>
      <c r="AN67" s="279">
        <f t="shared" si="342"/>
        <v>0</v>
      </c>
      <c r="AO67" s="279">
        <f t="shared" si="342"/>
        <v>0</v>
      </c>
      <c r="AP67" s="279">
        <f t="shared" si="342"/>
        <v>0</v>
      </c>
      <c r="AQ67" s="279">
        <f t="shared" si="342"/>
        <v>0</v>
      </c>
      <c r="AR67" s="279">
        <f t="shared" si="342"/>
        <v>0</v>
      </c>
      <c r="AS67" s="279">
        <f t="shared" si="342"/>
        <v>0</v>
      </c>
      <c r="AT67" s="279">
        <f t="shared" si="342"/>
        <v>0</v>
      </c>
      <c r="AU67" s="279">
        <f t="shared" si="342"/>
        <v>0</v>
      </c>
      <c r="AV67" s="279">
        <f t="shared" si="342"/>
        <v>0</v>
      </c>
      <c r="AW67" s="279">
        <f t="shared" si="342"/>
        <v>0</v>
      </c>
      <c r="AX67" s="279">
        <f t="shared" si="342"/>
        <v>0</v>
      </c>
      <c r="AY67" s="279">
        <f t="shared" si="342"/>
        <v>0</v>
      </c>
      <c r="AZ67" s="279">
        <f t="shared" si="342"/>
        <v>0</v>
      </c>
      <c r="BA67" s="279">
        <f t="shared" si="342"/>
        <v>0</v>
      </c>
      <c r="BB67" s="279">
        <f t="shared" si="342"/>
        <v>0</v>
      </c>
      <c r="BC67" s="279">
        <f t="shared" si="342"/>
        <v>0</v>
      </c>
      <c r="BD67" s="279">
        <f t="shared" si="342"/>
        <v>0</v>
      </c>
      <c r="BE67" s="279">
        <f t="shared" si="342"/>
        <v>0</v>
      </c>
      <c r="BF67" s="279">
        <f t="shared" si="342"/>
        <v>0</v>
      </c>
      <c r="BG67" s="279">
        <f t="shared" si="342"/>
        <v>0</v>
      </c>
      <c r="BH67" s="279">
        <f t="shared" si="342"/>
        <v>0</v>
      </c>
      <c r="BI67" s="279">
        <f t="shared" si="342"/>
        <v>0</v>
      </c>
      <c r="BJ67" s="279">
        <f t="shared" si="342"/>
        <v>0</v>
      </c>
      <c r="BK67" s="279">
        <f t="shared" si="342"/>
        <v>0</v>
      </c>
      <c r="BL67" s="279">
        <f t="shared" si="342"/>
        <v>0</v>
      </c>
      <c r="BM67" s="279">
        <f t="shared" si="342"/>
        <v>0</v>
      </c>
      <c r="BN67" s="279">
        <f t="shared" si="342"/>
        <v>0</v>
      </c>
    </row>
    <row r="68" spans="3:66" x14ac:dyDescent="0.2">
      <c r="C68" s="322"/>
      <c r="D68" s="23" t="s">
        <v>7</v>
      </c>
      <c r="E68" s="91">
        <f t="shared" si="330"/>
        <v>6.0999999999999943</v>
      </c>
      <c r="F68" s="28">
        <f>IF(F67="",VLOOKUP($C67,'CUSTOS REALIZADOS'!$A$11:$E$995,4),(VLOOKUP($C67,'CUSTOS REALIZADOS'!$A$11:$E$995,5)))</f>
        <v>0.1</v>
      </c>
      <c r="G68" s="28">
        <f>IF(G67="",VLOOKUP($C67,'CUSTOS REALIZADOS'!$A$11:$E$995,4),(VLOOKUP($C67,'CUSTOS REALIZADOS'!$A$11:$E$995,5)))</f>
        <v>0.1</v>
      </c>
      <c r="H68" s="28">
        <f>IF(H67="",VLOOKUP($C67,'CUSTOS REALIZADOS'!$A$11:$E$995,4),(VLOOKUP($C67,'CUSTOS REALIZADOS'!$A$11:$E$995,5)))</f>
        <v>0.1</v>
      </c>
      <c r="I68" s="28">
        <f>IF(I67="",VLOOKUP($C67,'CUSTOS REALIZADOS'!$A$11:$E$995,4),(VLOOKUP($C67,'CUSTOS REALIZADOS'!$A$11:$E$995,5)))</f>
        <v>0.1</v>
      </c>
      <c r="J68" s="28">
        <f>IF(J67="",VLOOKUP($C67,'CUSTOS REALIZADOS'!$A$11:$E$995,4),(VLOOKUP($C67,'CUSTOS REALIZADOS'!$A$11:$E$995,5)))</f>
        <v>0.1</v>
      </c>
      <c r="K68" s="28">
        <f>IF(K67="",VLOOKUP($C67,'CUSTOS REALIZADOS'!$A$11:$E$995,4),(VLOOKUP($C67,'CUSTOS REALIZADOS'!$A$11:$E$995,5)))</f>
        <v>0.1</v>
      </c>
      <c r="L68" s="28">
        <f>IF(L67="",VLOOKUP($C67,'CUSTOS REALIZADOS'!$A$11:$E$995,4),(VLOOKUP($C67,'CUSTOS REALIZADOS'!$A$11:$E$995,5)))</f>
        <v>0.1</v>
      </c>
      <c r="M68" s="28">
        <f>IF(M67="",VLOOKUP($C67,'CUSTOS REALIZADOS'!$A$11:$E$995,4),(VLOOKUP($C67,'CUSTOS REALIZADOS'!$A$11:$E$995,5)))</f>
        <v>0.1</v>
      </c>
      <c r="N68" s="28">
        <f>IF(N67="",VLOOKUP($C67,'CUSTOS REALIZADOS'!$A$11:$E$995,4),(VLOOKUP($C67,'CUSTOS REALIZADOS'!$A$11:$E$995,5)))</f>
        <v>0.1</v>
      </c>
      <c r="O68" s="28">
        <f>IF(O67="",VLOOKUP($C67,'CUSTOS REALIZADOS'!$A$11:$E$995,4),(VLOOKUP($C67,'CUSTOS REALIZADOS'!$A$11:$E$995,5)))</f>
        <v>0.1</v>
      </c>
      <c r="P68" s="28">
        <f>IF(P67="",VLOOKUP($C67,'CUSTOS REALIZADOS'!$A$11:$E$995,4),(VLOOKUP($C67,'CUSTOS REALIZADOS'!$A$11:$E$995,5)))</f>
        <v>0.1</v>
      </c>
      <c r="Q68" s="28">
        <f>IF(Q67="",VLOOKUP($C67,'CUSTOS REALIZADOS'!$A$11:$E$995,4),(VLOOKUP($C67,'CUSTOS REALIZADOS'!$A$11:$E$995,5)))</f>
        <v>0.1</v>
      </c>
      <c r="R68" s="28">
        <f>IF(R67="",VLOOKUP($C67,'CUSTOS REALIZADOS'!$A$11:$E$995,4),(VLOOKUP($C67,'CUSTOS REALIZADOS'!$A$11:$E$995,5)))</f>
        <v>0.1</v>
      </c>
      <c r="S68" s="28">
        <f>IF(S67="",VLOOKUP($C67,'CUSTOS REALIZADOS'!$A$11:$E$995,4),(VLOOKUP($C67,'CUSTOS REALIZADOS'!$A$11:$E$995,5)))</f>
        <v>0.1</v>
      </c>
      <c r="T68" s="28">
        <f>IF(T67="",VLOOKUP($C67,'CUSTOS REALIZADOS'!$A$11:$E$995,4),(VLOOKUP($C67,'CUSTOS REALIZADOS'!$A$11:$E$995,5)))</f>
        <v>0.1</v>
      </c>
      <c r="U68" s="28">
        <f>IF(U67="",VLOOKUP($C67,'CUSTOS REALIZADOS'!$A$11:$E$995,4),(VLOOKUP($C67,'CUSTOS REALIZADOS'!$A$11:$E$995,5)))</f>
        <v>0.1</v>
      </c>
      <c r="V68" s="28">
        <f>IF(V67="",VLOOKUP($C67,'CUSTOS REALIZADOS'!$A$11:$E$995,4),(VLOOKUP($C67,'CUSTOS REALIZADOS'!$A$11:$E$995,5)))</f>
        <v>0.1</v>
      </c>
      <c r="W68" s="28">
        <f>IF(W67="",VLOOKUP($C67,'CUSTOS REALIZADOS'!$A$11:$E$995,4),(VLOOKUP($C67,'CUSTOS REALIZADOS'!$A$11:$E$995,5)))</f>
        <v>0.1</v>
      </c>
      <c r="X68" s="28">
        <f>IF(X67="",VLOOKUP($C67,'CUSTOS REALIZADOS'!$A$11:$E$995,4),(VLOOKUP($C67,'CUSTOS REALIZADOS'!$A$11:$E$995,5)))</f>
        <v>0.1</v>
      </c>
      <c r="Y68" s="28">
        <f>IF(Y67="",VLOOKUP($C67,'CUSTOS REALIZADOS'!$A$11:$E$995,4),(VLOOKUP($C67,'CUSTOS REALIZADOS'!$A$11:$E$995,5)))</f>
        <v>0.1</v>
      </c>
      <c r="Z68" s="28">
        <f>IF(Z67="",VLOOKUP($C67,'CUSTOS REALIZADOS'!$A$11:$E$995,4),(VLOOKUP($C67,'CUSTOS REALIZADOS'!$A$11:$E$995,5)))</f>
        <v>0.1</v>
      </c>
      <c r="AA68" s="28">
        <f>IF(AA67="",VLOOKUP($C67,'CUSTOS REALIZADOS'!$A$11:$E$995,4),(VLOOKUP($C67,'CUSTOS REALIZADOS'!$A$11:$E$995,5)))</f>
        <v>0.1</v>
      </c>
      <c r="AB68" s="28">
        <f>IF(AB67="",VLOOKUP($C67,'CUSTOS REALIZADOS'!$A$11:$E$995,4),(VLOOKUP($C67,'CUSTOS REALIZADOS'!$A$11:$E$995,5)))</f>
        <v>0.1</v>
      </c>
      <c r="AC68" s="28">
        <f>IF(AC67="",VLOOKUP($C67,'CUSTOS REALIZADOS'!$A$11:$E$995,4),(VLOOKUP($C67,'CUSTOS REALIZADOS'!$A$11:$E$995,5)))</f>
        <v>0.1</v>
      </c>
      <c r="AD68" s="28">
        <f>IF(AD67="",VLOOKUP($C67,'CUSTOS REALIZADOS'!$A$11:$E$995,4),(VLOOKUP($C67,'CUSTOS REALIZADOS'!$A$11:$E$995,5)))</f>
        <v>0.1</v>
      </c>
      <c r="AE68" s="28">
        <f>IF(AE67="",VLOOKUP($C67,'CUSTOS REALIZADOS'!$A$11:$E$995,4),(VLOOKUP($C67,'CUSTOS REALIZADOS'!$A$11:$E$995,5)))</f>
        <v>0.1</v>
      </c>
      <c r="AF68" s="28">
        <f>IF(AF67="",VLOOKUP($C67,'CUSTOS REALIZADOS'!$A$11:$E$995,4),(VLOOKUP($C67,'CUSTOS REALIZADOS'!$A$11:$E$995,5)))</f>
        <v>0.1</v>
      </c>
      <c r="AG68" s="28">
        <f>IF(AG67="",VLOOKUP($C67,'CUSTOS REALIZADOS'!$A$11:$E$995,4),(VLOOKUP($C67,'CUSTOS REALIZADOS'!$A$11:$E$995,5)))</f>
        <v>0.1</v>
      </c>
      <c r="AH68" s="28">
        <f>IF(AH67="",VLOOKUP($C67,'CUSTOS REALIZADOS'!$A$11:$E$995,4),(VLOOKUP($C67,'CUSTOS REALIZADOS'!$A$11:$E$995,5)))</f>
        <v>0.1</v>
      </c>
      <c r="AI68" s="28">
        <f>IF(AI67="",VLOOKUP($C67,'CUSTOS REALIZADOS'!$A$11:$E$995,4),(VLOOKUP($C67,'CUSTOS REALIZADOS'!$A$11:$E$995,5)))</f>
        <v>0.1</v>
      </c>
      <c r="AJ68" s="28">
        <f>IF(AJ67="",VLOOKUP($C67,'CUSTOS REALIZADOS'!$A$11:$E$995,4),(VLOOKUP($C67,'CUSTOS REALIZADOS'!$A$11:$E$995,5)))</f>
        <v>0.1</v>
      </c>
      <c r="AK68" s="28">
        <f>IF(AK67="",VLOOKUP($C67,'CUSTOS REALIZADOS'!$A$11:$E$995,4),(VLOOKUP($C67,'CUSTOS REALIZADOS'!$A$11:$E$995,5)))</f>
        <v>0.1</v>
      </c>
      <c r="AL68" s="28">
        <f>IF(AL67="",VLOOKUP($C67,'CUSTOS REALIZADOS'!$A$11:$E$995,4),(VLOOKUP($C67,'CUSTOS REALIZADOS'!$A$11:$E$995,5)))</f>
        <v>0.1</v>
      </c>
      <c r="AM68" s="28">
        <f>IF(AM67="",VLOOKUP($C67,'CUSTOS REALIZADOS'!$A$11:$E$995,4),(VLOOKUP($C67,'CUSTOS REALIZADOS'!$A$11:$E$995,5)))</f>
        <v>0.1</v>
      </c>
      <c r="AN68" s="28">
        <f>IF(AN67="",VLOOKUP($C67,'CUSTOS REALIZADOS'!$A$11:$E$995,4),(VLOOKUP($C67,'CUSTOS REALIZADOS'!$A$11:$E$995,5)))</f>
        <v>0.1</v>
      </c>
      <c r="AO68" s="28">
        <f>IF(AO67="",VLOOKUP($C67,'CUSTOS REALIZADOS'!$A$11:$E$995,4),(VLOOKUP($C67,'CUSTOS REALIZADOS'!$A$11:$E$995,5)))</f>
        <v>0.1</v>
      </c>
      <c r="AP68" s="28">
        <f>IF(AP67="",VLOOKUP($C67,'CUSTOS REALIZADOS'!$A$11:$E$995,4),(VLOOKUP($C67,'CUSTOS REALIZADOS'!$A$11:$E$995,5)))</f>
        <v>0.1</v>
      </c>
      <c r="AQ68" s="28">
        <f>IF(AQ67="",VLOOKUP($C67,'CUSTOS REALIZADOS'!$A$11:$E$995,4),(VLOOKUP($C67,'CUSTOS REALIZADOS'!$A$11:$E$995,5)))</f>
        <v>0.1</v>
      </c>
      <c r="AR68" s="28">
        <f>IF(AR67="",VLOOKUP($C67,'CUSTOS REALIZADOS'!$A$11:$E$995,4),(VLOOKUP($C67,'CUSTOS REALIZADOS'!$A$11:$E$995,5)))</f>
        <v>0.1</v>
      </c>
      <c r="AS68" s="28">
        <f>IF(AS67="",VLOOKUP($C67,'CUSTOS REALIZADOS'!$A$11:$E$995,4),(VLOOKUP($C67,'CUSTOS REALIZADOS'!$A$11:$E$995,5)))</f>
        <v>0.1</v>
      </c>
      <c r="AT68" s="28">
        <f>IF(AT67="",VLOOKUP($C67,'CUSTOS REALIZADOS'!$A$11:$E$995,4),(VLOOKUP($C67,'CUSTOS REALIZADOS'!$A$11:$E$995,5)))</f>
        <v>0.1</v>
      </c>
      <c r="AU68" s="28">
        <f>IF(AU67="",VLOOKUP($C67,'CUSTOS REALIZADOS'!$A$11:$E$995,4),(VLOOKUP($C67,'CUSTOS REALIZADOS'!$A$11:$E$995,5)))</f>
        <v>0.1</v>
      </c>
      <c r="AV68" s="28">
        <f>IF(AV67="",VLOOKUP($C67,'CUSTOS REALIZADOS'!$A$11:$E$995,4),(VLOOKUP($C67,'CUSTOS REALIZADOS'!$A$11:$E$995,5)))</f>
        <v>0.1</v>
      </c>
      <c r="AW68" s="28">
        <f>IF(AW67="",VLOOKUP($C67,'CUSTOS REALIZADOS'!$A$11:$E$995,4),(VLOOKUP($C67,'CUSTOS REALIZADOS'!$A$11:$E$995,5)))</f>
        <v>0.1</v>
      </c>
      <c r="AX68" s="28">
        <f>IF(AX67="",VLOOKUP($C67,'CUSTOS REALIZADOS'!$A$11:$E$995,4),(VLOOKUP($C67,'CUSTOS REALIZADOS'!$A$11:$E$995,5)))</f>
        <v>0.1</v>
      </c>
      <c r="AY68" s="28">
        <f>IF(AY67="",VLOOKUP($C67,'CUSTOS REALIZADOS'!$A$11:$E$995,4),(VLOOKUP($C67,'CUSTOS REALIZADOS'!$A$11:$E$995,5)))</f>
        <v>0.1</v>
      </c>
      <c r="AZ68" s="28">
        <f>IF(AZ67="",VLOOKUP($C67,'CUSTOS REALIZADOS'!$A$11:$E$995,4),(VLOOKUP($C67,'CUSTOS REALIZADOS'!$A$11:$E$995,5)))</f>
        <v>0.1</v>
      </c>
      <c r="BA68" s="28">
        <f>IF(BA67="",VLOOKUP($C67,'CUSTOS REALIZADOS'!$A$11:$E$995,4),(VLOOKUP($C67,'CUSTOS REALIZADOS'!$A$11:$E$995,5)))</f>
        <v>0.1</v>
      </c>
      <c r="BB68" s="28">
        <f>IF(BB67="",VLOOKUP($C67,'CUSTOS REALIZADOS'!$A$11:$E$995,4),(VLOOKUP($C67,'CUSTOS REALIZADOS'!$A$11:$E$995,5)))</f>
        <v>0.1</v>
      </c>
      <c r="BC68" s="28">
        <f>IF(BC67="",VLOOKUP($C67,'CUSTOS REALIZADOS'!$A$11:$E$995,4),(VLOOKUP($C67,'CUSTOS REALIZADOS'!$A$11:$E$995,5)))</f>
        <v>0.1</v>
      </c>
      <c r="BD68" s="28">
        <f>IF(BD67="",VLOOKUP($C67,'CUSTOS REALIZADOS'!$A$11:$E$995,4),(VLOOKUP($C67,'CUSTOS REALIZADOS'!$A$11:$E$995,5)))</f>
        <v>0.1</v>
      </c>
      <c r="BE68" s="28">
        <f>IF(BE67="",VLOOKUP($C67,'CUSTOS REALIZADOS'!$A$11:$E$995,4),(VLOOKUP($C67,'CUSTOS REALIZADOS'!$A$11:$E$995,5)))</f>
        <v>0.1</v>
      </c>
      <c r="BF68" s="28">
        <f>IF(BF67="",VLOOKUP($C67,'CUSTOS REALIZADOS'!$A$11:$E$995,4),(VLOOKUP($C67,'CUSTOS REALIZADOS'!$A$11:$E$995,5)))</f>
        <v>0.1</v>
      </c>
      <c r="BG68" s="28">
        <f>IF(BG67="",VLOOKUP($C67,'CUSTOS REALIZADOS'!$A$11:$E$995,4),(VLOOKUP($C67,'CUSTOS REALIZADOS'!$A$11:$E$995,5)))</f>
        <v>0.1</v>
      </c>
      <c r="BH68" s="28">
        <f>IF(BH67="",VLOOKUP($C67,'CUSTOS REALIZADOS'!$A$11:$E$995,4),(VLOOKUP($C67,'CUSTOS REALIZADOS'!$A$11:$E$995,5)))</f>
        <v>0.1</v>
      </c>
      <c r="BI68" s="28">
        <f>IF(BI67="",VLOOKUP($C67,'CUSTOS REALIZADOS'!$A$11:$E$995,4),(VLOOKUP($C67,'CUSTOS REALIZADOS'!$A$11:$E$995,5)))</f>
        <v>0.1</v>
      </c>
      <c r="BJ68" s="28">
        <f>IF(BJ67="",VLOOKUP($C67,'CUSTOS REALIZADOS'!$A$11:$E$995,4),(VLOOKUP($C67,'CUSTOS REALIZADOS'!$A$11:$E$995,5)))</f>
        <v>0.1</v>
      </c>
      <c r="BK68" s="28">
        <f>IF(BK67="",VLOOKUP($C67,'CUSTOS REALIZADOS'!$A$11:$E$995,4),(VLOOKUP($C67,'CUSTOS REALIZADOS'!$A$11:$E$995,5)))</f>
        <v>0.1</v>
      </c>
      <c r="BL68" s="28">
        <f>IF(BL67="",VLOOKUP($C67,'CUSTOS REALIZADOS'!$A$11:$E$995,4),(VLOOKUP($C67,'CUSTOS REALIZADOS'!$A$11:$E$995,5)))</f>
        <v>0.1</v>
      </c>
      <c r="BM68" s="28">
        <f>IF(BM67="",VLOOKUP($C67,'CUSTOS REALIZADOS'!$A$11:$E$995,4),(VLOOKUP($C67,'CUSTOS REALIZADOS'!$A$11:$E$995,5)))</f>
        <v>0.1</v>
      </c>
      <c r="BN68" s="28">
        <f>IF(BN67="",VLOOKUP($C67,'CUSTOS REALIZADOS'!$A$11:$E$995,4),(VLOOKUP($C67,'CUSTOS REALIZADOS'!$A$11:$E$995,5)))</f>
        <v>0.1</v>
      </c>
    </row>
    <row r="69" spans="3:66" x14ac:dyDescent="0.2">
      <c r="C69" s="322"/>
      <c r="D69" s="23" t="s">
        <v>6</v>
      </c>
      <c r="E69" s="27">
        <f t="shared" si="330"/>
        <v>95000</v>
      </c>
      <c r="F69" s="23">
        <f>IF(AND($C67&gt;=F$6,OR($C67&lt;F$8,F$8="")),F$7*F$28,0)</f>
        <v>0</v>
      </c>
      <c r="G69" s="23">
        <f t="shared" ref="G69:BN69" si="343">IF(AND($C67&gt;=G$6,OR($C67&lt;G$8,G$8="")),G$7*G$28,0)</f>
        <v>45000</v>
      </c>
      <c r="H69" s="23">
        <f t="shared" si="343"/>
        <v>50000</v>
      </c>
      <c r="I69" s="23">
        <f t="shared" si="343"/>
        <v>0</v>
      </c>
      <c r="J69" s="23">
        <f t="shared" si="343"/>
        <v>0</v>
      </c>
      <c r="K69" s="23">
        <f t="shared" si="343"/>
        <v>0</v>
      </c>
      <c r="L69" s="23">
        <f t="shared" si="343"/>
        <v>0</v>
      </c>
      <c r="M69" s="23">
        <f t="shared" si="343"/>
        <v>0</v>
      </c>
      <c r="N69" s="23">
        <f t="shared" si="343"/>
        <v>0</v>
      </c>
      <c r="O69" s="23">
        <f t="shared" si="343"/>
        <v>0</v>
      </c>
      <c r="P69" s="23">
        <f t="shared" si="343"/>
        <v>0</v>
      </c>
      <c r="Q69" s="23">
        <f t="shared" si="343"/>
        <v>0</v>
      </c>
      <c r="R69" s="23">
        <f t="shared" si="343"/>
        <v>0</v>
      </c>
      <c r="S69" s="23">
        <f t="shared" si="343"/>
        <v>0</v>
      </c>
      <c r="T69" s="23">
        <f t="shared" si="343"/>
        <v>0</v>
      </c>
      <c r="U69" s="23">
        <f t="shared" si="343"/>
        <v>0</v>
      </c>
      <c r="V69" s="23">
        <f t="shared" si="343"/>
        <v>0</v>
      </c>
      <c r="W69" s="23">
        <f t="shared" si="343"/>
        <v>0</v>
      </c>
      <c r="X69" s="23">
        <f t="shared" si="343"/>
        <v>0</v>
      </c>
      <c r="Y69" s="23">
        <f t="shared" si="343"/>
        <v>0</v>
      </c>
      <c r="Z69" s="23">
        <f t="shared" si="343"/>
        <v>0</v>
      </c>
      <c r="AA69" s="23">
        <f t="shared" si="343"/>
        <v>0</v>
      </c>
      <c r="AB69" s="23">
        <f t="shared" si="343"/>
        <v>0</v>
      </c>
      <c r="AC69" s="23">
        <f t="shared" si="343"/>
        <v>0</v>
      </c>
      <c r="AD69" s="23">
        <f t="shared" si="343"/>
        <v>0</v>
      </c>
      <c r="AE69" s="23">
        <f t="shared" si="343"/>
        <v>0</v>
      </c>
      <c r="AF69" s="23">
        <f t="shared" si="343"/>
        <v>0</v>
      </c>
      <c r="AG69" s="23">
        <f t="shared" si="343"/>
        <v>0</v>
      </c>
      <c r="AH69" s="23">
        <f t="shared" si="343"/>
        <v>0</v>
      </c>
      <c r="AI69" s="23">
        <f t="shared" si="343"/>
        <v>0</v>
      </c>
      <c r="AJ69" s="23">
        <f t="shared" si="343"/>
        <v>0</v>
      </c>
      <c r="AK69" s="23">
        <f t="shared" si="343"/>
        <v>0</v>
      </c>
      <c r="AL69" s="23">
        <f t="shared" si="343"/>
        <v>0</v>
      </c>
      <c r="AM69" s="23">
        <f t="shared" si="343"/>
        <v>0</v>
      </c>
      <c r="AN69" s="23">
        <f t="shared" si="343"/>
        <v>0</v>
      </c>
      <c r="AO69" s="23">
        <f t="shared" si="343"/>
        <v>0</v>
      </c>
      <c r="AP69" s="23">
        <f t="shared" si="343"/>
        <v>0</v>
      </c>
      <c r="AQ69" s="23">
        <f t="shared" si="343"/>
        <v>0</v>
      </c>
      <c r="AR69" s="23">
        <f t="shared" si="343"/>
        <v>0</v>
      </c>
      <c r="AS69" s="23">
        <f t="shared" si="343"/>
        <v>0</v>
      </c>
      <c r="AT69" s="23">
        <f t="shared" si="343"/>
        <v>0</v>
      </c>
      <c r="AU69" s="23">
        <f t="shared" si="343"/>
        <v>0</v>
      </c>
      <c r="AV69" s="23">
        <f t="shared" si="343"/>
        <v>0</v>
      </c>
      <c r="AW69" s="23">
        <f t="shared" si="343"/>
        <v>0</v>
      </c>
      <c r="AX69" s="23">
        <f t="shared" si="343"/>
        <v>0</v>
      </c>
      <c r="AY69" s="23">
        <f t="shared" si="343"/>
        <v>0</v>
      </c>
      <c r="AZ69" s="23">
        <f t="shared" si="343"/>
        <v>0</v>
      </c>
      <c r="BA69" s="23">
        <f t="shared" si="343"/>
        <v>0</v>
      </c>
      <c r="BB69" s="23">
        <f t="shared" si="343"/>
        <v>0</v>
      </c>
      <c r="BC69" s="23">
        <f t="shared" si="343"/>
        <v>0</v>
      </c>
      <c r="BD69" s="23">
        <f t="shared" si="343"/>
        <v>0</v>
      </c>
      <c r="BE69" s="23">
        <f t="shared" si="343"/>
        <v>0</v>
      </c>
      <c r="BF69" s="23">
        <f t="shared" si="343"/>
        <v>0</v>
      </c>
      <c r="BG69" s="23">
        <f t="shared" si="343"/>
        <v>0</v>
      </c>
      <c r="BH69" s="23">
        <f t="shared" si="343"/>
        <v>0</v>
      </c>
      <c r="BI69" s="23">
        <f t="shared" si="343"/>
        <v>0</v>
      </c>
      <c r="BJ69" s="23">
        <f t="shared" si="343"/>
        <v>0</v>
      </c>
      <c r="BK69" s="23">
        <f t="shared" si="343"/>
        <v>0</v>
      </c>
      <c r="BL69" s="23">
        <f t="shared" si="343"/>
        <v>0</v>
      </c>
      <c r="BM69" s="23">
        <f t="shared" si="343"/>
        <v>0</v>
      </c>
      <c r="BN69" s="23">
        <f t="shared" si="343"/>
        <v>0</v>
      </c>
    </row>
    <row r="70" spans="3:66" x14ac:dyDescent="0.2">
      <c r="C70" s="322"/>
      <c r="D70" s="23" t="s">
        <v>9</v>
      </c>
      <c r="E70" s="27">
        <f t="shared" si="330"/>
        <v>0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126"/>
      <c r="Y70" s="22"/>
      <c r="Z70" s="22"/>
      <c r="AA70" s="22"/>
      <c r="AB70" s="126"/>
      <c r="AC70" s="22"/>
      <c r="AD70" s="22"/>
      <c r="AE70" s="22"/>
      <c r="AF70" s="126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</row>
    <row r="71" spans="3:66" x14ac:dyDescent="0.2">
      <c r="C71" s="322"/>
      <c r="D71" s="23" t="s">
        <v>14</v>
      </c>
      <c r="E71" s="27">
        <f>SUM(F71:AY71)</f>
        <v>871278.71942274435</v>
      </c>
      <c r="F71" s="23">
        <f>IF(F66=0,F67-F70,F66-F70)</f>
        <v>-152.88273722104654</v>
      </c>
      <c r="G71" s="23">
        <f t="shared" ref="G71" si="344">IF(G66=0,G67-G70,G66-G70)</f>
        <v>412783.39049682574</v>
      </c>
      <c r="H71" s="23">
        <f t="shared" ref="H71" si="345">IF(H66=0,H67-H70,H66-H70)</f>
        <v>458648.21166313969</v>
      </c>
      <c r="I71" s="23">
        <f t="shared" ref="I71" si="346">IF(I66=0,I67-I70,I66-I70)</f>
        <v>0</v>
      </c>
      <c r="J71" s="23">
        <f t="shared" ref="J71" si="347">IF(J66=0,J67-J70,J66-J70)</f>
        <v>0</v>
      </c>
      <c r="K71" s="23">
        <f t="shared" ref="K71" si="348">IF(K66=0,K67-K70,K66-K70)</f>
        <v>0</v>
      </c>
      <c r="L71" s="23">
        <f t="shared" ref="L71" si="349">IF(L66=0,L67-L70,L66-L70)</f>
        <v>0</v>
      </c>
      <c r="M71" s="23">
        <f t="shared" ref="M71" si="350">IF(M66=0,M67-M70,M66-M70)</f>
        <v>0</v>
      </c>
      <c r="N71" s="23">
        <f t="shared" ref="N71" si="351">IF(N66=0,N67-N70,N66-N70)</f>
        <v>0</v>
      </c>
      <c r="O71" s="23">
        <f t="shared" ref="O71" si="352">IF(O66=0,O67-O70,O66-O70)</f>
        <v>0</v>
      </c>
      <c r="P71" s="23">
        <f t="shared" ref="P71" si="353">IF(P66=0,P67-P70,P66-P70)</f>
        <v>0</v>
      </c>
      <c r="Q71" s="23">
        <f t="shared" ref="Q71" si="354">IF(Q66=0,Q67-Q70,Q66-Q70)</f>
        <v>0</v>
      </c>
      <c r="R71" s="23">
        <f t="shared" ref="R71" si="355">IF(R66=0,R67-R70,R66-R70)</f>
        <v>0</v>
      </c>
      <c r="S71" s="23">
        <f t="shared" ref="S71" si="356">IF(S66=0,S67-S70,S66-S70)</f>
        <v>0</v>
      </c>
      <c r="T71" s="23">
        <f t="shared" ref="T71" si="357">IF(T66=0,T67-T70,T66-T70)</f>
        <v>0</v>
      </c>
      <c r="U71" s="23">
        <f t="shared" ref="U71" si="358">IF(U66=0,U67-U70,U66-U70)</f>
        <v>0</v>
      </c>
      <c r="V71" s="23">
        <f t="shared" ref="V71" si="359">IF(V66=0,V67-V70,V66-V70)</f>
        <v>0</v>
      </c>
      <c r="W71" s="23">
        <f t="shared" ref="W71" si="360">IF(W66=0,W67-W70,W66-W70)</f>
        <v>0</v>
      </c>
      <c r="X71" s="23">
        <f t="shared" ref="X71" si="361">IF(X66=0,X67-X70,X66-X70)</f>
        <v>0</v>
      </c>
      <c r="Y71" s="23">
        <f t="shared" ref="Y71" si="362">IF(Y66=0,Y67-Y70,Y66-Y70)</f>
        <v>0</v>
      </c>
      <c r="Z71" s="23">
        <f t="shared" ref="Z71" si="363">IF(Z66=0,Z67-Z70,Z66-Z70)</f>
        <v>0</v>
      </c>
      <c r="AA71" s="23">
        <f t="shared" ref="AA71" si="364">IF(AA66=0,AA67-AA70,AA66-AA70)</f>
        <v>0</v>
      </c>
      <c r="AB71" s="23">
        <f t="shared" ref="AB71" si="365">IF(AB66=0,AB67-AB70,AB66-AB70)</f>
        <v>0</v>
      </c>
      <c r="AC71" s="23">
        <f t="shared" ref="AC71" si="366">IF(AC66=0,AC67-AC70,AC66-AC70)</f>
        <v>0</v>
      </c>
      <c r="AD71" s="23">
        <f t="shared" ref="AD71" si="367">IF(AD66=0,AD67-AD70,AD66-AD70)</f>
        <v>0</v>
      </c>
      <c r="AE71" s="23">
        <f t="shared" ref="AE71" si="368">IF(AE66=0,AE67-AE70,AE66-AE70)</f>
        <v>0</v>
      </c>
      <c r="AF71" s="23">
        <f t="shared" ref="AF71" si="369">IF(AF66=0,AF67-AF70,AF66-AF70)</f>
        <v>0</v>
      </c>
      <c r="AG71" s="23">
        <f t="shared" ref="AG71" si="370">IF(AG66=0,AG67-AG70,AG66-AG70)</f>
        <v>0</v>
      </c>
      <c r="AH71" s="23">
        <f t="shared" ref="AH71" si="371">IF(AH66=0,AH67-AH70,AH66-AH70)</f>
        <v>0</v>
      </c>
      <c r="AI71" s="23">
        <f t="shared" ref="AI71" si="372">IF(AI66=0,AI67-AI70,AI66-AI70)</f>
        <v>0</v>
      </c>
      <c r="AJ71" s="23">
        <f t="shared" ref="AJ71" si="373">IF(AJ66=0,AJ67-AJ70,AJ66-AJ70)</f>
        <v>0</v>
      </c>
      <c r="AK71" s="23">
        <f t="shared" ref="AK71" si="374">IF(AK66=0,AK67-AK70,AK66-AK70)</f>
        <v>0</v>
      </c>
      <c r="AL71" s="23">
        <f t="shared" ref="AL71" si="375">IF(AL66=0,AL67-AL70,AL66-AL70)</f>
        <v>0</v>
      </c>
      <c r="AM71" s="23">
        <f t="shared" ref="AM71" si="376">IF(AM66=0,AM67-AM70,AM66-AM70)</f>
        <v>0</v>
      </c>
      <c r="AN71" s="23">
        <f t="shared" ref="AN71" si="377">IF(AN66=0,AN67-AN70,AN66-AN70)</f>
        <v>0</v>
      </c>
      <c r="AO71" s="23">
        <f t="shared" ref="AO71" si="378">IF(AO66=0,AO67-AO70,AO66-AO70)</f>
        <v>0</v>
      </c>
      <c r="AP71" s="23">
        <f t="shared" ref="AP71" si="379">IF(AP66=0,AP67-AP70,AP66-AP70)</f>
        <v>0</v>
      </c>
      <c r="AQ71" s="23">
        <f t="shared" ref="AQ71" si="380">IF(AQ66=0,AQ67-AQ70,AQ66-AQ70)</f>
        <v>0</v>
      </c>
      <c r="AR71" s="23">
        <f t="shared" ref="AR71" si="381">IF(AR66=0,AR67-AR70,AR66-AR70)</f>
        <v>0</v>
      </c>
      <c r="AS71" s="23">
        <f t="shared" ref="AS71" si="382">IF(AS66=0,AS67-AS70,AS66-AS70)</f>
        <v>0</v>
      </c>
      <c r="AT71" s="23">
        <f t="shared" ref="AT71" si="383">IF(AT66=0,AT67-AT70,AT66-AT70)</f>
        <v>0</v>
      </c>
      <c r="AU71" s="23">
        <f t="shared" ref="AU71" si="384">IF(AU66=0,AU67-AU70,AU66-AU70)</f>
        <v>0</v>
      </c>
      <c r="AV71" s="23">
        <f t="shared" ref="AV71" si="385">IF(AV66=0,AV67-AV70,AV66-AV70)</f>
        <v>0</v>
      </c>
      <c r="AW71" s="23">
        <f t="shared" ref="AW71" si="386">IF(AW66=0,AW67-AW70,AW66-AW70)</f>
        <v>0</v>
      </c>
      <c r="AX71" s="23">
        <f t="shared" ref="AX71" si="387">IF(AX66=0,AX67-AX70,AX66-AX70)</f>
        <v>0</v>
      </c>
      <c r="AY71" s="23">
        <f t="shared" ref="AY71" si="388">IF(AY66=0,AY67-AY70,AY66-AY70)</f>
        <v>0</v>
      </c>
      <c r="AZ71" s="23">
        <f t="shared" ref="AZ71" si="389">IF(AZ66=0,AZ67-AZ70,AZ66-AZ70)</f>
        <v>0</v>
      </c>
      <c r="BA71" s="23">
        <f t="shared" ref="BA71" si="390">IF(BA66=0,BA67-BA70,BA66-BA70)</f>
        <v>0</v>
      </c>
      <c r="BB71" s="23">
        <f t="shared" ref="BB71" si="391">IF(BB66=0,BB67-BB70,BB66-BB70)</f>
        <v>0</v>
      </c>
      <c r="BC71" s="23">
        <f t="shared" ref="BC71" si="392">IF(BC66=0,BC67-BC70,BC66-BC70)</f>
        <v>0</v>
      </c>
      <c r="BD71" s="23">
        <f t="shared" ref="BD71" si="393">IF(BD66=0,BD67-BD70,BD66-BD70)</f>
        <v>0</v>
      </c>
      <c r="BE71" s="23">
        <f t="shared" ref="BE71" si="394">IF(BE66=0,BE67-BE70,BE66-BE70)</f>
        <v>0</v>
      </c>
      <c r="BF71" s="23">
        <f t="shared" ref="BF71" si="395">IF(BF66=0,BF67-BF70,BF66-BF70)</f>
        <v>0</v>
      </c>
      <c r="BG71" s="23">
        <f t="shared" ref="BG71" si="396">IF(BG66=0,BG67-BG70,BG66-BG70)</f>
        <v>0</v>
      </c>
      <c r="BH71" s="23">
        <f t="shared" ref="BH71" si="397">IF(BH66=0,BH67-BH70,BH66-BH70)</f>
        <v>0</v>
      </c>
      <c r="BI71" s="23">
        <f t="shared" ref="BI71" si="398">IF(BI66=0,BI67-BI70,BI66-BI70)</f>
        <v>0</v>
      </c>
      <c r="BJ71" s="23">
        <f t="shared" ref="BJ71" si="399">IF(BJ66=0,BJ67-BJ70,BJ66-BJ70)</f>
        <v>0</v>
      </c>
      <c r="BK71" s="23">
        <f t="shared" ref="BK71" si="400">IF(BK66=0,BK67-BK70,BK66-BK70)</f>
        <v>0</v>
      </c>
      <c r="BL71" s="23">
        <f t="shared" ref="BL71" si="401">IF(BL66=0,BL67-BL70,BL66-BL70)</f>
        <v>0</v>
      </c>
      <c r="BM71" s="23">
        <f t="shared" ref="BM71" si="402">IF(BM66=0,BM67-BM70,BM66-BM70)</f>
        <v>0</v>
      </c>
      <c r="BN71" s="23">
        <f t="shared" ref="BN71" si="403">IF(BN66=0,BN67-BN70,BN66-BN70)</f>
        <v>0</v>
      </c>
    </row>
    <row r="72" spans="3:66" x14ac:dyDescent="0.2">
      <c r="C72" s="322"/>
      <c r="D72" s="23" t="s">
        <v>10</v>
      </c>
      <c r="E72" s="72">
        <v>4.5999999999999999E-3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</row>
    <row r="73" spans="3:66" x14ac:dyDescent="0.2">
      <c r="C73" s="322"/>
      <c r="D73" s="23" t="s">
        <v>12</v>
      </c>
      <c r="E73" s="27">
        <f t="shared" ref="E73:E78" si="404">SUM(F73:BN73)</f>
        <v>0</v>
      </c>
      <c r="F73" s="29">
        <f>+F71*F72</f>
        <v>0</v>
      </c>
      <c r="G73" s="29">
        <f>+G71*G72</f>
        <v>0</v>
      </c>
      <c r="H73" s="29">
        <f>+H71*H72</f>
        <v>0</v>
      </c>
      <c r="I73" s="29">
        <f t="shared" ref="I73:O73" si="405">+I71*I72</f>
        <v>0</v>
      </c>
      <c r="J73" s="29">
        <f t="shared" si="405"/>
        <v>0</v>
      </c>
      <c r="K73" s="29">
        <f t="shared" si="405"/>
        <v>0</v>
      </c>
      <c r="L73" s="29">
        <f t="shared" si="405"/>
        <v>0</v>
      </c>
      <c r="M73" s="29">
        <f t="shared" si="405"/>
        <v>0</v>
      </c>
      <c r="N73" s="29">
        <f t="shared" si="405"/>
        <v>0</v>
      </c>
      <c r="O73" s="29">
        <f t="shared" si="405"/>
        <v>0</v>
      </c>
      <c r="P73" s="29">
        <f>+P71*P72</f>
        <v>0</v>
      </c>
      <c r="Q73" s="29">
        <f t="shared" ref="Q73" si="406">+Q71*Q72</f>
        <v>0</v>
      </c>
      <c r="R73" s="29">
        <f>+R71*R72</f>
        <v>0</v>
      </c>
      <c r="S73" s="29">
        <f>+S71*S72</f>
        <v>0</v>
      </c>
      <c r="T73" s="29">
        <f t="shared" ref="T73" si="407">+T71*T72</f>
        <v>0</v>
      </c>
      <c r="U73" s="29">
        <f>+U71*U72</f>
        <v>0</v>
      </c>
      <c r="V73" s="29">
        <f t="shared" ref="V73:X73" si="408">+V71*V72</f>
        <v>0</v>
      </c>
      <c r="W73" s="29">
        <f t="shared" si="408"/>
        <v>0</v>
      </c>
      <c r="X73" s="29">
        <f t="shared" si="408"/>
        <v>0</v>
      </c>
      <c r="Y73" s="29">
        <v>0</v>
      </c>
      <c r="Z73" s="29">
        <f>+Z71*Z72</f>
        <v>0</v>
      </c>
      <c r="AA73" s="29">
        <f>+AA71*AA72</f>
        <v>0</v>
      </c>
      <c r="AB73" s="29">
        <f t="shared" ref="AB73:AD73" si="409">+AB71*AB72</f>
        <v>0</v>
      </c>
      <c r="AC73" s="29">
        <f t="shared" si="409"/>
        <v>0</v>
      </c>
      <c r="AD73" s="29">
        <f t="shared" si="409"/>
        <v>0</v>
      </c>
      <c r="AE73" s="29">
        <v>0</v>
      </c>
      <c r="AF73" s="29">
        <f>+AF71*AF72</f>
        <v>0</v>
      </c>
      <c r="AG73" s="29">
        <f t="shared" ref="AG73:AP73" si="410">+AG71*AG72</f>
        <v>0</v>
      </c>
      <c r="AH73" s="29">
        <f t="shared" si="410"/>
        <v>0</v>
      </c>
      <c r="AI73" s="29">
        <f t="shared" si="410"/>
        <v>0</v>
      </c>
      <c r="AJ73" s="29">
        <f t="shared" si="410"/>
        <v>0</v>
      </c>
      <c r="AK73" s="29">
        <f t="shared" si="410"/>
        <v>0</v>
      </c>
      <c r="AL73" s="29">
        <f t="shared" si="410"/>
        <v>0</v>
      </c>
      <c r="AM73" s="29">
        <f t="shared" si="410"/>
        <v>0</v>
      </c>
      <c r="AN73" s="29">
        <f t="shared" si="410"/>
        <v>0</v>
      </c>
      <c r="AO73" s="29">
        <f t="shared" si="410"/>
        <v>0</v>
      </c>
      <c r="AP73" s="29">
        <f t="shared" si="410"/>
        <v>0</v>
      </c>
      <c r="AQ73" s="29">
        <f>+AQ71*AQ72</f>
        <v>0</v>
      </c>
      <c r="AR73" s="29">
        <f>+AR71*AR72</f>
        <v>0</v>
      </c>
      <c r="AS73" s="29">
        <f t="shared" ref="AS73:AT73" si="411">+AS71*AS72</f>
        <v>0</v>
      </c>
      <c r="AT73" s="29">
        <f t="shared" si="411"/>
        <v>0</v>
      </c>
      <c r="AU73" s="29">
        <v>0</v>
      </c>
      <c r="AV73" s="29">
        <v>0</v>
      </c>
      <c r="AW73" s="29">
        <v>0</v>
      </c>
      <c r="AX73" s="29">
        <f t="shared" ref="AX73" si="412">+AX71*AX72</f>
        <v>0</v>
      </c>
      <c r="AY73" s="29">
        <f>+AY71*AY72</f>
        <v>0</v>
      </c>
      <c r="AZ73" s="29">
        <v>0</v>
      </c>
      <c r="BA73" s="29">
        <f t="shared" ref="BA73:BN73" si="413">+BA71*BA72</f>
        <v>0</v>
      </c>
      <c r="BB73" s="29">
        <f t="shared" si="413"/>
        <v>0</v>
      </c>
      <c r="BC73" s="29">
        <f t="shared" si="413"/>
        <v>0</v>
      </c>
      <c r="BD73" s="29">
        <v>0</v>
      </c>
      <c r="BE73" s="29">
        <f t="shared" si="413"/>
        <v>0</v>
      </c>
      <c r="BF73" s="29">
        <f t="shared" si="413"/>
        <v>0</v>
      </c>
      <c r="BG73" s="29">
        <f t="shared" si="413"/>
        <v>0</v>
      </c>
      <c r="BH73" s="29">
        <f t="shared" si="413"/>
        <v>0</v>
      </c>
      <c r="BI73" s="29">
        <f t="shared" si="413"/>
        <v>0</v>
      </c>
      <c r="BJ73" s="29">
        <v>0</v>
      </c>
      <c r="BK73" s="29">
        <f t="shared" si="413"/>
        <v>0</v>
      </c>
      <c r="BL73" s="29">
        <f t="shared" si="413"/>
        <v>0</v>
      </c>
      <c r="BM73" s="29">
        <v>0</v>
      </c>
      <c r="BN73" s="29">
        <f t="shared" si="413"/>
        <v>0</v>
      </c>
    </row>
    <row r="74" spans="3:66" ht="13.5" thickBot="1" x14ac:dyDescent="0.25">
      <c r="C74" s="323"/>
      <c r="D74" s="25" t="s">
        <v>11</v>
      </c>
      <c r="E74" s="30">
        <f t="shared" si="404"/>
        <v>871278.71942274435</v>
      </c>
      <c r="F74" s="46">
        <f>+F71+F73</f>
        <v>-152.88273722104654</v>
      </c>
      <c r="G74" s="46">
        <f>+G71+G73</f>
        <v>412783.39049682574</v>
      </c>
      <c r="H74" s="46">
        <f>+H71+H73</f>
        <v>458648.21166313969</v>
      </c>
      <c r="I74" s="46">
        <f t="shared" ref="I74:AU74" si="414">+I71+I73</f>
        <v>0</v>
      </c>
      <c r="J74" s="46">
        <f t="shared" si="414"/>
        <v>0</v>
      </c>
      <c r="K74" s="46">
        <f t="shared" si="414"/>
        <v>0</v>
      </c>
      <c r="L74" s="46">
        <f t="shared" si="414"/>
        <v>0</v>
      </c>
      <c r="M74" s="46">
        <f t="shared" si="414"/>
        <v>0</v>
      </c>
      <c r="N74" s="46">
        <f t="shared" si="414"/>
        <v>0</v>
      </c>
      <c r="O74" s="46">
        <f t="shared" si="414"/>
        <v>0</v>
      </c>
      <c r="P74" s="46">
        <f t="shared" si="414"/>
        <v>0</v>
      </c>
      <c r="Q74" s="46">
        <f t="shared" si="414"/>
        <v>0</v>
      </c>
      <c r="R74" s="46">
        <f t="shared" si="414"/>
        <v>0</v>
      </c>
      <c r="S74" s="46">
        <f t="shared" si="414"/>
        <v>0</v>
      </c>
      <c r="T74" s="46">
        <f t="shared" si="414"/>
        <v>0</v>
      </c>
      <c r="U74" s="46">
        <f t="shared" si="414"/>
        <v>0</v>
      </c>
      <c r="V74" s="46">
        <f t="shared" si="414"/>
        <v>0</v>
      </c>
      <c r="W74" s="46">
        <f t="shared" si="414"/>
        <v>0</v>
      </c>
      <c r="X74" s="46">
        <f t="shared" si="414"/>
        <v>0</v>
      </c>
      <c r="Y74" s="46">
        <f t="shared" si="414"/>
        <v>0</v>
      </c>
      <c r="Z74" s="46">
        <f t="shared" si="414"/>
        <v>0</v>
      </c>
      <c r="AA74" s="46">
        <f t="shared" si="414"/>
        <v>0</v>
      </c>
      <c r="AB74" s="46">
        <f t="shared" si="414"/>
        <v>0</v>
      </c>
      <c r="AC74" s="46">
        <f t="shared" si="414"/>
        <v>0</v>
      </c>
      <c r="AD74" s="46">
        <f t="shared" si="414"/>
        <v>0</v>
      </c>
      <c r="AE74" s="46">
        <f t="shared" si="414"/>
        <v>0</v>
      </c>
      <c r="AF74" s="46">
        <f t="shared" si="414"/>
        <v>0</v>
      </c>
      <c r="AG74" s="46">
        <f t="shared" si="414"/>
        <v>0</v>
      </c>
      <c r="AH74" s="46">
        <f t="shared" si="414"/>
        <v>0</v>
      </c>
      <c r="AI74" s="46">
        <f t="shared" si="414"/>
        <v>0</v>
      </c>
      <c r="AJ74" s="46">
        <f t="shared" si="414"/>
        <v>0</v>
      </c>
      <c r="AK74" s="46">
        <f t="shared" si="414"/>
        <v>0</v>
      </c>
      <c r="AL74" s="46">
        <f t="shared" si="414"/>
        <v>0</v>
      </c>
      <c r="AM74" s="46">
        <f t="shared" si="414"/>
        <v>0</v>
      </c>
      <c r="AN74" s="46">
        <f t="shared" si="414"/>
        <v>0</v>
      </c>
      <c r="AO74" s="46">
        <f t="shared" si="414"/>
        <v>0</v>
      </c>
      <c r="AP74" s="46">
        <f t="shared" si="414"/>
        <v>0</v>
      </c>
      <c r="AQ74" s="46">
        <f t="shared" si="414"/>
        <v>0</v>
      </c>
      <c r="AR74" s="46">
        <f t="shared" si="414"/>
        <v>0</v>
      </c>
      <c r="AS74" s="46">
        <f t="shared" si="414"/>
        <v>0</v>
      </c>
      <c r="AT74" s="46">
        <f t="shared" si="414"/>
        <v>0</v>
      </c>
      <c r="AU74" s="46">
        <f t="shared" si="414"/>
        <v>0</v>
      </c>
      <c r="AV74" s="46">
        <f>+AV71+AV73</f>
        <v>0</v>
      </c>
      <c r="AW74" s="46">
        <f t="shared" ref="AW74:BN74" si="415">+AW71+AW73</f>
        <v>0</v>
      </c>
      <c r="AX74" s="46">
        <f t="shared" si="415"/>
        <v>0</v>
      </c>
      <c r="AY74" s="46">
        <f t="shared" si="415"/>
        <v>0</v>
      </c>
      <c r="AZ74" s="46">
        <f t="shared" si="415"/>
        <v>0</v>
      </c>
      <c r="BA74" s="46">
        <f t="shared" si="415"/>
        <v>0</v>
      </c>
      <c r="BB74" s="46">
        <f t="shared" si="415"/>
        <v>0</v>
      </c>
      <c r="BC74" s="46">
        <f t="shared" si="415"/>
        <v>0</v>
      </c>
      <c r="BD74" s="46">
        <f t="shared" si="415"/>
        <v>0</v>
      </c>
      <c r="BE74" s="46">
        <f t="shared" si="415"/>
        <v>0</v>
      </c>
      <c r="BF74" s="46">
        <f t="shared" si="415"/>
        <v>0</v>
      </c>
      <c r="BG74" s="46">
        <f t="shared" si="415"/>
        <v>0</v>
      </c>
      <c r="BH74" s="46">
        <f t="shared" si="415"/>
        <v>0</v>
      </c>
      <c r="BI74" s="46">
        <f t="shared" si="415"/>
        <v>0</v>
      </c>
      <c r="BJ74" s="46">
        <f t="shared" si="415"/>
        <v>0</v>
      </c>
      <c r="BK74" s="46">
        <f t="shared" si="415"/>
        <v>0</v>
      </c>
      <c r="BL74" s="46">
        <f t="shared" si="415"/>
        <v>0</v>
      </c>
      <c r="BM74" s="46">
        <f t="shared" si="415"/>
        <v>0</v>
      </c>
      <c r="BN74" s="46">
        <f t="shared" si="415"/>
        <v>0</v>
      </c>
    </row>
    <row r="75" spans="3:66" x14ac:dyDescent="0.2">
      <c r="C75" s="321">
        <v>43800</v>
      </c>
      <c r="D75" s="20" t="s">
        <v>5</v>
      </c>
      <c r="E75" s="50">
        <f t="shared" si="404"/>
        <v>0</v>
      </c>
      <c r="F75" s="279">
        <f>IF(F$6=$C75,F$7,0)</f>
        <v>0</v>
      </c>
      <c r="G75" s="279">
        <f t="shared" ref="G75:BN75" si="416">IF(G$6=$C75,G$7,0)</f>
        <v>0</v>
      </c>
      <c r="H75" s="279">
        <f t="shared" si="416"/>
        <v>0</v>
      </c>
      <c r="I75" s="279">
        <f t="shared" si="416"/>
        <v>0</v>
      </c>
      <c r="J75" s="279">
        <f t="shared" si="416"/>
        <v>0</v>
      </c>
      <c r="K75" s="279">
        <f t="shared" si="416"/>
        <v>0</v>
      </c>
      <c r="L75" s="279">
        <f t="shared" si="416"/>
        <v>0</v>
      </c>
      <c r="M75" s="279">
        <f t="shared" si="416"/>
        <v>0</v>
      </c>
      <c r="N75" s="279">
        <f t="shared" si="416"/>
        <v>0</v>
      </c>
      <c r="O75" s="279">
        <f t="shared" si="416"/>
        <v>0</v>
      </c>
      <c r="P75" s="279">
        <f t="shared" si="416"/>
        <v>0</v>
      </c>
      <c r="Q75" s="279">
        <f t="shared" si="416"/>
        <v>0</v>
      </c>
      <c r="R75" s="279">
        <f t="shared" si="416"/>
        <v>0</v>
      </c>
      <c r="S75" s="279">
        <f t="shared" si="416"/>
        <v>0</v>
      </c>
      <c r="T75" s="279">
        <f t="shared" si="416"/>
        <v>0</v>
      </c>
      <c r="U75" s="279">
        <f t="shared" si="416"/>
        <v>0</v>
      </c>
      <c r="V75" s="279">
        <f t="shared" si="416"/>
        <v>0</v>
      </c>
      <c r="W75" s="279">
        <f t="shared" si="416"/>
        <v>0</v>
      </c>
      <c r="X75" s="279">
        <f t="shared" si="416"/>
        <v>0</v>
      </c>
      <c r="Y75" s="279">
        <f t="shared" si="416"/>
        <v>0</v>
      </c>
      <c r="Z75" s="279">
        <f t="shared" si="416"/>
        <v>0</v>
      </c>
      <c r="AA75" s="279">
        <f t="shared" si="416"/>
        <v>0</v>
      </c>
      <c r="AB75" s="279">
        <f t="shared" si="416"/>
        <v>0</v>
      </c>
      <c r="AC75" s="279">
        <f t="shared" si="416"/>
        <v>0</v>
      </c>
      <c r="AD75" s="279">
        <f t="shared" si="416"/>
        <v>0</v>
      </c>
      <c r="AE75" s="279">
        <f t="shared" si="416"/>
        <v>0</v>
      </c>
      <c r="AF75" s="279">
        <f t="shared" si="416"/>
        <v>0</v>
      </c>
      <c r="AG75" s="279">
        <f t="shared" si="416"/>
        <v>0</v>
      </c>
      <c r="AH75" s="279">
        <f t="shared" si="416"/>
        <v>0</v>
      </c>
      <c r="AI75" s="279">
        <f t="shared" si="416"/>
        <v>0</v>
      </c>
      <c r="AJ75" s="279">
        <f t="shared" si="416"/>
        <v>0</v>
      </c>
      <c r="AK75" s="279">
        <f t="shared" si="416"/>
        <v>0</v>
      </c>
      <c r="AL75" s="279">
        <f t="shared" si="416"/>
        <v>0</v>
      </c>
      <c r="AM75" s="279">
        <f t="shared" si="416"/>
        <v>0</v>
      </c>
      <c r="AN75" s="279">
        <f t="shared" si="416"/>
        <v>0</v>
      </c>
      <c r="AO75" s="279">
        <f t="shared" si="416"/>
        <v>0</v>
      </c>
      <c r="AP75" s="279">
        <f t="shared" si="416"/>
        <v>0</v>
      </c>
      <c r="AQ75" s="279">
        <f t="shared" si="416"/>
        <v>0</v>
      </c>
      <c r="AR75" s="279">
        <f t="shared" si="416"/>
        <v>0</v>
      </c>
      <c r="AS75" s="279">
        <f t="shared" si="416"/>
        <v>0</v>
      </c>
      <c r="AT75" s="279">
        <f t="shared" si="416"/>
        <v>0</v>
      </c>
      <c r="AU75" s="279">
        <f t="shared" si="416"/>
        <v>0</v>
      </c>
      <c r="AV75" s="279">
        <f t="shared" si="416"/>
        <v>0</v>
      </c>
      <c r="AW75" s="279">
        <f t="shared" si="416"/>
        <v>0</v>
      </c>
      <c r="AX75" s="279">
        <f t="shared" si="416"/>
        <v>0</v>
      </c>
      <c r="AY75" s="279">
        <f t="shared" si="416"/>
        <v>0</v>
      </c>
      <c r="AZ75" s="279">
        <f t="shared" si="416"/>
        <v>0</v>
      </c>
      <c r="BA75" s="279">
        <f t="shared" si="416"/>
        <v>0</v>
      </c>
      <c r="BB75" s="279">
        <f t="shared" si="416"/>
        <v>0</v>
      </c>
      <c r="BC75" s="279">
        <f t="shared" si="416"/>
        <v>0</v>
      </c>
      <c r="BD75" s="279">
        <f t="shared" si="416"/>
        <v>0</v>
      </c>
      <c r="BE75" s="279">
        <f t="shared" si="416"/>
        <v>0</v>
      </c>
      <c r="BF75" s="279">
        <f t="shared" si="416"/>
        <v>0</v>
      </c>
      <c r="BG75" s="279">
        <f t="shared" si="416"/>
        <v>0</v>
      </c>
      <c r="BH75" s="279">
        <f t="shared" si="416"/>
        <v>0</v>
      </c>
      <c r="BI75" s="279">
        <f t="shared" si="416"/>
        <v>0</v>
      </c>
      <c r="BJ75" s="279">
        <f t="shared" si="416"/>
        <v>0</v>
      </c>
      <c r="BK75" s="279">
        <f t="shared" si="416"/>
        <v>0</v>
      </c>
      <c r="BL75" s="279">
        <f t="shared" si="416"/>
        <v>0</v>
      </c>
      <c r="BM75" s="279">
        <f t="shared" si="416"/>
        <v>0</v>
      </c>
      <c r="BN75" s="279">
        <f t="shared" si="416"/>
        <v>0</v>
      </c>
    </row>
    <row r="76" spans="3:66" x14ac:dyDescent="0.2">
      <c r="C76" s="322"/>
      <c r="D76" s="23" t="s">
        <v>7</v>
      </c>
      <c r="E76" s="91">
        <f t="shared" si="404"/>
        <v>6.0999999999999943</v>
      </c>
      <c r="F76" s="28">
        <f>IF(F75="",VLOOKUP($C75,'CUSTOS REALIZADOS'!$A$11:$E$995,4),(VLOOKUP($C75,'CUSTOS REALIZADOS'!$A$11:$E$995,5)))</f>
        <v>0.1</v>
      </c>
      <c r="G76" s="28">
        <f>IF(G75="",VLOOKUP($C75,'CUSTOS REALIZADOS'!$A$11:$E$995,4),(VLOOKUP($C75,'CUSTOS REALIZADOS'!$A$11:$E$995,5)))</f>
        <v>0.1</v>
      </c>
      <c r="H76" s="28">
        <f>IF(H75="",VLOOKUP($C75,'CUSTOS REALIZADOS'!$A$11:$E$995,4),(VLOOKUP($C75,'CUSTOS REALIZADOS'!$A$11:$E$995,5)))</f>
        <v>0.1</v>
      </c>
      <c r="I76" s="28">
        <f>IF(I75="",VLOOKUP($C75,'CUSTOS REALIZADOS'!$A$11:$E$995,4),(VLOOKUP($C75,'CUSTOS REALIZADOS'!$A$11:$E$995,5)))</f>
        <v>0.1</v>
      </c>
      <c r="J76" s="28">
        <f>IF(J75="",VLOOKUP($C75,'CUSTOS REALIZADOS'!$A$11:$E$995,4),(VLOOKUP($C75,'CUSTOS REALIZADOS'!$A$11:$E$995,5)))</f>
        <v>0.1</v>
      </c>
      <c r="K76" s="28">
        <f>IF(K75="",VLOOKUP($C75,'CUSTOS REALIZADOS'!$A$11:$E$995,4),(VLOOKUP($C75,'CUSTOS REALIZADOS'!$A$11:$E$995,5)))</f>
        <v>0.1</v>
      </c>
      <c r="L76" s="28">
        <f>IF(L75="",VLOOKUP($C75,'CUSTOS REALIZADOS'!$A$11:$E$995,4),(VLOOKUP($C75,'CUSTOS REALIZADOS'!$A$11:$E$995,5)))</f>
        <v>0.1</v>
      </c>
      <c r="M76" s="28">
        <f>IF(M75="",VLOOKUP($C75,'CUSTOS REALIZADOS'!$A$11:$E$995,4),(VLOOKUP($C75,'CUSTOS REALIZADOS'!$A$11:$E$995,5)))</f>
        <v>0.1</v>
      </c>
      <c r="N76" s="28">
        <f>IF(N75="",VLOOKUP($C75,'CUSTOS REALIZADOS'!$A$11:$E$995,4),(VLOOKUP($C75,'CUSTOS REALIZADOS'!$A$11:$E$995,5)))</f>
        <v>0.1</v>
      </c>
      <c r="O76" s="28">
        <f>IF(O75="",VLOOKUP($C75,'CUSTOS REALIZADOS'!$A$11:$E$995,4),(VLOOKUP($C75,'CUSTOS REALIZADOS'!$A$11:$E$995,5)))</f>
        <v>0.1</v>
      </c>
      <c r="P76" s="28">
        <f>IF(P75="",VLOOKUP($C75,'CUSTOS REALIZADOS'!$A$11:$E$995,4),(VLOOKUP($C75,'CUSTOS REALIZADOS'!$A$11:$E$995,5)))</f>
        <v>0.1</v>
      </c>
      <c r="Q76" s="28">
        <f>IF(Q75="",VLOOKUP($C75,'CUSTOS REALIZADOS'!$A$11:$E$995,4),(VLOOKUP($C75,'CUSTOS REALIZADOS'!$A$11:$E$995,5)))</f>
        <v>0.1</v>
      </c>
      <c r="R76" s="28">
        <f>IF(R75="",VLOOKUP($C75,'CUSTOS REALIZADOS'!$A$11:$E$995,4),(VLOOKUP($C75,'CUSTOS REALIZADOS'!$A$11:$E$995,5)))</f>
        <v>0.1</v>
      </c>
      <c r="S76" s="28">
        <f>IF(S75="",VLOOKUP($C75,'CUSTOS REALIZADOS'!$A$11:$E$995,4),(VLOOKUP($C75,'CUSTOS REALIZADOS'!$A$11:$E$995,5)))</f>
        <v>0.1</v>
      </c>
      <c r="T76" s="28">
        <f>IF(T75="",VLOOKUP($C75,'CUSTOS REALIZADOS'!$A$11:$E$995,4),(VLOOKUP($C75,'CUSTOS REALIZADOS'!$A$11:$E$995,5)))</f>
        <v>0.1</v>
      </c>
      <c r="U76" s="28">
        <f>IF(U75="",VLOOKUP($C75,'CUSTOS REALIZADOS'!$A$11:$E$995,4),(VLOOKUP($C75,'CUSTOS REALIZADOS'!$A$11:$E$995,5)))</f>
        <v>0.1</v>
      </c>
      <c r="V76" s="28">
        <f>IF(V75="",VLOOKUP($C75,'CUSTOS REALIZADOS'!$A$11:$E$995,4),(VLOOKUP($C75,'CUSTOS REALIZADOS'!$A$11:$E$995,5)))</f>
        <v>0.1</v>
      </c>
      <c r="W76" s="28">
        <f>IF(W75="",VLOOKUP($C75,'CUSTOS REALIZADOS'!$A$11:$E$995,4),(VLOOKUP($C75,'CUSTOS REALIZADOS'!$A$11:$E$995,5)))</f>
        <v>0.1</v>
      </c>
      <c r="X76" s="28">
        <f>IF(X75="",VLOOKUP($C75,'CUSTOS REALIZADOS'!$A$11:$E$995,4),(VLOOKUP($C75,'CUSTOS REALIZADOS'!$A$11:$E$995,5)))</f>
        <v>0.1</v>
      </c>
      <c r="Y76" s="28">
        <f>IF(Y75="",VLOOKUP($C75,'CUSTOS REALIZADOS'!$A$11:$E$995,4),(VLOOKUP($C75,'CUSTOS REALIZADOS'!$A$11:$E$995,5)))</f>
        <v>0.1</v>
      </c>
      <c r="Z76" s="28">
        <f>IF(Z75="",VLOOKUP($C75,'CUSTOS REALIZADOS'!$A$11:$E$995,4),(VLOOKUP($C75,'CUSTOS REALIZADOS'!$A$11:$E$995,5)))</f>
        <v>0.1</v>
      </c>
      <c r="AA76" s="28">
        <f>IF(AA75="",VLOOKUP($C75,'CUSTOS REALIZADOS'!$A$11:$E$995,4),(VLOOKUP($C75,'CUSTOS REALIZADOS'!$A$11:$E$995,5)))</f>
        <v>0.1</v>
      </c>
      <c r="AB76" s="28">
        <f>IF(AB75="",VLOOKUP($C75,'CUSTOS REALIZADOS'!$A$11:$E$995,4),(VLOOKUP($C75,'CUSTOS REALIZADOS'!$A$11:$E$995,5)))</f>
        <v>0.1</v>
      </c>
      <c r="AC76" s="28">
        <f>IF(AC75="",VLOOKUP($C75,'CUSTOS REALIZADOS'!$A$11:$E$995,4),(VLOOKUP($C75,'CUSTOS REALIZADOS'!$A$11:$E$995,5)))</f>
        <v>0.1</v>
      </c>
      <c r="AD76" s="28">
        <f>IF(AD75="",VLOOKUP($C75,'CUSTOS REALIZADOS'!$A$11:$E$995,4),(VLOOKUP($C75,'CUSTOS REALIZADOS'!$A$11:$E$995,5)))</f>
        <v>0.1</v>
      </c>
      <c r="AE76" s="28">
        <f>IF(AE75="",VLOOKUP($C75,'CUSTOS REALIZADOS'!$A$11:$E$995,4),(VLOOKUP($C75,'CUSTOS REALIZADOS'!$A$11:$E$995,5)))</f>
        <v>0.1</v>
      </c>
      <c r="AF76" s="28">
        <f>IF(AF75="",VLOOKUP($C75,'CUSTOS REALIZADOS'!$A$11:$E$995,4),(VLOOKUP($C75,'CUSTOS REALIZADOS'!$A$11:$E$995,5)))</f>
        <v>0.1</v>
      </c>
      <c r="AG76" s="28">
        <f>IF(AG75="",VLOOKUP($C75,'CUSTOS REALIZADOS'!$A$11:$E$995,4),(VLOOKUP($C75,'CUSTOS REALIZADOS'!$A$11:$E$995,5)))</f>
        <v>0.1</v>
      </c>
      <c r="AH76" s="28">
        <f>IF(AH75="",VLOOKUP($C75,'CUSTOS REALIZADOS'!$A$11:$E$995,4),(VLOOKUP($C75,'CUSTOS REALIZADOS'!$A$11:$E$995,5)))</f>
        <v>0.1</v>
      </c>
      <c r="AI76" s="28">
        <f>IF(AI75="",VLOOKUP($C75,'CUSTOS REALIZADOS'!$A$11:$E$995,4),(VLOOKUP($C75,'CUSTOS REALIZADOS'!$A$11:$E$995,5)))</f>
        <v>0.1</v>
      </c>
      <c r="AJ76" s="28">
        <f>IF(AJ75="",VLOOKUP($C75,'CUSTOS REALIZADOS'!$A$11:$E$995,4),(VLOOKUP($C75,'CUSTOS REALIZADOS'!$A$11:$E$995,5)))</f>
        <v>0.1</v>
      </c>
      <c r="AK76" s="28">
        <f>IF(AK75="",VLOOKUP($C75,'CUSTOS REALIZADOS'!$A$11:$E$995,4),(VLOOKUP($C75,'CUSTOS REALIZADOS'!$A$11:$E$995,5)))</f>
        <v>0.1</v>
      </c>
      <c r="AL76" s="28">
        <f>IF(AL75="",VLOOKUP($C75,'CUSTOS REALIZADOS'!$A$11:$E$995,4),(VLOOKUP($C75,'CUSTOS REALIZADOS'!$A$11:$E$995,5)))</f>
        <v>0.1</v>
      </c>
      <c r="AM76" s="28">
        <f>IF(AM75="",VLOOKUP($C75,'CUSTOS REALIZADOS'!$A$11:$E$995,4),(VLOOKUP($C75,'CUSTOS REALIZADOS'!$A$11:$E$995,5)))</f>
        <v>0.1</v>
      </c>
      <c r="AN76" s="28">
        <f>IF(AN75="",VLOOKUP($C75,'CUSTOS REALIZADOS'!$A$11:$E$995,4),(VLOOKUP($C75,'CUSTOS REALIZADOS'!$A$11:$E$995,5)))</f>
        <v>0.1</v>
      </c>
      <c r="AO76" s="28">
        <f>IF(AO75="",VLOOKUP($C75,'CUSTOS REALIZADOS'!$A$11:$E$995,4),(VLOOKUP($C75,'CUSTOS REALIZADOS'!$A$11:$E$995,5)))</f>
        <v>0.1</v>
      </c>
      <c r="AP76" s="28">
        <f>IF(AP75="",VLOOKUP($C75,'CUSTOS REALIZADOS'!$A$11:$E$995,4),(VLOOKUP($C75,'CUSTOS REALIZADOS'!$A$11:$E$995,5)))</f>
        <v>0.1</v>
      </c>
      <c r="AQ76" s="28">
        <f>IF(AQ75="",VLOOKUP($C75,'CUSTOS REALIZADOS'!$A$11:$E$995,4),(VLOOKUP($C75,'CUSTOS REALIZADOS'!$A$11:$E$995,5)))</f>
        <v>0.1</v>
      </c>
      <c r="AR76" s="28">
        <f>IF(AR75="",VLOOKUP($C75,'CUSTOS REALIZADOS'!$A$11:$E$995,4),(VLOOKUP($C75,'CUSTOS REALIZADOS'!$A$11:$E$995,5)))</f>
        <v>0.1</v>
      </c>
      <c r="AS76" s="28">
        <f>IF(AS75="",VLOOKUP($C75,'CUSTOS REALIZADOS'!$A$11:$E$995,4),(VLOOKUP($C75,'CUSTOS REALIZADOS'!$A$11:$E$995,5)))</f>
        <v>0.1</v>
      </c>
      <c r="AT76" s="28">
        <f>IF(AT75="",VLOOKUP($C75,'CUSTOS REALIZADOS'!$A$11:$E$995,4),(VLOOKUP($C75,'CUSTOS REALIZADOS'!$A$11:$E$995,5)))</f>
        <v>0.1</v>
      </c>
      <c r="AU76" s="28">
        <f>IF(AU75="",VLOOKUP($C75,'CUSTOS REALIZADOS'!$A$11:$E$995,4),(VLOOKUP($C75,'CUSTOS REALIZADOS'!$A$11:$E$995,5)))</f>
        <v>0.1</v>
      </c>
      <c r="AV76" s="28">
        <f>IF(AV75="",VLOOKUP($C75,'CUSTOS REALIZADOS'!$A$11:$E$995,4),(VLOOKUP($C75,'CUSTOS REALIZADOS'!$A$11:$E$995,5)))</f>
        <v>0.1</v>
      </c>
      <c r="AW76" s="28">
        <f>IF(AW75="",VLOOKUP($C75,'CUSTOS REALIZADOS'!$A$11:$E$995,4),(VLOOKUP($C75,'CUSTOS REALIZADOS'!$A$11:$E$995,5)))</f>
        <v>0.1</v>
      </c>
      <c r="AX76" s="28">
        <f>IF(AX75="",VLOOKUP($C75,'CUSTOS REALIZADOS'!$A$11:$E$995,4),(VLOOKUP($C75,'CUSTOS REALIZADOS'!$A$11:$E$995,5)))</f>
        <v>0.1</v>
      </c>
      <c r="AY76" s="28">
        <f>IF(AY75="",VLOOKUP($C75,'CUSTOS REALIZADOS'!$A$11:$E$995,4),(VLOOKUP($C75,'CUSTOS REALIZADOS'!$A$11:$E$995,5)))</f>
        <v>0.1</v>
      </c>
      <c r="AZ76" s="28">
        <f>IF(AZ75="",VLOOKUP($C75,'CUSTOS REALIZADOS'!$A$11:$E$995,4),(VLOOKUP($C75,'CUSTOS REALIZADOS'!$A$11:$E$995,5)))</f>
        <v>0.1</v>
      </c>
      <c r="BA76" s="28">
        <f>IF(BA75="",VLOOKUP($C75,'CUSTOS REALIZADOS'!$A$11:$E$995,4),(VLOOKUP($C75,'CUSTOS REALIZADOS'!$A$11:$E$995,5)))</f>
        <v>0.1</v>
      </c>
      <c r="BB76" s="28">
        <f>IF(BB75="",VLOOKUP($C75,'CUSTOS REALIZADOS'!$A$11:$E$995,4),(VLOOKUP($C75,'CUSTOS REALIZADOS'!$A$11:$E$995,5)))</f>
        <v>0.1</v>
      </c>
      <c r="BC76" s="28">
        <f>IF(BC75="",VLOOKUP($C75,'CUSTOS REALIZADOS'!$A$11:$E$995,4),(VLOOKUP($C75,'CUSTOS REALIZADOS'!$A$11:$E$995,5)))</f>
        <v>0.1</v>
      </c>
      <c r="BD76" s="28">
        <f>IF(BD75="",VLOOKUP($C75,'CUSTOS REALIZADOS'!$A$11:$E$995,4),(VLOOKUP($C75,'CUSTOS REALIZADOS'!$A$11:$E$995,5)))</f>
        <v>0.1</v>
      </c>
      <c r="BE76" s="28">
        <f>IF(BE75="",VLOOKUP($C75,'CUSTOS REALIZADOS'!$A$11:$E$995,4),(VLOOKUP($C75,'CUSTOS REALIZADOS'!$A$11:$E$995,5)))</f>
        <v>0.1</v>
      </c>
      <c r="BF76" s="28">
        <f>IF(BF75="",VLOOKUP($C75,'CUSTOS REALIZADOS'!$A$11:$E$995,4),(VLOOKUP($C75,'CUSTOS REALIZADOS'!$A$11:$E$995,5)))</f>
        <v>0.1</v>
      </c>
      <c r="BG76" s="28">
        <f>IF(BG75="",VLOOKUP($C75,'CUSTOS REALIZADOS'!$A$11:$E$995,4),(VLOOKUP($C75,'CUSTOS REALIZADOS'!$A$11:$E$995,5)))</f>
        <v>0.1</v>
      </c>
      <c r="BH76" s="28">
        <f>IF(BH75="",VLOOKUP($C75,'CUSTOS REALIZADOS'!$A$11:$E$995,4),(VLOOKUP($C75,'CUSTOS REALIZADOS'!$A$11:$E$995,5)))</f>
        <v>0.1</v>
      </c>
      <c r="BI76" s="28">
        <f>IF(BI75="",VLOOKUP($C75,'CUSTOS REALIZADOS'!$A$11:$E$995,4),(VLOOKUP($C75,'CUSTOS REALIZADOS'!$A$11:$E$995,5)))</f>
        <v>0.1</v>
      </c>
      <c r="BJ76" s="28">
        <f>IF(BJ75="",VLOOKUP($C75,'CUSTOS REALIZADOS'!$A$11:$E$995,4),(VLOOKUP($C75,'CUSTOS REALIZADOS'!$A$11:$E$995,5)))</f>
        <v>0.1</v>
      </c>
      <c r="BK76" s="28">
        <f>IF(BK75="",VLOOKUP($C75,'CUSTOS REALIZADOS'!$A$11:$E$995,4),(VLOOKUP($C75,'CUSTOS REALIZADOS'!$A$11:$E$995,5)))</f>
        <v>0.1</v>
      </c>
      <c r="BL76" s="28">
        <f>IF(BL75="",VLOOKUP($C75,'CUSTOS REALIZADOS'!$A$11:$E$995,4),(VLOOKUP($C75,'CUSTOS REALIZADOS'!$A$11:$E$995,5)))</f>
        <v>0.1</v>
      </c>
      <c r="BM76" s="28">
        <f>IF(BM75="",VLOOKUP($C75,'CUSTOS REALIZADOS'!$A$11:$E$995,4),(VLOOKUP($C75,'CUSTOS REALIZADOS'!$A$11:$E$995,5)))</f>
        <v>0.1</v>
      </c>
      <c r="BN76" s="28">
        <f>IF(BN75="",VLOOKUP($C75,'CUSTOS REALIZADOS'!$A$11:$E$995,4),(VLOOKUP($C75,'CUSTOS REALIZADOS'!$A$11:$E$995,5)))</f>
        <v>0.1</v>
      </c>
    </row>
    <row r="77" spans="3:66" x14ac:dyDescent="0.2">
      <c r="C77" s="322"/>
      <c r="D77" s="23" t="s">
        <v>6</v>
      </c>
      <c r="E77" s="27">
        <f t="shared" si="404"/>
        <v>95000</v>
      </c>
      <c r="F77" s="23">
        <f>IF(AND($C75&gt;=F$6,OR($C75&lt;F$8,F$8="")),F$7*F$28,0)</f>
        <v>0</v>
      </c>
      <c r="G77" s="23">
        <f t="shared" ref="G77:BN77" si="417">IF(AND($C75&gt;=G$6,OR($C75&lt;G$8,G$8="")),G$7*G$28,0)</f>
        <v>45000</v>
      </c>
      <c r="H77" s="23">
        <f t="shared" si="417"/>
        <v>50000</v>
      </c>
      <c r="I77" s="23">
        <f t="shared" si="417"/>
        <v>0</v>
      </c>
      <c r="J77" s="23">
        <f t="shared" si="417"/>
        <v>0</v>
      </c>
      <c r="K77" s="23">
        <f t="shared" si="417"/>
        <v>0</v>
      </c>
      <c r="L77" s="23">
        <f t="shared" si="417"/>
        <v>0</v>
      </c>
      <c r="M77" s="23">
        <f t="shared" si="417"/>
        <v>0</v>
      </c>
      <c r="N77" s="23">
        <f t="shared" si="417"/>
        <v>0</v>
      </c>
      <c r="O77" s="23">
        <f t="shared" si="417"/>
        <v>0</v>
      </c>
      <c r="P77" s="23">
        <f t="shared" si="417"/>
        <v>0</v>
      </c>
      <c r="Q77" s="23">
        <f t="shared" si="417"/>
        <v>0</v>
      </c>
      <c r="R77" s="23">
        <f t="shared" si="417"/>
        <v>0</v>
      </c>
      <c r="S77" s="23">
        <f t="shared" si="417"/>
        <v>0</v>
      </c>
      <c r="T77" s="23">
        <f t="shared" si="417"/>
        <v>0</v>
      </c>
      <c r="U77" s="23">
        <f t="shared" si="417"/>
        <v>0</v>
      </c>
      <c r="V77" s="23">
        <f t="shared" si="417"/>
        <v>0</v>
      </c>
      <c r="W77" s="23">
        <f t="shared" si="417"/>
        <v>0</v>
      </c>
      <c r="X77" s="23">
        <f t="shared" si="417"/>
        <v>0</v>
      </c>
      <c r="Y77" s="23">
        <f t="shared" si="417"/>
        <v>0</v>
      </c>
      <c r="Z77" s="23">
        <f t="shared" si="417"/>
        <v>0</v>
      </c>
      <c r="AA77" s="23">
        <f t="shared" si="417"/>
        <v>0</v>
      </c>
      <c r="AB77" s="23">
        <f t="shared" si="417"/>
        <v>0</v>
      </c>
      <c r="AC77" s="23">
        <f t="shared" si="417"/>
        <v>0</v>
      </c>
      <c r="AD77" s="23">
        <f t="shared" si="417"/>
        <v>0</v>
      </c>
      <c r="AE77" s="23">
        <f t="shared" si="417"/>
        <v>0</v>
      </c>
      <c r="AF77" s="23">
        <f t="shared" si="417"/>
        <v>0</v>
      </c>
      <c r="AG77" s="23">
        <f t="shared" si="417"/>
        <v>0</v>
      </c>
      <c r="AH77" s="23">
        <f t="shared" si="417"/>
        <v>0</v>
      </c>
      <c r="AI77" s="23">
        <f t="shared" si="417"/>
        <v>0</v>
      </c>
      <c r="AJ77" s="23">
        <f t="shared" si="417"/>
        <v>0</v>
      </c>
      <c r="AK77" s="23">
        <f t="shared" si="417"/>
        <v>0</v>
      </c>
      <c r="AL77" s="23">
        <f t="shared" si="417"/>
        <v>0</v>
      </c>
      <c r="AM77" s="23">
        <f t="shared" si="417"/>
        <v>0</v>
      </c>
      <c r="AN77" s="23">
        <f t="shared" si="417"/>
        <v>0</v>
      </c>
      <c r="AO77" s="23">
        <f t="shared" si="417"/>
        <v>0</v>
      </c>
      <c r="AP77" s="23">
        <f t="shared" si="417"/>
        <v>0</v>
      </c>
      <c r="AQ77" s="23">
        <f t="shared" si="417"/>
        <v>0</v>
      </c>
      <c r="AR77" s="23">
        <f t="shared" si="417"/>
        <v>0</v>
      </c>
      <c r="AS77" s="23">
        <f t="shared" si="417"/>
        <v>0</v>
      </c>
      <c r="AT77" s="23">
        <f t="shared" si="417"/>
        <v>0</v>
      </c>
      <c r="AU77" s="23">
        <f t="shared" si="417"/>
        <v>0</v>
      </c>
      <c r="AV77" s="23">
        <f t="shared" si="417"/>
        <v>0</v>
      </c>
      <c r="AW77" s="23">
        <f t="shared" si="417"/>
        <v>0</v>
      </c>
      <c r="AX77" s="23">
        <f t="shared" si="417"/>
        <v>0</v>
      </c>
      <c r="AY77" s="23">
        <f t="shared" si="417"/>
        <v>0</v>
      </c>
      <c r="AZ77" s="23">
        <f t="shared" si="417"/>
        <v>0</v>
      </c>
      <c r="BA77" s="23">
        <f t="shared" si="417"/>
        <v>0</v>
      </c>
      <c r="BB77" s="23">
        <f t="shared" si="417"/>
        <v>0</v>
      </c>
      <c r="BC77" s="23">
        <f t="shared" si="417"/>
        <v>0</v>
      </c>
      <c r="BD77" s="23">
        <f t="shared" si="417"/>
        <v>0</v>
      </c>
      <c r="BE77" s="23">
        <f t="shared" si="417"/>
        <v>0</v>
      </c>
      <c r="BF77" s="23">
        <f t="shared" si="417"/>
        <v>0</v>
      </c>
      <c r="BG77" s="23">
        <f t="shared" si="417"/>
        <v>0</v>
      </c>
      <c r="BH77" s="23">
        <f t="shared" si="417"/>
        <v>0</v>
      </c>
      <c r="BI77" s="23">
        <f t="shared" si="417"/>
        <v>0</v>
      </c>
      <c r="BJ77" s="23">
        <f t="shared" si="417"/>
        <v>0</v>
      </c>
      <c r="BK77" s="23">
        <f t="shared" si="417"/>
        <v>0</v>
      </c>
      <c r="BL77" s="23">
        <f t="shared" si="417"/>
        <v>0</v>
      </c>
      <c r="BM77" s="23">
        <f t="shared" si="417"/>
        <v>0</v>
      </c>
      <c r="BN77" s="23">
        <f t="shared" si="417"/>
        <v>0</v>
      </c>
    </row>
    <row r="78" spans="3:66" x14ac:dyDescent="0.2">
      <c r="C78" s="322"/>
      <c r="D78" s="23" t="s">
        <v>9</v>
      </c>
      <c r="E78" s="27">
        <f t="shared" si="404"/>
        <v>0</v>
      </c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</row>
    <row r="79" spans="3:66" x14ac:dyDescent="0.2">
      <c r="C79" s="322"/>
      <c r="D79" s="23" t="s">
        <v>14</v>
      </c>
      <c r="E79" s="27">
        <f>SUM(F79:AY79)</f>
        <v>871278.71942274435</v>
      </c>
      <c r="F79" s="23">
        <f>IF(F74=0,F75-F78,F74-F78)</f>
        <v>-152.88273722104654</v>
      </c>
      <c r="G79" s="23">
        <f t="shared" ref="G79" si="418">IF(G74=0,G75-G78,G74-G78)</f>
        <v>412783.39049682574</v>
      </c>
      <c r="H79" s="23">
        <f t="shared" ref="H79" si="419">IF(H74=0,H75-H78,H74-H78)</f>
        <v>458648.21166313969</v>
      </c>
      <c r="I79" s="23">
        <f t="shared" ref="I79" si="420">IF(I74=0,I75-I78,I74-I78)</f>
        <v>0</v>
      </c>
      <c r="J79" s="23">
        <f t="shared" ref="J79" si="421">IF(J74=0,J75-J78,J74-J78)</f>
        <v>0</v>
      </c>
      <c r="K79" s="23">
        <f t="shared" ref="K79" si="422">IF(K74=0,K75-K78,K74-K78)</f>
        <v>0</v>
      </c>
      <c r="L79" s="23">
        <f t="shared" ref="L79" si="423">IF(L74=0,L75-L78,L74-L78)</f>
        <v>0</v>
      </c>
      <c r="M79" s="23">
        <f t="shared" ref="M79" si="424">IF(M74=0,M75-M78,M74-M78)</f>
        <v>0</v>
      </c>
      <c r="N79" s="23">
        <f t="shared" ref="N79" si="425">IF(N74=0,N75-N78,N74-N78)</f>
        <v>0</v>
      </c>
      <c r="O79" s="23">
        <f t="shared" ref="O79" si="426">IF(O74=0,O75-O78,O74-O78)</f>
        <v>0</v>
      </c>
      <c r="P79" s="23">
        <f t="shared" ref="P79" si="427">IF(P74=0,P75-P78,P74-P78)</f>
        <v>0</v>
      </c>
      <c r="Q79" s="23">
        <f t="shared" ref="Q79" si="428">IF(Q74=0,Q75-Q78,Q74-Q78)</f>
        <v>0</v>
      </c>
      <c r="R79" s="23">
        <f t="shared" ref="R79" si="429">IF(R74=0,R75-R78,R74-R78)</f>
        <v>0</v>
      </c>
      <c r="S79" s="23">
        <f t="shared" ref="S79" si="430">IF(S74=0,S75-S78,S74-S78)</f>
        <v>0</v>
      </c>
      <c r="T79" s="23">
        <f t="shared" ref="T79" si="431">IF(T74=0,T75-T78,T74-T78)</f>
        <v>0</v>
      </c>
      <c r="U79" s="23">
        <f t="shared" ref="U79" si="432">IF(U74=0,U75-U78,U74-U78)</f>
        <v>0</v>
      </c>
      <c r="V79" s="23">
        <f t="shared" ref="V79" si="433">IF(V74=0,V75-V78,V74-V78)</f>
        <v>0</v>
      </c>
      <c r="W79" s="23">
        <f t="shared" ref="W79" si="434">IF(W74=0,W75-W78,W74-W78)</f>
        <v>0</v>
      </c>
      <c r="X79" s="23">
        <f t="shared" ref="X79" si="435">IF(X74=0,X75-X78,X74-X78)</f>
        <v>0</v>
      </c>
      <c r="Y79" s="23">
        <f t="shared" ref="Y79" si="436">IF(Y74=0,Y75-Y78,Y74-Y78)</f>
        <v>0</v>
      </c>
      <c r="Z79" s="23">
        <f t="shared" ref="Z79" si="437">IF(Z74=0,Z75-Z78,Z74-Z78)</f>
        <v>0</v>
      </c>
      <c r="AA79" s="23">
        <f t="shared" ref="AA79" si="438">IF(AA74=0,AA75-AA78,AA74-AA78)</f>
        <v>0</v>
      </c>
      <c r="AB79" s="23">
        <f t="shared" ref="AB79" si="439">IF(AB74=0,AB75-AB78,AB74-AB78)</f>
        <v>0</v>
      </c>
      <c r="AC79" s="23">
        <f t="shared" ref="AC79" si="440">IF(AC74=0,AC75-AC78,AC74-AC78)</f>
        <v>0</v>
      </c>
      <c r="AD79" s="23">
        <f t="shared" ref="AD79" si="441">IF(AD74=0,AD75-AD78,AD74-AD78)</f>
        <v>0</v>
      </c>
      <c r="AE79" s="23">
        <f t="shared" ref="AE79" si="442">IF(AE74=0,AE75-AE78,AE74-AE78)</f>
        <v>0</v>
      </c>
      <c r="AF79" s="23">
        <f t="shared" ref="AF79" si="443">IF(AF74=0,AF75-AF78,AF74-AF78)</f>
        <v>0</v>
      </c>
      <c r="AG79" s="23">
        <f t="shared" ref="AG79" si="444">IF(AG74=0,AG75-AG78,AG74-AG78)</f>
        <v>0</v>
      </c>
      <c r="AH79" s="23">
        <f t="shared" ref="AH79" si="445">IF(AH74=0,AH75-AH78,AH74-AH78)</f>
        <v>0</v>
      </c>
      <c r="AI79" s="23">
        <f t="shared" ref="AI79" si="446">IF(AI74=0,AI75-AI78,AI74-AI78)</f>
        <v>0</v>
      </c>
      <c r="AJ79" s="23">
        <f t="shared" ref="AJ79" si="447">IF(AJ74=0,AJ75-AJ78,AJ74-AJ78)</f>
        <v>0</v>
      </c>
      <c r="AK79" s="23">
        <f t="shared" ref="AK79" si="448">IF(AK74=0,AK75-AK78,AK74-AK78)</f>
        <v>0</v>
      </c>
      <c r="AL79" s="23">
        <f t="shared" ref="AL79" si="449">IF(AL74=0,AL75-AL78,AL74-AL78)</f>
        <v>0</v>
      </c>
      <c r="AM79" s="23">
        <f t="shared" ref="AM79" si="450">IF(AM74=0,AM75-AM78,AM74-AM78)</f>
        <v>0</v>
      </c>
      <c r="AN79" s="23">
        <f t="shared" ref="AN79" si="451">IF(AN74=0,AN75-AN78,AN74-AN78)</f>
        <v>0</v>
      </c>
      <c r="AO79" s="23">
        <f t="shared" ref="AO79" si="452">IF(AO74=0,AO75-AO78,AO74-AO78)</f>
        <v>0</v>
      </c>
      <c r="AP79" s="23">
        <f t="shared" ref="AP79" si="453">IF(AP74=0,AP75-AP78,AP74-AP78)</f>
        <v>0</v>
      </c>
      <c r="AQ79" s="23">
        <f t="shared" ref="AQ79" si="454">IF(AQ74=0,AQ75-AQ78,AQ74-AQ78)</f>
        <v>0</v>
      </c>
      <c r="AR79" s="23">
        <f t="shared" ref="AR79" si="455">IF(AR74=0,AR75-AR78,AR74-AR78)</f>
        <v>0</v>
      </c>
      <c r="AS79" s="23">
        <f t="shared" ref="AS79" si="456">IF(AS74=0,AS75-AS78,AS74-AS78)</f>
        <v>0</v>
      </c>
      <c r="AT79" s="23">
        <f t="shared" ref="AT79" si="457">IF(AT74=0,AT75-AT78,AT74-AT78)</f>
        <v>0</v>
      </c>
      <c r="AU79" s="23">
        <f t="shared" ref="AU79" si="458">IF(AU74=0,AU75-AU78,AU74-AU78)</f>
        <v>0</v>
      </c>
      <c r="AV79" s="23">
        <f t="shared" ref="AV79" si="459">IF(AV74=0,AV75-AV78,AV74-AV78)</f>
        <v>0</v>
      </c>
      <c r="AW79" s="23">
        <f t="shared" ref="AW79" si="460">IF(AW74=0,AW75-AW78,AW74-AW78)</f>
        <v>0</v>
      </c>
      <c r="AX79" s="23">
        <f t="shared" ref="AX79" si="461">IF(AX74=0,AX75-AX78,AX74-AX78)</f>
        <v>0</v>
      </c>
      <c r="AY79" s="23">
        <f t="shared" ref="AY79" si="462">IF(AY74=0,AY75-AY78,AY74-AY78)</f>
        <v>0</v>
      </c>
      <c r="AZ79" s="23">
        <f t="shared" ref="AZ79" si="463">IF(AZ74=0,AZ75-AZ78,AZ74-AZ78)</f>
        <v>0</v>
      </c>
      <c r="BA79" s="23">
        <f t="shared" ref="BA79" si="464">IF(BA74=0,BA75-BA78,BA74-BA78)</f>
        <v>0</v>
      </c>
      <c r="BB79" s="23">
        <f t="shared" ref="BB79" si="465">IF(BB74=0,BB75-BB78,BB74-BB78)</f>
        <v>0</v>
      </c>
      <c r="BC79" s="23">
        <f t="shared" ref="BC79" si="466">IF(BC74=0,BC75-BC78,BC74-BC78)</f>
        <v>0</v>
      </c>
      <c r="BD79" s="23">
        <f t="shared" ref="BD79" si="467">IF(BD74=0,BD75-BD78,BD74-BD78)</f>
        <v>0</v>
      </c>
      <c r="BE79" s="23">
        <f t="shared" ref="BE79" si="468">IF(BE74=0,BE75-BE78,BE74-BE78)</f>
        <v>0</v>
      </c>
      <c r="BF79" s="23">
        <f t="shared" ref="BF79" si="469">IF(BF74=0,BF75-BF78,BF74-BF78)</f>
        <v>0</v>
      </c>
      <c r="BG79" s="23">
        <f t="shared" ref="BG79" si="470">IF(BG74=0,BG75-BG78,BG74-BG78)</f>
        <v>0</v>
      </c>
      <c r="BH79" s="23">
        <f t="shared" ref="BH79" si="471">IF(BH74=0,BH75-BH78,BH74-BH78)</f>
        <v>0</v>
      </c>
      <c r="BI79" s="23">
        <f t="shared" ref="BI79" si="472">IF(BI74=0,BI75-BI78,BI74-BI78)</f>
        <v>0</v>
      </c>
      <c r="BJ79" s="23">
        <f t="shared" ref="BJ79" si="473">IF(BJ74=0,BJ75-BJ78,BJ74-BJ78)</f>
        <v>0</v>
      </c>
      <c r="BK79" s="23">
        <f t="shared" ref="BK79" si="474">IF(BK74=0,BK75-BK78,BK74-BK78)</f>
        <v>0</v>
      </c>
      <c r="BL79" s="23">
        <f t="shared" ref="BL79" si="475">IF(BL74=0,BL75-BL78,BL74-BL78)</f>
        <v>0</v>
      </c>
      <c r="BM79" s="23">
        <f t="shared" ref="BM79" si="476">IF(BM74=0,BM75-BM78,BM74-BM78)</f>
        <v>0</v>
      </c>
      <c r="BN79" s="23">
        <f t="shared" ref="BN79" si="477">IF(BN74=0,BN75-BN78,BN74-BN78)</f>
        <v>0</v>
      </c>
    </row>
    <row r="80" spans="3:66" x14ac:dyDescent="0.2">
      <c r="C80" s="322"/>
      <c r="D80" s="23" t="s">
        <v>10</v>
      </c>
      <c r="E80" s="72">
        <v>1.8E-3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</row>
    <row r="81" spans="3:66" x14ac:dyDescent="0.2">
      <c r="C81" s="322"/>
      <c r="D81" s="23" t="s">
        <v>12</v>
      </c>
      <c r="E81" s="27">
        <f t="shared" ref="E81:E86" si="478">SUM(F81:BN81)</f>
        <v>0</v>
      </c>
      <c r="F81" s="29">
        <f>+F79*F80</f>
        <v>0</v>
      </c>
      <c r="G81" s="29">
        <f>+G79*G80</f>
        <v>0</v>
      </c>
      <c r="H81" s="29">
        <f>+H79*H80</f>
        <v>0</v>
      </c>
      <c r="I81" s="29">
        <f t="shared" ref="I81:O81" si="479">+I79*I80</f>
        <v>0</v>
      </c>
      <c r="J81" s="29">
        <f t="shared" si="479"/>
        <v>0</v>
      </c>
      <c r="K81" s="29">
        <f t="shared" si="479"/>
        <v>0</v>
      </c>
      <c r="L81" s="29">
        <f t="shared" si="479"/>
        <v>0</v>
      </c>
      <c r="M81" s="29">
        <f t="shared" si="479"/>
        <v>0</v>
      </c>
      <c r="N81" s="29">
        <f t="shared" si="479"/>
        <v>0</v>
      </c>
      <c r="O81" s="29">
        <f t="shared" si="479"/>
        <v>0</v>
      </c>
      <c r="P81" s="29">
        <f>+P79*P80</f>
        <v>0</v>
      </c>
      <c r="Q81" s="29">
        <f t="shared" ref="Q81" si="480">+Q79*Q80</f>
        <v>0</v>
      </c>
      <c r="R81" s="29">
        <f>+R79*R80</f>
        <v>0</v>
      </c>
      <c r="S81" s="29">
        <f>+S79*S80</f>
        <v>0</v>
      </c>
      <c r="T81" s="29">
        <f t="shared" ref="T81" si="481">+T79*T80</f>
        <v>0</v>
      </c>
      <c r="U81" s="29">
        <f>+U79*U80</f>
        <v>0</v>
      </c>
      <c r="V81" s="29">
        <f t="shared" ref="V81:X81" si="482">+V79*V80</f>
        <v>0</v>
      </c>
      <c r="W81" s="29">
        <f t="shared" si="482"/>
        <v>0</v>
      </c>
      <c r="X81" s="29">
        <f t="shared" si="482"/>
        <v>0</v>
      </c>
      <c r="Y81" s="29">
        <v>0</v>
      </c>
      <c r="Z81" s="29">
        <f>+Z79*Z80</f>
        <v>0</v>
      </c>
      <c r="AA81" s="29">
        <v>0</v>
      </c>
      <c r="AB81" s="29">
        <f t="shared" ref="AB81:AD81" si="483">+AB79*AB80</f>
        <v>0</v>
      </c>
      <c r="AC81" s="29">
        <f t="shared" si="483"/>
        <v>0</v>
      </c>
      <c r="AD81" s="29">
        <f t="shared" si="483"/>
        <v>0</v>
      </c>
      <c r="AE81" s="29">
        <v>0</v>
      </c>
      <c r="AF81" s="29">
        <f>+AF79*AF80</f>
        <v>0</v>
      </c>
      <c r="AG81" s="29">
        <f t="shared" ref="AG81:AP81" si="484">+AG79*AG80</f>
        <v>0</v>
      </c>
      <c r="AH81" s="29">
        <f t="shared" si="484"/>
        <v>0</v>
      </c>
      <c r="AI81" s="29">
        <f t="shared" si="484"/>
        <v>0</v>
      </c>
      <c r="AJ81" s="29">
        <f t="shared" si="484"/>
        <v>0</v>
      </c>
      <c r="AK81" s="29">
        <f t="shared" si="484"/>
        <v>0</v>
      </c>
      <c r="AL81" s="29">
        <f t="shared" si="484"/>
        <v>0</v>
      </c>
      <c r="AM81" s="29">
        <f t="shared" si="484"/>
        <v>0</v>
      </c>
      <c r="AN81" s="29">
        <f t="shared" si="484"/>
        <v>0</v>
      </c>
      <c r="AO81" s="29">
        <f t="shared" si="484"/>
        <v>0</v>
      </c>
      <c r="AP81" s="29">
        <f t="shared" si="484"/>
        <v>0</v>
      </c>
      <c r="AQ81" s="29">
        <f>+AQ79*AQ80</f>
        <v>0</v>
      </c>
      <c r="AR81" s="29">
        <f>+AR79*AR80</f>
        <v>0</v>
      </c>
      <c r="AS81" s="29">
        <f t="shared" ref="AS81:AU81" si="485">+AS79*AS80</f>
        <v>0</v>
      </c>
      <c r="AT81" s="29">
        <f t="shared" si="485"/>
        <v>0</v>
      </c>
      <c r="AU81" s="29">
        <f t="shared" si="485"/>
        <v>0</v>
      </c>
      <c r="AV81" s="29">
        <v>0</v>
      </c>
      <c r="AW81" s="29">
        <f t="shared" ref="AW81" si="486">+AW79*AW80</f>
        <v>0</v>
      </c>
      <c r="AX81" s="29">
        <v>0</v>
      </c>
      <c r="AY81" s="29">
        <f>+AY79*AY80</f>
        <v>0</v>
      </c>
      <c r="AZ81" s="29">
        <v>0</v>
      </c>
      <c r="BA81" s="29">
        <f t="shared" ref="BA81" si="487">+BA79*BA80</f>
        <v>0</v>
      </c>
      <c r="BB81" s="29">
        <f t="shared" ref="BB81:BN81" si="488">+BB79*BB80</f>
        <v>0</v>
      </c>
      <c r="BC81" s="29">
        <f t="shared" si="488"/>
        <v>0</v>
      </c>
      <c r="BD81" s="29">
        <f t="shared" si="488"/>
        <v>0</v>
      </c>
      <c r="BE81" s="29">
        <f t="shared" si="488"/>
        <v>0</v>
      </c>
      <c r="BF81" s="29">
        <v>0</v>
      </c>
      <c r="BG81" s="29">
        <v>0</v>
      </c>
      <c r="BH81" s="29">
        <v>0</v>
      </c>
      <c r="BI81" s="29">
        <f t="shared" si="488"/>
        <v>0</v>
      </c>
      <c r="BJ81" s="29">
        <f t="shared" si="488"/>
        <v>0</v>
      </c>
      <c r="BK81" s="29">
        <f t="shared" si="488"/>
        <v>0</v>
      </c>
      <c r="BL81" s="29">
        <f t="shared" si="488"/>
        <v>0</v>
      </c>
      <c r="BM81" s="29">
        <f t="shared" si="488"/>
        <v>0</v>
      </c>
      <c r="BN81" s="29">
        <f t="shared" si="488"/>
        <v>0</v>
      </c>
    </row>
    <row r="82" spans="3:66" ht="13.5" thickBot="1" x14ac:dyDescent="0.25">
      <c r="C82" s="323"/>
      <c r="D82" s="25" t="s">
        <v>11</v>
      </c>
      <c r="E82" s="30">
        <f t="shared" si="478"/>
        <v>871278.71942274435</v>
      </c>
      <c r="F82" s="46">
        <f>+F79+F81</f>
        <v>-152.88273722104654</v>
      </c>
      <c r="G82" s="46">
        <f>+G79+G81</f>
        <v>412783.39049682574</v>
      </c>
      <c r="H82" s="46">
        <f>+H79+H81</f>
        <v>458648.21166313969</v>
      </c>
      <c r="I82" s="46">
        <f t="shared" ref="I82:AU82" si="489">+I79+I81</f>
        <v>0</v>
      </c>
      <c r="J82" s="46">
        <f t="shared" si="489"/>
        <v>0</v>
      </c>
      <c r="K82" s="46">
        <f t="shared" si="489"/>
        <v>0</v>
      </c>
      <c r="L82" s="46">
        <f t="shared" si="489"/>
        <v>0</v>
      </c>
      <c r="M82" s="46">
        <f t="shared" si="489"/>
        <v>0</v>
      </c>
      <c r="N82" s="46">
        <f t="shared" si="489"/>
        <v>0</v>
      </c>
      <c r="O82" s="46">
        <f t="shared" si="489"/>
        <v>0</v>
      </c>
      <c r="P82" s="46">
        <f t="shared" si="489"/>
        <v>0</v>
      </c>
      <c r="Q82" s="46">
        <f t="shared" si="489"/>
        <v>0</v>
      </c>
      <c r="R82" s="46">
        <f t="shared" si="489"/>
        <v>0</v>
      </c>
      <c r="S82" s="46">
        <f t="shared" si="489"/>
        <v>0</v>
      </c>
      <c r="T82" s="46">
        <f t="shared" si="489"/>
        <v>0</v>
      </c>
      <c r="U82" s="46">
        <f t="shared" si="489"/>
        <v>0</v>
      </c>
      <c r="V82" s="46">
        <f t="shared" si="489"/>
        <v>0</v>
      </c>
      <c r="W82" s="46">
        <f t="shared" si="489"/>
        <v>0</v>
      </c>
      <c r="X82" s="46">
        <f t="shared" si="489"/>
        <v>0</v>
      </c>
      <c r="Y82" s="46">
        <f t="shared" si="489"/>
        <v>0</v>
      </c>
      <c r="Z82" s="46">
        <f t="shared" si="489"/>
        <v>0</v>
      </c>
      <c r="AA82" s="46">
        <f t="shared" si="489"/>
        <v>0</v>
      </c>
      <c r="AB82" s="46">
        <f t="shared" si="489"/>
        <v>0</v>
      </c>
      <c r="AC82" s="46">
        <f t="shared" si="489"/>
        <v>0</v>
      </c>
      <c r="AD82" s="46">
        <f t="shared" si="489"/>
        <v>0</v>
      </c>
      <c r="AE82" s="46">
        <f t="shared" si="489"/>
        <v>0</v>
      </c>
      <c r="AF82" s="46">
        <f t="shared" si="489"/>
        <v>0</v>
      </c>
      <c r="AG82" s="46">
        <f t="shared" si="489"/>
        <v>0</v>
      </c>
      <c r="AH82" s="46">
        <f t="shared" si="489"/>
        <v>0</v>
      </c>
      <c r="AI82" s="46">
        <f t="shared" si="489"/>
        <v>0</v>
      </c>
      <c r="AJ82" s="46">
        <f t="shared" si="489"/>
        <v>0</v>
      </c>
      <c r="AK82" s="46">
        <f t="shared" si="489"/>
        <v>0</v>
      </c>
      <c r="AL82" s="46">
        <f t="shared" si="489"/>
        <v>0</v>
      </c>
      <c r="AM82" s="46">
        <f t="shared" si="489"/>
        <v>0</v>
      </c>
      <c r="AN82" s="46">
        <f t="shared" si="489"/>
        <v>0</v>
      </c>
      <c r="AO82" s="46">
        <f t="shared" si="489"/>
        <v>0</v>
      </c>
      <c r="AP82" s="46">
        <f t="shared" si="489"/>
        <v>0</v>
      </c>
      <c r="AQ82" s="46">
        <f t="shared" si="489"/>
        <v>0</v>
      </c>
      <c r="AR82" s="46">
        <f t="shared" si="489"/>
        <v>0</v>
      </c>
      <c r="AS82" s="46">
        <f t="shared" si="489"/>
        <v>0</v>
      </c>
      <c r="AT82" s="46">
        <f t="shared" si="489"/>
        <v>0</v>
      </c>
      <c r="AU82" s="46">
        <f t="shared" si="489"/>
        <v>0</v>
      </c>
      <c r="AV82" s="46">
        <f>+AV79+AV81</f>
        <v>0</v>
      </c>
      <c r="AW82" s="46">
        <f t="shared" ref="AW82:BN82" si="490">+AW79+AW81</f>
        <v>0</v>
      </c>
      <c r="AX82" s="46">
        <f t="shared" si="490"/>
        <v>0</v>
      </c>
      <c r="AY82" s="46">
        <f t="shared" si="490"/>
        <v>0</v>
      </c>
      <c r="AZ82" s="46">
        <f t="shared" si="490"/>
        <v>0</v>
      </c>
      <c r="BA82" s="46">
        <f t="shared" si="490"/>
        <v>0</v>
      </c>
      <c r="BB82" s="46">
        <f t="shared" si="490"/>
        <v>0</v>
      </c>
      <c r="BC82" s="46">
        <f t="shared" si="490"/>
        <v>0</v>
      </c>
      <c r="BD82" s="46">
        <f t="shared" si="490"/>
        <v>0</v>
      </c>
      <c r="BE82" s="46">
        <f t="shared" si="490"/>
        <v>0</v>
      </c>
      <c r="BF82" s="46">
        <f t="shared" si="490"/>
        <v>0</v>
      </c>
      <c r="BG82" s="46">
        <f t="shared" si="490"/>
        <v>0</v>
      </c>
      <c r="BH82" s="46">
        <f t="shared" si="490"/>
        <v>0</v>
      </c>
      <c r="BI82" s="46">
        <f t="shared" si="490"/>
        <v>0</v>
      </c>
      <c r="BJ82" s="46">
        <f t="shared" si="490"/>
        <v>0</v>
      </c>
      <c r="BK82" s="46">
        <f t="shared" si="490"/>
        <v>0</v>
      </c>
      <c r="BL82" s="46">
        <f t="shared" si="490"/>
        <v>0</v>
      </c>
      <c r="BM82" s="46">
        <f t="shared" si="490"/>
        <v>0</v>
      </c>
      <c r="BN82" s="46">
        <f t="shared" si="490"/>
        <v>0</v>
      </c>
    </row>
    <row r="83" spans="3:66" x14ac:dyDescent="0.2">
      <c r="C83" s="321">
        <v>43831</v>
      </c>
      <c r="D83" s="20" t="s">
        <v>5</v>
      </c>
      <c r="E83" s="50">
        <f t="shared" si="478"/>
        <v>0</v>
      </c>
      <c r="F83" s="279">
        <f>IF(F$6=$C83,F$7,0)</f>
        <v>0</v>
      </c>
      <c r="G83" s="279">
        <f t="shared" ref="G83:BN83" si="491">IF(G$6=$C83,G$7,0)</f>
        <v>0</v>
      </c>
      <c r="H83" s="279">
        <f t="shared" si="491"/>
        <v>0</v>
      </c>
      <c r="I83" s="279">
        <f t="shared" si="491"/>
        <v>0</v>
      </c>
      <c r="J83" s="279">
        <f t="shared" si="491"/>
        <v>0</v>
      </c>
      <c r="K83" s="279">
        <f t="shared" si="491"/>
        <v>0</v>
      </c>
      <c r="L83" s="279">
        <f t="shared" si="491"/>
        <v>0</v>
      </c>
      <c r="M83" s="279">
        <f t="shared" si="491"/>
        <v>0</v>
      </c>
      <c r="N83" s="279">
        <f t="shared" si="491"/>
        <v>0</v>
      </c>
      <c r="O83" s="279">
        <f t="shared" si="491"/>
        <v>0</v>
      </c>
      <c r="P83" s="279">
        <f t="shared" si="491"/>
        <v>0</v>
      </c>
      <c r="Q83" s="279">
        <f t="shared" si="491"/>
        <v>0</v>
      </c>
      <c r="R83" s="279">
        <f t="shared" si="491"/>
        <v>0</v>
      </c>
      <c r="S83" s="279">
        <f t="shared" si="491"/>
        <v>0</v>
      </c>
      <c r="T83" s="279">
        <f t="shared" si="491"/>
        <v>0</v>
      </c>
      <c r="U83" s="279">
        <f t="shared" si="491"/>
        <v>0</v>
      </c>
      <c r="V83" s="279">
        <f t="shared" si="491"/>
        <v>0</v>
      </c>
      <c r="W83" s="279">
        <f t="shared" si="491"/>
        <v>0</v>
      </c>
      <c r="X83" s="279">
        <f t="shared" si="491"/>
        <v>0</v>
      </c>
      <c r="Y83" s="279">
        <f t="shared" si="491"/>
        <v>0</v>
      </c>
      <c r="Z83" s="279">
        <f t="shared" si="491"/>
        <v>0</v>
      </c>
      <c r="AA83" s="279">
        <f t="shared" si="491"/>
        <v>0</v>
      </c>
      <c r="AB83" s="279">
        <f t="shared" si="491"/>
        <v>0</v>
      </c>
      <c r="AC83" s="279">
        <f t="shared" si="491"/>
        <v>0</v>
      </c>
      <c r="AD83" s="279">
        <f t="shared" si="491"/>
        <v>0</v>
      </c>
      <c r="AE83" s="279">
        <f t="shared" si="491"/>
        <v>0</v>
      </c>
      <c r="AF83" s="279">
        <f t="shared" si="491"/>
        <v>0</v>
      </c>
      <c r="AG83" s="279">
        <f t="shared" si="491"/>
        <v>0</v>
      </c>
      <c r="AH83" s="279">
        <f t="shared" si="491"/>
        <v>0</v>
      </c>
      <c r="AI83" s="279">
        <f t="shared" si="491"/>
        <v>0</v>
      </c>
      <c r="AJ83" s="279">
        <f t="shared" si="491"/>
        <v>0</v>
      </c>
      <c r="AK83" s="279">
        <f t="shared" si="491"/>
        <v>0</v>
      </c>
      <c r="AL83" s="279">
        <f t="shared" si="491"/>
        <v>0</v>
      </c>
      <c r="AM83" s="279">
        <f t="shared" si="491"/>
        <v>0</v>
      </c>
      <c r="AN83" s="279">
        <f t="shared" si="491"/>
        <v>0</v>
      </c>
      <c r="AO83" s="279">
        <f t="shared" si="491"/>
        <v>0</v>
      </c>
      <c r="AP83" s="279">
        <f t="shared" si="491"/>
        <v>0</v>
      </c>
      <c r="AQ83" s="279">
        <f t="shared" si="491"/>
        <v>0</v>
      </c>
      <c r="AR83" s="279">
        <f t="shared" si="491"/>
        <v>0</v>
      </c>
      <c r="AS83" s="279">
        <f t="shared" si="491"/>
        <v>0</v>
      </c>
      <c r="AT83" s="279">
        <f t="shared" si="491"/>
        <v>0</v>
      </c>
      <c r="AU83" s="279">
        <f t="shared" si="491"/>
        <v>0</v>
      </c>
      <c r="AV83" s="279">
        <f t="shared" si="491"/>
        <v>0</v>
      </c>
      <c r="AW83" s="279">
        <f t="shared" si="491"/>
        <v>0</v>
      </c>
      <c r="AX83" s="279">
        <f t="shared" si="491"/>
        <v>0</v>
      </c>
      <c r="AY83" s="279">
        <f t="shared" si="491"/>
        <v>0</v>
      </c>
      <c r="AZ83" s="279">
        <f t="shared" si="491"/>
        <v>0</v>
      </c>
      <c r="BA83" s="279">
        <f t="shared" si="491"/>
        <v>0</v>
      </c>
      <c r="BB83" s="279">
        <f t="shared" si="491"/>
        <v>0</v>
      </c>
      <c r="BC83" s="279">
        <f t="shared" si="491"/>
        <v>0</v>
      </c>
      <c r="BD83" s="279">
        <f t="shared" si="491"/>
        <v>0</v>
      </c>
      <c r="BE83" s="279">
        <f t="shared" si="491"/>
        <v>0</v>
      </c>
      <c r="BF83" s="279">
        <f t="shared" si="491"/>
        <v>0</v>
      </c>
      <c r="BG83" s="279">
        <f t="shared" si="491"/>
        <v>0</v>
      </c>
      <c r="BH83" s="279">
        <f t="shared" si="491"/>
        <v>0</v>
      </c>
      <c r="BI83" s="279">
        <f t="shared" si="491"/>
        <v>0</v>
      </c>
      <c r="BJ83" s="279">
        <f t="shared" si="491"/>
        <v>0</v>
      </c>
      <c r="BK83" s="279">
        <f t="shared" si="491"/>
        <v>0</v>
      </c>
      <c r="BL83" s="279">
        <f t="shared" si="491"/>
        <v>0</v>
      </c>
      <c r="BM83" s="279">
        <f t="shared" si="491"/>
        <v>0</v>
      </c>
      <c r="BN83" s="279">
        <f t="shared" si="491"/>
        <v>0</v>
      </c>
    </row>
    <row r="84" spans="3:66" x14ac:dyDescent="0.2">
      <c r="C84" s="322"/>
      <c r="D84" s="23" t="s">
        <v>7</v>
      </c>
      <c r="E84" s="91">
        <f t="shared" si="478"/>
        <v>6.0999999999999943</v>
      </c>
      <c r="F84" s="28">
        <f>IF(F83="",VLOOKUP($C83,'CUSTOS REALIZADOS'!$A$11:$E$995,4),(VLOOKUP($C83,'CUSTOS REALIZADOS'!$A$11:$E$995,5)))</f>
        <v>0.1</v>
      </c>
      <c r="G84" s="28">
        <f>IF(G83="",VLOOKUP($C83,'CUSTOS REALIZADOS'!$A$11:$E$995,4),(VLOOKUP($C83,'CUSTOS REALIZADOS'!$A$11:$E$995,5)))</f>
        <v>0.1</v>
      </c>
      <c r="H84" s="28">
        <f>IF(H83="",VLOOKUP($C83,'CUSTOS REALIZADOS'!$A$11:$E$995,4),(VLOOKUP($C83,'CUSTOS REALIZADOS'!$A$11:$E$995,5)))</f>
        <v>0.1</v>
      </c>
      <c r="I84" s="28">
        <f>IF(I83="",VLOOKUP($C83,'CUSTOS REALIZADOS'!$A$11:$E$995,4),(VLOOKUP($C83,'CUSTOS REALIZADOS'!$A$11:$E$995,5)))</f>
        <v>0.1</v>
      </c>
      <c r="J84" s="28">
        <f>IF(J83="",VLOOKUP($C83,'CUSTOS REALIZADOS'!$A$11:$E$995,4),(VLOOKUP($C83,'CUSTOS REALIZADOS'!$A$11:$E$995,5)))</f>
        <v>0.1</v>
      </c>
      <c r="K84" s="28">
        <f>IF(K83="",VLOOKUP($C83,'CUSTOS REALIZADOS'!$A$11:$E$995,4),(VLOOKUP($C83,'CUSTOS REALIZADOS'!$A$11:$E$995,5)))</f>
        <v>0.1</v>
      </c>
      <c r="L84" s="28">
        <f>IF(L83="",VLOOKUP($C83,'CUSTOS REALIZADOS'!$A$11:$E$995,4),(VLOOKUP($C83,'CUSTOS REALIZADOS'!$A$11:$E$995,5)))</f>
        <v>0.1</v>
      </c>
      <c r="M84" s="28">
        <f>IF(M83="",VLOOKUP($C83,'CUSTOS REALIZADOS'!$A$11:$E$995,4),(VLOOKUP($C83,'CUSTOS REALIZADOS'!$A$11:$E$995,5)))</f>
        <v>0.1</v>
      </c>
      <c r="N84" s="28">
        <f>IF(N83="",VLOOKUP($C83,'CUSTOS REALIZADOS'!$A$11:$E$995,4),(VLOOKUP($C83,'CUSTOS REALIZADOS'!$A$11:$E$995,5)))</f>
        <v>0.1</v>
      </c>
      <c r="O84" s="28">
        <f>IF(O83="",VLOOKUP($C83,'CUSTOS REALIZADOS'!$A$11:$E$995,4),(VLOOKUP($C83,'CUSTOS REALIZADOS'!$A$11:$E$995,5)))</f>
        <v>0.1</v>
      </c>
      <c r="P84" s="28">
        <f>IF(P83="",VLOOKUP($C83,'CUSTOS REALIZADOS'!$A$11:$E$995,4),(VLOOKUP($C83,'CUSTOS REALIZADOS'!$A$11:$E$995,5)))</f>
        <v>0.1</v>
      </c>
      <c r="Q84" s="28">
        <f>IF(Q83="",VLOOKUP($C83,'CUSTOS REALIZADOS'!$A$11:$E$995,4),(VLOOKUP($C83,'CUSTOS REALIZADOS'!$A$11:$E$995,5)))</f>
        <v>0.1</v>
      </c>
      <c r="R84" s="28">
        <f>IF(R83="",VLOOKUP($C83,'CUSTOS REALIZADOS'!$A$11:$E$995,4),(VLOOKUP($C83,'CUSTOS REALIZADOS'!$A$11:$E$995,5)))</f>
        <v>0.1</v>
      </c>
      <c r="S84" s="28">
        <f>IF(S83="",VLOOKUP($C83,'CUSTOS REALIZADOS'!$A$11:$E$995,4),(VLOOKUP($C83,'CUSTOS REALIZADOS'!$A$11:$E$995,5)))</f>
        <v>0.1</v>
      </c>
      <c r="T84" s="28">
        <f>IF(T83="",VLOOKUP($C83,'CUSTOS REALIZADOS'!$A$11:$E$995,4),(VLOOKUP($C83,'CUSTOS REALIZADOS'!$A$11:$E$995,5)))</f>
        <v>0.1</v>
      </c>
      <c r="U84" s="28">
        <f>IF(U83="",VLOOKUP($C83,'CUSTOS REALIZADOS'!$A$11:$E$995,4),(VLOOKUP($C83,'CUSTOS REALIZADOS'!$A$11:$E$995,5)))</f>
        <v>0.1</v>
      </c>
      <c r="V84" s="28">
        <f>IF(V83="",VLOOKUP($C83,'CUSTOS REALIZADOS'!$A$11:$E$995,4),(VLOOKUP($C83,'CUSTOS REALIZADOS'!$A$11:$E$995,5)))</f>
        <v>0.1</v>
      </c>
      <c r="W84" s="28">
        <f>IF(W83="",VLOOKUP($C83,'CUSTOS REALIZADOS'!$A$11:$E$995,4),(VLOOKUP($C83,'CUSTOS REALIZADOS'!$A$11:$E$995,5)))</f>
        <v>0.1</v>
      </c>
      <c r="X84" s="28">
        <f>IF(X83="",VLOOKUP($C83,'CUSTOS REALIZADOS'!$A$11:$E$995,4),(VLOOKUP($C83,'CUSTOS REALIZADOS'!$A$11:$E$995,5)))</f>
        <v>0.1</v>
      </c>
      <c r="Y84" s="28">
        <f>IF(Y83="",VLOOKUP($C83,'CUSTOS REALIZADOS'!$A$11:$E$995,4),(VLOOKUP($C83,'CUSTOS REALIZADOS'!$A$11:$E$995,5)))</f>
        <v>0.1</v>
      </c>
      <c r="Z84" s="28">
        <f>IF(Z83="",VLOOKUP($C83,'CUSTOS REALIZADOS'!$A$11:$E$995,4),(VLOOKUP($C83,'CUSTOS REALIZADOS'!$A$11:$E$995,5)))</f>
        <v>0.1</v>
      </c>
      <c r="AA84" s="28">
        <f>IF(AA83="",VLOOKUP($C83,'CUSTOS REALIZADOS'!$A$11:$E$995,4),(VLOOKUP($C83,'CUSTOS REALIZADOS'!$A$11:$E$995,5)))</f>
        <v>0.1</v>
      </c>
      <c r="AB84" s="28">
        <f>IF(AB83="",VLOOKUP($C83,'CUSTOS REALIZADOS'!$A$11:$E$995,4),(VLOOKUP($C83,'CUSTOS REALIZADOS'!$A$11:$E$995,5)))</f>
        <v>0.1</v>
      </c>
      <c r="AC84" s="28">
        <f>IF(AC83="",VLOOKUP($C83,'CUSTOS REALIZADOS'!$A$11:$E$995,4),(VLOOKUP($C83,'CUSTOS REALIZADOS'!$A$11:$E$995,5)))</f>
        <v>0.1</v>
      </c>
      <c r="AD84" s="28">
        <f>IF(AD83="",VLOOKUP($C83,'CUSTOS REALIZADOS'!$A$11:$E$995,4),(VLOOKUP($C83,'CUSTOS REALIZADOS'!$A$11:$E$995,5)))</f>
        <v>0.1</v>
      </c>
      <c r="AE84" s="28">
        <f>IF(AE83="",VLOOKUP($C83,'CUSTOS REALIZADOS'!$A$11:$E$995,4),(VLOOKUP($C83,'CUSTOS REALIZADOS'!$A$11:$E$995,5)))</f>
        <v>0.1</v>
      </c>
      <c r="AF84" s="28">
        <f>IF(AF83="",VLOOKUP($C83,'CUSTOS REALIZADOS'!$A$11:$E$995,4),(VLOOKUP($C83,'CUSTOS REALIZADOS'!$A$11:$E$995,5)))</f>
        <v>0.1</v>
      </c>
      <c r="AG84" s="28">
        <f>IF(AG83="",VLOOKUP($C83,'CUSTOS REALIZADOS'!$A$11:$E$995,4),(VLOOKUP($C83,'CUSTOS REALIZADOS'!$A$11:$E$995,5)))</f>
        <v>0.1</v>
      </c>
      <c r="AH84" s="28">
        <f>IF(AH83="",VLOOKUP($C83,'CUSTOS REALIZADOS'!$A$11:$E$995,4),(VLOOKUP($C83,'CUSTOS REALIZADOS'!$A$11:$E$995,5)))</f>
        <v>0.1</v>
      </c>
      <c r="AI84" s="28">
        <f>IF(AI83="",VLOOKUP($C83,'CUSTOS REALIZADOS'!$A$11:$E$995,4),(VLOOKUP($C83,'CUSTOS REALIZADOS'!$A$11:$E$995,5)))</f>
        <v>0.1</v>
      </c>
      <c r="AJ84" s="28">
        <f>IF(AJ83="",VLOOKUP($C83,'CUSTOS REALIZADOS'!$A$11:$E$995,4),(VLOOKUP($C83,'CUSTOS REALIZADOS'!$A$11:$E$995,5)))</f>
        <v>0.1</v>
      </c>
      <c r="AK84" s="28">
        <f>IF(AK83="",VLOOKUP($C83,'CUSTOS REALIZADOS'!$A$11:$E$995,4),(VLOOKUP($C83,'CUSTOS REALIZADOS'!$A$11:$E$995,5)))</f>
        <v>0.1</v>
      </c>
      <c r="AL84" s="28">
        <f>IF(AL83="",VLOOKUP($C83,'CUSTOS REALIZADOS'!$A$11:$E$995,4),(VLOOKUP($C83,'CUSTOS REALIZADOS'!$A$11:$E$995,5)))</f>
        <v>0.1</v>
      </c>
      <c r="AM84" s="28">
        <f>IF(AM83="",VLOOKUP($C83,'CUSTOS REALIZADOS'!$A$11:$E$995,4),(VLOOKUP($C83,'CUSTOS REALIZADOS'!$A$11:$E$995,5)))</f>
        <v>0.1</v>
      </c>
      <c r="AN84" s="28">
        <f>IF(AN83="",VLOOKUP($C83,'CUSTOS REALIZADOS'!$A$11:$E$995,4),(VLOOKUP($C83,'CUSTOS REALIZADOS'!$A$11:$E$995,5)))</f>
        <v>0.1</v>
      </c>
      <c r="AO84" s="28">
        <f>IF(AO83="",VLOOKUP($C83,'CUSTOS REALIZADOS'!$A$11:$E$995,4),(VLOOKUP($C83,'CUSTOS REALIZADOS'!$A$11:$E$995,5)))</f>
        <v>0.1</v>
      </c>
      <c r="AP84" s="28">
        <f>IF(AP83="",VLOOKUP($C83,'CUSTOS REALIZADOS'!$A$11:$E$995,4),(VLOOKUP($C83,'CUSTOS REALIZADOS'!$A$11:$E$995,5)))</f>
        <v>0.1</v>
      </c>
      <c r="AQ84" s="28">
        <f>IF(AQ83="",VLOOKUP($C83,'CUSTOS REALIZADOS'!$A$11:$E$995,4),(VLOOKUP($C83,'CUSTOS REALIZADOS'!$A$11:$E$995,5)))</f>
        <v>0.1</v>
      </c>
      <c r="AR84" s="28">
        <f>IF(AR83="",VLOOKUP($C83,'CUSTOS REALIZADOS'!$A$11:$E$995,4),(VLOOKUP($C83,'CUSTOS REALIZADOS'!$A$11:$E$995,5)))</f>
        <v>0.1</v>
      </c>
      <c r="AS84" s="28">
        <f>IF(AS83="",VLOOKUP($C83,'CUSTOS REALIZADOS'!$A$11:$E$995,4),(VLOOKUP($C83,'CUSTOS REALIZADOS'!$A$11:$E$995,5)))</f>
        <v>0.1</v>
      </c>
      <c r="AT84" s="28">
        <f>IF(AT83="",VLOOKUP($C83,'CUSTOS REALIZADOS'!$A$11:$E$995,4),(VLOOKUP($C83,'CUSTOS REALIZADOS'!$A$11:$E$995,5)))</f>
        <v>0.1</v>
      </c>
      <c r="AU84" s="28">
        <f>IF(AU83="",VLOOKUP($C83,'CUSTOS REALIZADOS'!$A$11:$E$995,4),(VLOOKUP($C83,'CUSTOS REALIZADOS'!$A$11:$E$995,5)))</f>
        <v>0.1</v>
      </c>
      <c r="AV84" s="28">
        <f>IF(AV83="",VLOOKUP($C83,'CUSTOS REALIZADOS'!$A$11:$E$995,4),(VLOOKUP($C83,'CUSTOS REALIZADOS'!$A$11:$E$995,5)))</f>
        <v>0.1</v>
      </c>
      <c r="AW84" s="28">
        <f>IF(AW83="",VLOOKUP($C83,'CUSTOS REALIZADOS'!$A$11:$E$995,4),(VLOOKUP($C83,'CUSTOS REALIZADOS'!$A$11:$E$995,5)))</f>
        <v>0.1</v>
      </c>
      <c r="AX84" s="28">
        <f>IF(AX83="",VLOOKUP($C83,'CUSTOS REALIZADOS'!$A$11:$E$995,4),(VLOOKUP($C83,'CUSTOS REALIZADOS'!$A$11:$E$995,5)))</f>
        <v>0.1</v>
      </c>
      <c r="AY84" s="28">
        <f>IF(AY83="",VLOOKUP($C83,'CUSTOS REALIZADOS'!$A$11:$E$995,4),(VLOOKUP($C83,'CUSTOS REALIZADOS'!$A$11:$E$995,5)))</f>
        <v>0.1</v>
      </c>
      <c r="AZ84" s="28">
        <f>IF(AZ83="",VLOOKUP($C83,'CUSTOS REALIZADOS'!$A$11:$E$995,4),(VLOOKUP($C83,'CUSTOS REALIZADOS'!$A$11:$E$995,5)))</f>
        <v>0.1</v>
      </c>
      <c r="BA84" s="28">
        <f>IF(BA83="",VLOOKUP($C83,'CUSTOS REALIZADOS'!$A$11:$E$995,4),(VLOOKUP($C83,'CUSTOS REALIZADOS'!$A$11:$E$995,5)))</f>
        <v>0.1</v>
      </c>
      <c r="BB84" s="28">
        <f>IF(BB83="",VLOOKUP($C83,'CUSTOS REALIZADOS'!$A$11:$E$995,4),(VLOOKUP($C83,'CUSTOS REALIZADOS'!$A$11:$E$995,5)))</f>
        <v>0.1</v>
      </c>
      <c r="BC84" s="28">
        <f>IF(BC83="",VLOOKUP($C83,'CUSTOS REALIZADOS'!$A$11:$E$995,4),(VLOOKUP($C83,'CUSTOS REALIZADOS'!$A$11:$E$995,5)))</f>
        <v>0.1</v>
      </c>
      <c r="BD84" s="28">
        <f>IF(BD83="",VLOOKUP($C83,'CUSTOS REALIZADOS'!$A$11:$E$995,4),(VLOOKUP($C83,'CUSTOS REALIZADOS'!$A$11:$E$995,5)))</f>
        <v>0.1</v>
      </c>
      <c r="BE84" s="28">
        <f>IF(BE83="",VLOOKUP($C83,'CUSTOS REALIZADOS'!$A$11:$E$995,4),(VLOOKUP($C83,'CUSTOS REALIZADOS'!$A$11:$E$995,5)))</f>
        <v>0.1</v>
      </c>
      <c r="BF84" s="28">
        <f>IF(BF83="",VLOOKUP($C83,'CUSTOS REALIZADOS'!$A$11:$E$995,4),(VLOOKUP($C83,'CUSTOS REALIZADOS'!$A$11:$E$995,5)))</f>
        <v>0.1</v>
      </c>
      <c r="BG84" s="28">
        <f>IF(BG83="",VLOOKUP($C83,'CUSTOS REALIZADOS'!$A$11:$E$995,4),(VLOOKUP($C83,'CUSTOS REALIZADOS'!$A$11:$E$995,5)))</f>
        <v>0.1</v>
      </c>
      <c r="BH84" s="28">
        <f>IF(BH83="",VLOOKUP($C83,'CUSTOS REALIZADOS'!$A$11:$E$995,4),(VLOOKUP($C83,'CUSTOS REALIZADOS'!$A$11:$E$995,5)))</f>
        <v>0.1</v>
      </c>
      <c r="BI84" s="28">
        <f>IF(BI83="",VLOOKUP($C83,'CUSTOS REALIZADOS'!$A$11:$E$995,4),(VLOOKUP($C83,'CUSTOS REALIZADOS'!$A$11:$E$995,5)))</f>
        <v>0.1</v>
      </c>
      <c r="BJ84" s="28">
        <f>IF(BJ83="",VLOOKUP($C83,'CUSTOS REALIZADOS'!$A$11:$E$995,4),(VLOOKUP($C83,'CUSTOS REALIZADOS'!$A$11:$E$995,5)))</f>
        <v>0.1</v>
      </c>
      <c r="BK84" s="28">
        <f>IF(BK83="",VLOOKUP($C83,'CUSTOS REALIZADOS'!$A$11:$E$995,4),(VLOOKUP($C83,'CUSTOS REALIZADOS'!$A$11:$E$995,5)))</f>
        <v>0.1</v>
      </c>
      <c r="BL84" s="28">
        <f>IF(BL83="",VLOOKUP($C83,'CUSTOS REALIZADOS'!$A$11:$E$995,4),(VLOOKUP($C83,'CUSTOS REALIZADOS'!$A$11:$E$995,5)))</f>
        <v>0.1</v>
      </c>
      <c r="BM84" s="28">
        <f>IF(BM83="",VLOOKUP($C83,'CUSTOS REALIZADOS'!$A$11:$E$995,4),(VLOOKUP($C83,'CUSTOS REALIZADOS'!$A$11:$E$995,5)))</f>
        <v>0.1</v>
      </c>
      <c r="BN84" s="28">
        <f>IF(BN83="",VLOOKUP($C83,'CUSTOS REALIZADOS'!$A$11:$E$995,4),(VLOOKUP($C83,'CUSTOS REALIZADOS'!$A$11:$E$995,5)))</f>
        <v>0.1</v>
      </c>
    </row>
    <row r="85" spans="3:66" x14ac:dyDescent="0.2">
      <c r="C85" s="322"/>
      <c r="D85" s="23" t="s">
        <v>6</v>
      </c>
      <c r="E85" s="27">
        <f t="shared" si="478"/>
        <v>95000</v>
      </c>
      <c r="F85" s="23">
        <f>IF(AND($C83&gt;=F$6,OR($C83&lt;F$8,F$8="")),F$7*F$28,0)</f>
        <v>0</v>
      </c>
      <c r="G85" s="23">
        <f t="shared" ref="G85:BN85" si="492">IF(AND($C83&gt;=G$6,OR($C83&lt;G$8,G$8="")),G$7*G$28,0)</f>
        <v>45000</v>
      </c>
      <c r="H85" s="23">
        <f t="shared" si="492"/>
        <v>50000</v>
      </c>
      <c r="I85" s="23">
        <f t="shared" si="492"/>
        <v>0</v>
      </c>
      <c r="J85" s="23">
        <f t="shared" si="492"/>
        <v>0</v>
      </c>
      <c r="K85" s="23">
        <f t="shared" si="492"/>
        <v>0</v>
      </c>
      <c r="L85" s="23">
        <f t="shared" si="492"/>
        <v>0</v>
      </c>
      <c r="M85" s="23">
        <f t="shared" si="492"/>
        <v>0</v>
      </c>
      <c r="N85" s="23">
        <f t="shared" si="492"/>
        <v>0</v>
      </c>
      <c r="O85" s="23">
        <f t="shared" si="492"/>
        <v>0</v>
      </c>
      <c r="P85" s="23">
        <f t="shared" si="492"/>
        <v>0</v>
      </c>
      <c r="Q85" s="23">
        <f t="shared" si="492"/>
        <v>0</v>
      </c>
      <c r="R85" s="23">
        <f t="shared" si="492"/>
        <v>0</v>
      </c>
      <c r="S85" s="23">
        <f t="shared" si="492"/>
        <v>0</v>
      </c>
      <c r="T85" s="23">
        <f t="shared" si="492"/>
        <v>0</v>
      </c>
      <c r="U85" s="23">
        <f t="shared" si="492"/>
        <v>0</v>
      </c>
      <c r="V85" s="23">
        <f t="shared" si="492"/>
        <v>0</v>
      </c>
      <c r="W85" s="23">
        <f t="shared" si="492"/>
        <v>0</v>
      </c>
      <c r="X85" s="23">
        <f t="shared" si="492"/>
        <v>0</v>
      </c>
      <c r="Y85" s="23">
        <f t="shared" si="492"/>
        <v>0</v>
      </c>
      <c r="Z85" s="23">
        <f t="shared" si="492"/>
        <v>0</v>
      </c>
      <c r="AA85" s="23">
        <f t="shared" si="492"/>
        <v>0</v>
      </c>
      <c r="AB85" s="23">
        <f t="shared" si="492"/>
        <v>0</v>
      </c>
      <c r="AC85" s="23">
        <f t="shared" si="492"/>
        <v>0</v>
      </c>
      <c r="AD85" s="23">
        <f t="shared" si="492"/>
        <v>0</v>
      </c>
      <c r="AE85" s="23">
        <f t="shared" si="492"/>
        <v>0</v>
      </c>
      <c r="AF85" s="23">
        <f t="shared" si="492"/>
        <v>0</v>
      </c>
      <c r="AG85" s="23">
        <f t="shared" si="492"/>
        <v>0</v>
      </c>
      <c r="AH85" s="23">
        <f t="shared" si="492"/>
        <v>0</v>
      </c>
      <c r="AI85" s="23">
        <f t="shared" si="492"/>
        <v>0</v>
      </c>
      <c r="AJ85" s="23">
        <f t="shared" si="492"/>
        <v>0</v>
      </c>
      <c r="AK85" s="23">
        <f t="shared" si="492"/>
        <v>0</v>
      </c>
      <c r="AL85" s="23">
        <f t="shared" si="492"/>
        <v>0</v>
      </c>
      <c r="AM85" s="23">
        <f t="shared" si="492"/>
        <v>0</v>
      </c>
      <c r="AN85" s="23">
        <f t="shared" si="492"/>
        <v>0</v>
      </c>
      <c r="AO85" s="23">
        <f t="shared" si="492"/>
        <v>0</v>
      </c>
      <c r="AP85" s="23">
        <f t="shared" si="492"/>
        <v>0</v>
      </c>
      <c r="AQ85" s="23">
        <f t="shared" si="492"/>
        <v>0</v>
      </c>
      <c r="AR85" s="23">
        <f t="shared" si="492"/>
        <v>0</v>
      </c>
      <c r="AS85" s="23">
        <f t="shared" si="492"/>
        <v>0</v>
      </c>
      <c r="AT85" s="23">
        <f t="shared" si="492"/>
        <v>0</v>
      </c>
      <c r="AU85" s="23">
        <f t="shared" si="492"/>
        <v>0</v>
      </c>
      <c r="AV85" s="23">
        <f t="shared" si="492"/>
        <v>0</v>
      </c>
      <c r="AW85" s="23">
        <f t="shared" si="492"/>
        <v>0</v>
      </c>
      <c r="AX85" s="23">
        <f t="shared" si="492"/>
        <v>0</v>
      </c>
      <c r="AY85" s="23">
        <f t="shared" si="492"/>
        <v>0</v>
      </c>
      <c r="AZ85" s="23">
        <f t="shared" si="492"/>
        <v>0</v>
      </c>
      <c r="BA85" s="23">
        <f t="shared" si="492"/>
        <v>0</v>
      </c>
      <c r="BB85" s="23">
        <f t="shared" si="492"/>
        <v>0</v>
      </c>
      <c r="BC85" s="23">
        <f t="shared" si="492"/>
        <v>0</v>
      </c>
      <c r="BD85" s="23">
        <f t="shared" si="492"/>
        <v>0</v>
      </c>
      <c r="BE85" s="23">
        <f t="shared" si="492"/>
        <v>0</v>
      </c>
      <c r="BF85" s="23">
        <f t="shared" si="492"/>
        <v>0</v>
      </c>
      <c r="BG85" s="23">
        <f t="shared" si="492"/>
        <v>0</v>
      </c>
      <c r="BH85" s="23">
        <f t="shared" si="492"/>
        <v>0</v>
      </c>
      <c r="BI85" s="23">
        <f t="shared" si="492"/>
        <v>0</v>
      </c>
      <c r="BJ85" s="23">
        <f t="shared" si="492"/>
        <v>0</v>
      </c>
      <c r="BK85" s="23">
        <f t="shared" si="492"/>
        <v>0</v>
      </c>
      <c r="BL85" s="23">
        <f t="shared" si="492"/>
        <v>0</v>
      </c>
      <c r="BM85" s="23">
        <f t="shared" si="492"/>
        <v>0</v>
      </c>
      <c r="BN85" s="23">
        <f t="shared" si="492"/>
        <v>0</v>
      </c>
    </row>
    <row r="86" spans="3:66" x14ac:dyDescent="0.2">
      <c r="C86" s="322"/>
      <c r="D86" s="23" t="s">
        <v>9</v>
      </c>
      <c r="E86" s="27">
        <f t="shared" si="478"/>
        <v>0</v>
      </c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</row>
    <row r="87" spans="3:66" x14ac:dyDescent="0.2">
      <c r="C87" s="322"/>
      <c r="D87" s="23" t="s">
        <v>14</v>
      </c>
      <c r="E87" s="27">
        <f>SUM(F87:AY87)</f>
        <v>871278.71942274435</v>
      </c>
      <c r="F87" s="23">
        <f>IF(F82=0,F83-F86,F82-F86)</f>
        <v>-152.88273722104654</v>
      </c>
      <c r="G87" s="23">
        <f t="shared" ref="G87" si="493">IF(G82=0,G83-G86,G82-G86)</f>
        <v>412783.39049682574</v>
      </c>
      <c r="H87" s="23">
        <f t="shared" ref="H87" si="494">IF(H82=0,H83-H86,H82-H86)</f>
        <v>458648.21166313969</v>
      </c>
      <c r="I87" s="23">
        <f t="shared" ref="I87" si="495">IF(I82=0,I83-I86,I82-I86)</f>
        <v>0</v>
      </c>
      <c r="J87" s="23">
        <f t="shared" ref="J87" si="496">IF(J82=0,J83-J86,J82-J86)</f>
        <v>0</v>
      </c>
      <c r="K87" s="23">
        <f t="shared" ref="K87" si="497">IF(K82=0,K83-K86,K82-K86)</f>
        <v>0</v>
      </c>
      <c r="L87" s="23">
        <f t="shared" ref="L87" si="498">IF(L82=0,L83-L86,L82-L86)</f>
        <v>0</v>
      </c>
      <c r="M87" s="23">
        <f t="shared" ref="M87" si="499">IF(M82=0,M83-M86,M82-M86)</f>
        <v>0</v>
      </c>
      <c r="N87" s="23">
        <f t="shared" ref="N87" si="500">IF(N82=0,N83-N86,N82-N86)</f>
        <v>0</v>
      </c>
      <c r="O87" s="23">
        <f t="shared" ref="O87" si="501">IF(O82=0,O83-O86,O82-O86)</f>
        <v>0</v>
      </c>
      <c r="P87" s="23">
        <f t="shared" ref="P87" si="502">IF(P82=0,P83-P86,P82-P86)</f>
        <v>0</v>
      </c>
      <c r="Q87" s="23">
        <f t="shared" ref="Q87" si="503">IF(Q82=0,Q83-Q86,Q82-Q86)</f>
        <v>0</v>
      </c>
      <c r="R87" s="23">
        <f t="shared" ref="R87" si="504">IF(R82=0,R83-R86,R82-R86)</f>
        <v>0</v>
      </c>
      <c r="S87" s="23">
        <f t="shared" ref="S87" si="505">IF(S82=0,S83-S86,S82-S86)</f>
        <v>0</v>
      </c>
      <c r="T87" s="23">
        <f t="shared" ref="T87" si="506">IF(T82=0,T83-T86,T82-T86)</f>
        <v>0</v>
      </c>
      <c r="U87" s="23">
        <f t="shared" ref="U87" si="507">IF(U82=0,U83-U86,U82-U86)</f>
        <v>0</v>
      </c>
      <c r="V87" s="23">
        <f t="shared" ref="V87" si="508">IF(V82=0,V83-V86,V82-V86)</f>
        <v>0</v>
      </c>
      <c r="W87" s="23">
        <f t="shared" ref="W87" si="509">IF(W82=0,W83-W86,W82-W86)</f>
        <v>0</v>
      </c>
      <c r="X87" s="23">
        <f t="shared" ref="X87" si="510">IF(X82=0,X83-X86,X82-X86)</f>
        <v>0</v>
      </c>
      <c r="Y87" s="23">
        <f t="shared" ref="Y87" si="511">IF(Y82=0,Y83-Y86,Y82-Y86)</f>
        <v>0</v>
      </c>
      <c r="Z87" s="23">
        <f t="shared" ref="Z87" si="512">IF(Z82=0,Z83-Z86,Z82-Z86)</f>
        <v>0</v>
      </c>
      <c r="AA87" s="23">
        <f t="shared" ref="AA87" si="513">IF(AA82=0,AA83-AA86,AA82-AA86)</f>
        <v>0</v>
      </c>
      <c r="AB87" s="23">
        <f t="shared" ref="AB87" si="514">IF(AB82=0,AB83-AB86,AB82-AB86)</f>
        <v>0</v>
      </c>
      <c r="AC87" s="23">
        <f t="shared" ref="AC87" si="515">IF(AC82=0,AC83-AC86,AC82-AC86)</f>
        <v>0</v>
      </c>
      <c r="AD87" s="23">
        <f t="shared" ref="AD87" si="516">IF(AD82=0,AD83-AD86,AD82-AD86)</f>
        <v>0</v>
      </c>
      <c r="AE87" s="23">
        <f t="shared" ref="AE87" si="517">IF(AE82=0,AE83-AE86,AE82-AE86)</f>
        <v>0</v>
      </c>
      <c r="AF87" s="23">
        <f t="shared" ref="AF87" si="518">IF(AF82=0,AF83-AF86,AF82-AF86)</f>
        <v>0</v>
      </c>
      <c r="AG87" s="23">
        <f t="shared" ref="AG87" si="519">IF(AG82=0,AG83-AG86,AG82-AG86)</f>
        <v>0</v>
      </c>
      <c r="AH87" s="23">
        <f t="shared" ref="AH87" si="520">IF(AH82=0,AH83-AH86,AH82-AH86)</f>
        <v>0</v>
      </c>
      <c r="AI87" s="23">
        <f t="shared" ref="AI87" si="521">IF(AI82=0,AI83-AI86,AI82-AI86)</f>
        <v>0</v>
      </c>
      <c r="AJ87" s="23">
        <f t="shared" ref="AJ87" si="522">IF(AJ82=0,AJ83-AJ86,AJ82-AJ86)</f>
        <v>0</v>
      </c>
      <c r="AK87" s="23">
        <f t="shared" ref="AK87" si="523">IF(AK82=0,AK83-AK86,AK82-AK86)</f>
        <v>0</v>
      </c>
      <c r="AL87" s="23">
        <f t="shared" ref="AL87" si="524">IF(AL82=0,AL83-AL86,AL82-AL86)</f>
        <v>0</v>
      </c>
      <c r="AM87" s="23">
        <f t="shared" ref="AM87" si="525">IF(AM82=0,AM83-AM86,AM82-AM86)</f>
        <v>0</v>
      </c>
      <c r="AN87" s="23">
        <f t="shared" ref="AN87" si="526">IF(AN82=0,AN83-AN86,AN82-AN86)</f>
        <v>0</v>
      </c>
      <c r="AO87" s="23">
        <f t="shared" ref="AO87" si="527">IF(AO82=0,AO83-AO86,AO82-AO86)</f>
        <v>0</v>
      </c>
      <c r="AP87" s="23">
        <f t="shared" ref="AP87" si="528">IF(AP82=0,AP83-AP86,AP82-AP86)</f>
        <v>0</v>
      </c>
      <c r="AQ87" s="23">
        <f t="shared" ref="AQ87" si="529">IF(AQ82=0,AQ83-AQ86,AQ82-AQ86)</f>
        <v>0</v>
      </c>
      <c r="AR87" s="23">
        <f t="shared" ref="AR87" si="530">IF(AR82=0,AR83-AR86,AR82-AR86)</f>
        <v>0</v>
      </c>
      <c r="AS87" s="23">
        <f t="shared" ref="AS87" si="531">IF(AS82=0,AS83-AS86,AS82-AS86)</f>
        <v>0</v>
      </c>
      <c r="AT87" s="23">
        <f t="shared" ref="AT87" si="532">IF(AT82=0,AT83-AT86,AT82-AT86)</f>
        <v>0</v>
      </c>
      <c r="AU87" s="23">
        <f t="shared" ref="AU87" si="533">IF(AU82=0,AU83-AU86,AU82-AU86)</f>
        <v>0</v>
      </c>
      <c r="AV87" s="23">
        <f t="shared" ref="AV87" si="534">IF(AV82=0,AV83-AV86,AV82-AV86)</f>
        <v>0</v>
      </c>
      <c r="AW87" s="23">
        <f t="shared" ref="AW87" si="535">IF(AW82=0,AW83-AW86,AW82-AW86)</f>
        <v>0</v>
      </c>
      <c r="AX87" s="23">
        <f t="shared" ref="AX87" si="536">IF(AX82=0,AX83-AX86,AX82-AX86)</f>
        <v>0</v>
      </c>
      <c r="AY87" s="23">
        <f t="shared" ref="AY87" si="537">IF(AY82=0,AY83-AY86,AY82-AY86)</f>
        <v>0</v>
      </c>
      <c r="AZ87" s="23">
        <f t="shared" ref="AZ87" si="538">IF(AZ82=0,AZ83-AZ86,AZ82-AZ86)</f>
        <v>0</v>
      </c>
      <c r="BA87" s="23">
        <f t="shared" ref="BA87" si="539">IF(BA82=0,BA83-BA86,BA82-BA86)</f>
        <v>0</v>
      </c>
      <c r="BB87" s="23">
        <f t="shared" ref="BB87" si="540">IF(BB82=0,BB83-BB86,BB82-BB86)</f>
        <v>0</v>
      </c>
      <c r="BC87" s="23">
        <f t="shared" ref="BC87" si="541">IF(BC82=0,BC83-BC86,BC82-BC86)</f>
        <v>0</v>
      </c>
      <c r="BD87" s="23">
        <f t="shared" ref="BD87" si="542">IF(BD82=0,BD83-BD86,BD82-BD86)</f>
        <v>0</v>
      </c>
      <c r="BE87" s="23">
        <f t="shared" ref="BE87" si="543">IF(BE82=0,BE83-BE86,BE82-BE86)</f>
        <v>0</v>
      </c>
      <c r="BF87" s="23">
        <f t="shared" ref="BF87" si="544">IF(BF82=0,BF83-BF86,BF82-BF86)</f>
        <v>0</v>
      </c>
      <c r="BG87" s="23">
        <f t="shared" ref="BG87" si="545">IF(BG82=0,BG83-BG86,BG82-BG86)</f>
        <v>0</v>
      </c>
      <c r="BH87" s="23">
        <f t="shared" ref="BH87" si="546">IF(BH82=0,BH83-BH86,BH82-BH86)</f>
        <v>0</v>
      </c>
      <c r="BI87" s="23">
        <f t="shared" ref="BI87" si="547">IF(BI82=0,BI83-BI86,BI82-BI86)</f>
        <v>0</v>
      </c>
      <c r="BJ87" s="23">
        <f t="shared" ref="BJ87" si="548">IF(BJ82=0,BJ83-BJ86,BJ82-BJ86)</f>
        <v>0</v>
      </c>
      <c r="BK87" s="23">
        <f t="shared" ref="BK87" si="549">IF(BK82=0,BK83-BK86,BK82-BK86)</f>
        <v>0</v>
      </c>
      <c r="BL87" s="23">
        <f t="shared" ref="BL87" si="550">IF(BL82=0,BL83-BL86,BL82-BL86)</f>
        <v>0</v>
      </c>
      <c r="BM87" s="23">
        <f t="shared" ref="BM87" si="551">IF(BM82=0,BM83-BM86,BM82-BM86)</f>
        <v>0</v>
      </c>
      <c r="BN87" s="23">
        <f t="shared" ref="BN87" si="552">IF(BN82=0,BN83-BN86,BN82-BN86)</f>
        <v>0</v>
      </c>
    </row>
    <row r="88" spans="3:66" x14ac:dyDescent="0.2">
      <c r="C88" s="322"/>
      <c r="D88" s="23" t="s">
        <v>10</v>
      </c>
      <c r="E88" s="72">
        <v>4.0000000000000002E-4</v>
      </c>
      <c r="F88" s="54">
        <v>4.0000000000000002E-4</v>
      </c>
      <c r="G88" s="54">
        <v>4.0000000000000002E-4</v>
      </c>
      <c r="H88" s="54">
        <v>4.0000000000000002E-4</v>
      </c>
      <c r="I88" s="54">
        <v>4.0000000000000002E-4</v>
      </c>
      <c r="J88" s="54">
        <v>4.0000000000000002E-4</v>
      </c>
      <c r="K88" s="54">
        <v>4.0000000000000002E-4</v>
      </c>
      <c r="L88" s="54">
        <v>4.0000000000000002E-4</v>
      </c>
      <c r="M88" s="54">
        <v>4.0000000000000002E-4</v>
      </c>
      <c r="N88" s="54">
        <v>4.0000000000000002E-4</v>
      </c>
      <c r="O88" s="54">
        <v>4.0000000000000002E-4</v>
      </c>
      <c r="P88" s="54">
        <v>4.0000000000000002E-4</v>
      </c>
      <c r="Q88" s="54">
        <v>4.0000000000000002E-4</v>
      </c>
      <c r="R88" s="54">
        <v>4.0000000000000002E-4</v>
      </c>
      <c r="S88" s="54">
        <v>4.0000000000000002E-4</v>
      </c>
      <c r="T88" s="54">
        <v>4.0000000000000002E-4</v>
      </c>
      <c r="U88" s="54">
        <v>4.0000000000000002E-4</v>
      </c>
      <c r="V88" s="54">
        <v>4.0000000000000002E-4</v>
      </c>
      <c r="W88" s="54">
        <v>4.0000000000000002E-4</v>
      </c>
      <c r="X88" s="54">
        <v>4.0000000000000002E-4</v>
      </c>
      <c r="Y88" s="54">
        <v>4.0000000000000002E-4</v>
      </c>
      <c r="Z88" s="54">
        <v>4.0000000000000002E-4</v>
      </c>
      <c r="AA88" s="54">
        <v>4.0000000000000002E-4</v>
      </c>
      <c r="AB88" s="54">
        <v>4.0000000000000002E-4</v>
      </c>
      <c r="AC88" s="54">
        <v>4.0000000000000002E-4</v>
      </c>
      <c r="AD88" s="54">
        <v>4.0000000000000002E-4</v>
      </c>
      <c r="AE88" s="54">
        <v>4.0000000000000002E-4</v>
      </c>
      <c r="AF88" s="54">
        <v>4.0000000000000002E-4</v>
      </c>
      <c r="AG88" s="54">
        <v>4.0000000000000002E-4</v>
      </c>
      <c r="AH88" s="54">
        <v>4.0000000000000002E-4</v>
      </c>
      <c r="AI88" s="54">
        <v>4.0000000000000002E-4</v>
      </c>
      <c r="AJ88" s="54">
        <v>4.0000000000000002E-4</v>
      </c>
      <c r="AK88" s="54">
        <v>4.0000000000000002E-4</v>
      </c>
      <c r="AL88" s="54">
        <v>4.0000000000000002E-4</v>
      </c>
      <c r="AM88" s="54">
        <v>4.0000000000000002E-4</v>
      </c>
      <c r="AN88" s="54">
        <v>4.0000000000000002E-4</v>
      </c>
      <c r="AO88" s="54">
        <v>4.0000000000000002E-4</v>
      </c>
      <c r="AP88" s="54">
        <v>4.0000000000000002E-4</v>
      </c>
      <c r="AQ88" s="54">
        <v>4.0000000000000002E-4</v>
      </c>
      <c r="AR88" s="54">
        <v>4.0000000000000002E-4</v>
      </c>
      <c r="AS88" s="54">
        <v>4.0000000000000002E-4</v>
      </c>
      <c r="AT88" s="54">
        <v>4.0000000000000002E-4</v>
      </c>
      <c r="AU88" s="54">
        <v>4.0000000000000002E-4</v>
      </c>
      <c r="AV88" s="54">
        <v>4.0000000000000002E-4</v>
      </c>
      <c r="AW88" s="54">
        <v>4.0000000000000002E-4</v>
      </c>
      <c r="AX88" s="54">
        <v>4.0000000000000002E-4</v>
      </c>
      <c r="AY88" s="54">
        <v>4.0000000000000002E-4</v>
      </c>
      <c r="AZ88" s="54">
        <v>4.0000000000000002E-4</v>
      </c>
      <c r="BA88" s="54">
        <v>4.0000000000000002E-4</v>
      </c>
      <c r="BB88" s="54">
        <v>4.0000000000000002E-4</v>
      </c>
      <c r="BC88" s="54">
        <v>4.0000000000000002E-4</v>
      </c>
      <c r="BD88" s="54">
        <v>4.0000000000000002E-4</v>
      </c>
      <c r="BE88" s="54">
        <v>4.0000000000000002E-4</v>
      </c>
      <c r="BF88" s="54">
        <v>4.0000000000000002E-4</v>
      </c>
      <c r="BG88" s="54">
        <v>4.0000000000000002E-4</v>
      </c>
      <c r="BH88" s="54">
        <v>4.0000000000000002E-4</v>
      </c>
      <c r="BI88" s="54">
        <v>4.0000000000000002E-4</v>
      </c>
      <c r="BJ88" s="54">
        <v>4.0000000000000002E-4</v>
      </c>
      <c r="BK88" s="54">
        <v>4.0000000000000002E-4</v>
      </c>
      <c r="BL88" s="54">
        <v>4.0000000000000002E-4</v>
      </c>
      <c r="BM88" s="54">
        <v>4.0000000000000002E-4</v>
      </c>
      <c r="BN88" s="54">
        <v>4.0000000000000002E-4</v>
      </c>
    </row>
    <row r="89" spans="3:66" x14ac:dyDescent="0.2">
      <c r="C89" s="322"/>
      <c r="D89" s="23" t="s">
        <v>12</v>
      </c>
      <c r="E89" s="27">
        <f t="shared" ref="E89:E95" si="553">SUM(F89:BN89)</f>
        <v>348.51148776909781</v>
      </c>
      <c r="F89" s="29">
        <f>+F87*F88</f>
        <v>-6.1153094888418622E-2</v>
      </c>
      <c r="G89" s="29">
        <f>+G87*G88</f>
        <v>165.11335619873032</v>
      </c>
      <c r="H89" s="29">
        <f>+H87*H88</f>
        <v>183.45928466525589</v>
      </c>
      <c r="I89" s="29">
        <f t="shared" ref="I89:O89" si="554">+I87*I88</f>
        <v>0</v>
      </c>
      <c r="J89" s="29">
        <f t="shared" si="554"/>
        <v>0</v>
      </c>
      <c r="K89" s="29">
        <f t="shared" si="554"/>
        <v>0</v>
      </c>
      <c r="L89" s="29">
        <f t="shared" si="554"/>
        <v>0</v>
      </c>
      <c r="M89" s="29">
        <f t="shared" si="554"/>
        <v>0</v>
      </c>
      <c r="N89" s="29">
        <f t="shared" si="554"/>
        <v>0</v>
      </c>
      <c r="O89" s="29">
        <f t="shared" si="554"/>
        <v>0</v>
      </c>
      <c r="P89" s="29">
        <f>+P87*P88</f>
        <v>0</v>
      </c>
      <c r="Q89" s="29">
        <f t="shared" ref="Q89" si="555">+Q87*Q88</f>
        <v>0</v>
      </c>
      <c r="R89" s="29">
        <f>+R87*R88</f>
        <v>0</v>
      </c>
      <c r="S89" s="29">
        <f>+S87*S88</f>
        <v>0</v>
      </c>
      <c r="T89" s="29">
        <f t="shared" ref="T89" si="556">+T87*T88</f>
        <v>0</v>
      </c>
      <c r="U89" s="29">
        <f>+U87*U88</f>
        <v>0</v>
      </c>
      <c r="V89" s="29">
        <f t="shared" ref="V89:Y89" si="557">+V87*V88</f>
        <v>0</v>
      </c>
      <c r="W89" s="29">
        <v>0</v>
      </c>
      <c r="X89" s="29">
        <f t="shared" si="557"/>
        <v>0</v>
      </c>
      <c r="Y89" s="29">
        <f t="shared" si="557"/>
        <v>0</v>
      </c>
      <c r="Z89" s="29">
        <f>+Z87*Z88</f>
        <v>0</v>
      </c>
      <c r="AA89" s="29">
        <f>+AA87*AA88</f>
        <v>0</v>
      </c>
      <c r="AB89" s="29">
        <f t="shared" ref="AB89:AD89" si="558">+AB87*AB88</f>
        <v>0</v>
      </c>
      <c r="AC89" s="29">
        <f t="shared" si="558"/>
        <v>0</v>
      </c>
      <c r="AD89" s="29">
        <f t="shared" si="558"/>
        <v>0</v>
      </c>
      <c r="AE89" s="29">
        <v>0</v>
      </c>
      <c r="AF89" s="29">
        <f>+AF87*AF88</f>
        <v>0</v>
      </c>
      <c r="AG89" s="29">
        <f t="shared" ref="AG89:AP89" si="559">+AG87*AG88</f>
        <v>0</v>
      </c>
      <c r="AH89" s="29">
        <f t="shared" si="559"/>
        <v>0</v>
      </c>
      <c r="AI89" s="29">
        <f t="shared" si="559"/>
        <v>0</v>
      </c>
      <c r="AJ89" s="29">
        <f t="shared" si="559"/>
        <v>0</v>
      </c>
      <c r="AK89" s="29">
        <v>0</v>
      </c>
      <c r="AL89" s="29">
        <f t="shared" si="559"/>
        <v>0</v>
      </c>
      <c r="AM89" s="29">
        <f t="shared" si="559"/>
        <v>0</v>
      </c>
      <c r="AN89" s="29">
        <f t="shared" si="559"/>
        <v>0</v>
      </c>
      <c r="AO89" s="29">
        <f t="shared" si="559"/>
        <v>0</v>
      </c>
      <c r="AP89" s="29">
        <f t="shared" si="559"/>
        <v>0</v>
      </c>
      <c r="AQ89" s="29">
        <f>+AQ87*AQ88</f>
        <v>0</v>
      </c>
      <c r="AR89" s="29">
        <f>+AR87*AR88</f>
        <v>0</v>
      </c>
      <c r="AS89" s="29">
        <f t="shared" ref="AS89:AU89" si="560">+AS87*AS88</f>
        <v>0</v>
      </c>
      <c r="AT89" s="29">
        <f t="shared" si="560"/>
        <v>0</v>
      </c>
      <c r="AU89" s="29">
        <f t="shared" si="560"/>
        <v>0</v>
      </c>
      <c r="AV89" s="29">
        <v>0</v>
      </c>
      <c r="AW89" s="29">
        <f t="shared" ref="AW89" si="561">+AW87*AW88</f>
        <v>0</v>
      </c>
      <c r="AX89" s="29">
        <f>+AX87*AX88</f>
        <v>0</v>
      </c>
      <c r="AY89" s="29">
        <f>+AY87*AY88</f>
        <v>0</v>
      </c>
      <c r="AZ89" s="29">
        <v>0</v>
      </c>
      <c r="BA89" s="29">
        <f t="shared" ref="BA89:BN89" si="562">+BA87*BA88</f>
        <v>0</v>
      </c>
      <c r="BB89" s="29">
        <f t="shared" si="562"/>
        <v>0</v>
      </c>
      <c r="BC89" s="29">
        <f t="shared" si="562"/>
        <v>0</v>
      </c>
      <c r="BD89" s="29">
        <f t="shared" si="562"/>
        <v>0</v>
      </c>
      <c r="BE89" s="29">
        <f t="shared" si="562"/>
        <v>0</v>
      </c>
      <c r="BF89" s="29">
        <f t="shared" si="562"/>
        <v>0</v>
      </c>
      <c r="BG89" s="29">
        <v>0</v>
      </c>
      <c r="BH89" s="29">
        <v>0</v>
      </c>
      <c r="BI89" s="29">
        <f t="shared" si="562"/>
        <v>0</v>
      </c>
      <c r="BJ89" s="29">
        <f t="shared" si="562"/>
        <v>0</v>
      </c>
      <c r="BK89" s="29">
        <f t="shared" si="562"/>
        <v>0</v>
      </c>
      <c r="BL89" s="29">
        <f t="shared" si="562"/>
        <v>0</v>
      </c>
      <c r="BM89" s="29">
        <f t="shared" si="562"/>
        <v>0</v>
      </c>
      <c r="BN89" s="29">
        <f t="shared" si="562"/>
        <v>0</v>
      </c>
    </row>
    <row r="90" spans="3:66" ht="13.5" thickBot="1" x14ac:dyDescent="0.25">
      <c r="C90" s="323"/>
      <c r="D90" s="25" t="s">
        <v>11</v>
      </c>
      <c r="E90" s="30">
        <f t="shared" si="553"/>
        <v>871627.23091051343</v>
      </c>
      <c r="F90" s="46">
        <f>+F87+F89</f>
        <v>-152.94389031593496</v>
      </c>
      <c r="G90" s="46">
        <f>+G87+G89</f>
        <v>412948.50385302445</v>
      </c>
      <c r="H90" s="46">
        <f>+H87+H89</f>
        <v>458831.67094780493</v>
      </c>
      <c r="I90" s="46">
        <f t="shared" ref="I90:AU90" si="563">+I87+I89</f>
        <v>0</v>
      </c>
      <c r="J90" s="46">
        <f t="shared" si="563"/>
        <v>0</v>
      </c>
      <c r="K90" s="46">
        <f t="shared" si="563"/>
        <v>0</v>
      </c>
      <c r="L90" s="46">
        <f t="shared" si="563"/>
        <v>0</v>
      </c>
      <c r="M90" s="46">
        <f t="shared" si="563"/>
        <v>0</v>
      </c>
      <c r="N90" s="46">
        <f t="shared" si="563"/>
        <v>0</v>
      </c>
      <c r="O90" s="46">
        <f t="shared" si="563"/>
        <v>0</v>
      </c>
      <c r="P90" s="46">
        <f t="shared" si="563"/>
        <v>0</v>
      </c>
      <c r="Q90" s="46">
        <f t="shared" si="563"/>
        <v>0</v>
      </c>
      <c r="R90" s="46">
        <f t="shared" si="563"/>
        <v>0</v>
      </c>
      <c r="S90" s="46">
        <f t="shared" si="563"/>
        <v>0</v>
      </c>
      <c r="T90" s="46">
        <f t="shared" si="563"/>
        <v>0</v>
      </c>
      <c r="U90" s="46">
        <f t="shared" si="563"/>
        <v>0</v>
      </c>
      <c r="V90" s="46">
        <f t="shared" si="563"/>
        <v>0</v>
      </c>
      <c r="W90" s="46">
        <f t="shared" si="563"/>
        <v>0</v>
      </c>
      <c r="X90" s="46">
        <f t="shared" si="563"/>
        <v>0</v>
      </c>
      <c r="Y90" s="46">
        <f t="shared" si="563"/>
        <v>0</v>
      </c>
      <c r="Z90" s="46">
        <f t="shared" si="563"/>
        <v>0</v>
      </c>
      <c r="AA90" s="46">
        <f t="shared" si="563"/>
        <v>0</v>
      </c>
      <c r="AB90" s="46">
        <f t="shared" si="563"/>
        <v>0</v>
      </c>
      <c r="AC90" s="46">
        <f t="shared" si="563"/>
        <v>0</v>
      </c>
      <c r="AD90" s="46">
        <f t="shared" si="563"/>
        <v>0</v>
      </c>
      <c r="AE90" s="46">
        <f t="shared" si="563"/>
        <v>0</v>
      </c>
      <c r="AF90" s="46">
        <f t="shared" si="563"/>
        <v>0</v>
      </c>
      <c r="AG90" s="46">
        <f t="shared" si="563"/>
        <v>0</v>
      </c>
      <c r="AH90" s="46">
        <f t="shared" si="563"/>
        <v>0</v>
      </c>
      <c r="AI90" s="46">
        <f t="shared" si="563"/>
        <v>0</v>
      </c>
      <c r="AJ90" s="46">
        <f t="shared" si="563"/>
        <v>0</v>
      </c>
      <c r="AK90" s="46">
        <f t="shared" si="563"/>
        <v>0</v>
      </c>
      <c r="AL90" s="46">
        <f t="shared" si="563"/>
        <v>0</v>
      </c>
      <c r="AM90" s="46">
        <f t="shared" si="563"/>
        <v>0</v>
      </c>
      <c r="AN90" s="46">
        <f t="shared" si="563"/>
        <v>0</v>
      </c>
      <c r="AO90" s="46">
        <f t="shared" si="563"/>
        <v>0</v>
      </c>
      <c r="AP90" s="46">
        <f t="shared" si="563"/>
        <v>0</v>
      </c>
      <c r="AQ90" s="46">
        <f t="shared" si="563"/>
        <v>0</v>
      </c>
      <c r="AR90" s="46">
        <f t="shared" si="563"/>
        <v>0</v>
      </c>
      <c r="AS90" s="46">
        <f t="shared" si="563"/>
        <v>0</v>
      </c>
      <c r="AT90" s="46">
        <f t="shared" si="563"/>
        <v>0</v>
      </c>
      <c r="AU90" s="46">
        <f t="shared" si="563"/>
        <v>0</v>
      </c>
      <c r="AV90" s="46">
        <f>+AV87+AV89</f>
        <v>0</v>
      </c>
      <c r="AW90" s="46">
        <f t="shared" ref="AW90:BN90" si="564">+AW87+AW89</f>
        <v>0</v>
      </c>
      <c r="AX90" s="46">
        <f t="shared" si="564"/>
        <v>0</v>
      </c>
      <c r="AY90" s="46">
        <f t="shared" si="564"/>
        <v>0</v>
      </c>
      <c r="AZ90" s="46">
        <f t="shared" si="564"/>
        <v>0</v>
      </c>
      <c r="BA90" s="46">
        <f t="shared" si="564"/>
        <v>0</v>
      </c>
      <c r="BB90" s="46">
        <f t="shared" si="564"/>
        <v>0</v>
      </c>
      <c r="BC90" s="46">
        <f t="shared" si="564"/>
        <v>0</v>
      </c>
      <c r="BD90" s="46">
        <f t="shared" si="564"/>
        <v>0</v>
      </c>
      <c r="BE90" s="46">
        <f t="shared" si="564"/>
        <v>0</v>
      </c>
      <c r="BF90" s="46">
        <f t="shared" si="564"/>
        <v>0</v>
      </c>
      <c r="BG90" s="46">
        <f t="shared" si="564"/>
        <v>0</v>
      </c>
      <c r="BH90" s="46">
        <f t="shared" si="564"/>
        <v>0</v>
      </c>
      <c r="BI90" s="46">
        <f t="shared" si="564"/>
        <v>0</v>
      </c>
      <c r="BJ90" s="46">
        <f t="shared" si="564"/>
        <v>0</v>
      </c>
      <c r="BK90" s="46">
        <f t="shared" si="564"/>
        <v>0</v>
      </c>
      <c r="BL90" s="46">
        <f t="shared" si="564"/>
        <v>0</v>
      </c>
      <c r="BM90" s="46">
        <f t="shared" si="564"/>
        <v>0</v>
      </c>
      <c r="BN90" s="46">
        <f t="shared" si="564"/>
        <v>0</v>
      </c>
    </row>
    <row r="91" spans="3:66" x14ac:dyDescent="0.2">
      <c r="C91" s="321">
        <v>43862</v>
      </c>
      <c r="D91" s="20" t="s">
        <v>5</v>
      </c>
      <c r="E91" s="50">
        <f t="shared" si="553"/>
        <v>0</v>
      </c>
      <c r="F91" s="279">
        <f>IF(F$6=$C91,F$7,0)</f>
        <v>0</v>
      </c>
      <c r="G91" s="279">
        <f t="shared" ref="G91:BN91" si="565">IF(G$6=$C91,G$7,0)</f>
        <v>0</v>
      </c>
      <c r="H91" s="279">
        <f t="shared" si="565"/>
        <v>0</v>
      </c>
      <c r="I91" s="279">
        <f t="shared" si="565"/>
        <v>0</v>
      </c>
      <c r="J91" s="279">
        <f t="shared" si="565"/>
        <v>0</v>
      </c>
      <c r="K91" s="279">
        <f t="shared" si="565"/>
        <v>0</v>
      </c>
      <c r="L91" s="279">
        <f t="shared" si="565"/>
        <v>0</v>
      </c>
      <c r="M91" s="279">
        <f t="shared" si="565"/>
        <v>0</v>
      </c>
      <c r="N91" s="279">
        <f t="shared" si="565"/>
        <v>0</v>
      </c>
      <c r="O91" s="279">
        <f t="shared" si="565"/>
        <v>0</v>
      </c>
      <c r="P91" s="279">
        <f t="shared" si="565"/>
        <v>0</v>
      </c>
      <c r="Q91" s="279">
        <f t="shared" si="565"/>
        <v>0</v>
      </c>
      <c r="R91" s="279">
        <f t="shared" si="565"/>
        <v>0</v>
      </c>
      <c r="S91" s="279">
        <f t="shared" si="565"/>
        <v>0</v>
      </c>
      <c r="T91" s="279">
        <f t="shared" si="565"/>
        <v>0</v>
      </c>
      <c r="U91" s="279">
        <f t="shared" si="565"/>
        <v>0</v>
      </c>
      <c r="V91" s="279">
        <f t="shared" si="565"/>
        <v>0</v>
      </c>
      <c r="W91" s="279">
        <f t="shared" si="565"/>
        <v>0</v>
      </c>
      <c r="X91" s="279">
        <f t="shared" si="565"/>
        <v>0</v>
      </c>
      <c r="Y91" s="279">
        <f t="shared" si="565"/>
        <v>0</v>
      </c>
      <c r="Z91" s="279">
        <f t="shared" si="565"/>
        <v>0</v>
      </c>
      <c r="AA91" s="279">
        <f t="shared" si="565"/>
        <v>0</v>
      </c>
      <c r="AB91" s="279">
        <f t="shared" si="565"/>
        <v>0</v>
      </c>
      <c r="AC91" s="279">
        <f t="shared" si="565"/>
        <v>0</v>
      </c>
      <c r="AD91" s="279">
        <f t="shared" si="565"/>
        <v>0</v>
      </c>
      <c r="AE91" s="279">
        <f t="shared" si="565"/>
        <v>0</v>
      </c>
      <c r="AF91" s="279">
        <f t="shared" si="565"/>
        <v>0</v>
      </c>
      <c r="AG91" s="279">
        <f t="shared" si="565"/>
        <v>0</v>
      </c>
      <c r="AH91" s="279">
        <f t="shared" si="565"/>
        <v>0</v>
      </c>
      <c r="AI91" s="279">
        <f t="shared" si="565"/>
        <v>0</v>
      </c>
      <c r="AJ91" s="279">
        <f t="shared" si="565"/>
        <v>0</v>
      </c>
      <c r="AK91" s="279">
        <f t="shared" si="565"/>
        <v>0</v>
      </c>
      <c r="AL91" s="279">
        <f t="shared" si="565"/>
        <v>0</v>
      </c>
      <c r="AM91" s="279">
        <f t="shared" si="565"/>
        <v>0</v>
      </c>
      <c r="AN91" s="279">
        <f t="shared" si="565"/>
        <v>0</v>
      </c>
      <c r="AO91" s="279">
        <f t="shared" si="565"/>
        <v>0</v>
      </c>
      <c r="AP91" s="279">
        <f t="shared" si="565"/>
        <v>0</v>
      </c>
      <c r="AQ91" s="279">
        <f t="shared" si="565"/>
        <v>0</v>
      </c>
      <c r="AR91" s="279">
        <f t="shared" si="565"/>
        <v>0</v>
      </c>
      <c r="AS91" s="279">
        <f t="shared" si="565"/>
        <v>0</v>
      </c>
      <c r="AT91" s="279">
        <f t="shared" si="565"/>
        <v>0</v>
      </c>
      <c r="AU91" s="279">
        <f t="shared" si="565"/>
        <v>0</v>
      </c>
      <c r="AV91" s="279">
        <f t="shared" si="565"/>
        <v>0</v>
      </c>
      <c r="AW91" s="279">
        <f t="shared" si="565"/>
        <v>0</v>
      </c>
      <c r="AX91" s="279">
        <f t="shared" si="565"/>
        <v>0</v>
      </c>
      <c r="AY91" s="279">
        <f t="shared" si="565"/>
        <v>0</v>
      </c>
      <c r="AZ91" s="279">
        <f t="shared" si="565"/>
        <v>0</v>
      </c>
      <c r="BA91" s="279">
        <f t="shared" si="565"/>
        <v>0</v>
      </c>
      <c r="BB91" s="279">
        <f t="shared" si="565"/>
        <v>0</v>
      </c>
      <c r="BC91" s="279">
        <f t="shared" si="565"/>
        <v>0</v>
      </c>
      <c r="BD91" s="279">
        <f t="shared" si="565"/>
        <v>0</v>
      </c>
      <c r="BE91" s="279">
        <f t="shared" si="565"/>
        <v>0</v>
      </c>
      <c r="BF91" s="279">
        <f t="shared" si="565"/>
        <v>0</v>
      </c>
      <c r="BG91" s="279">
        <f t="shared" si="565"/>
        <v>0</v>
      </c>
      <c r="BH91" s="279">
        <f t="shared" si="565"/>
        <v>0</v>
      </c>
      <c r="BI91" s="279">
        <f t="shared" si="565"/>
        <v>0</v>
      </c>
      <c r="BJ91" s="279">
        <f t="shared" si="565"/>
        <v>0</v>
      </c>
      <c r="BK91" s="279">
        <f t="shared" si="565"/>
        <v>0</v>
      </c>
      <c r="BL91" s="279">
        <f t="shared" si="565"/>
        <v>0</v>
      </c>
      <c r="BM91" s="279">
        <f t="shared" si="565"/>
        <v>0</v>
      </c>
      <c r="BN91" s="279">
        <f t="shared" si="565"/>
        <v>0</v>
      </c>
    </row>
    <row r="92" spans="3:66" x14ac:dyDescent="0.2">
      <c r="C92" s="322"/>
      <c r="D92" s="23" t="s">
        <v>7</v>
      </c>
      <c r="E92" s="91">
        <f t="shared" si="553"/>
        <v>14.640000000000011</v>
      </c>
      <c r="F92" s="28">
        <f>IF(F91="",VLOOKUP($C91,'CUSTOS REALIZADOS'!$A$11:$E$995,4),(VLOOKUP($C91,'CUSTOS REALIZADOS'!$A$11:$E$995,5)))</f>
        <v>0.24000000000000002</v>
      </c>
      <c r="G92" s="28">
        <f>IF(G91="",VLOOKUP($C91,'CUSTOS REALIZADOS'!$A$11:$E$995,4),(VLOOKUP($C91,'CUSTOS REALIZADOS'!$A$11:$E$995,5)))</f>
        <v>0.24000000000000002</v>
      </c>
      <c r="H92" s="28">
        <f>IF(H91="",VLOOKUP($C91,'CUSTOS REALIZADOS'!$A$11:$E$995,4),(VLOOKUP($C91,'CUSTOS REALIZADOS'!$A$11:$E$995,5)))</f>
        <v>0.24000000000000002</v>
      </c>
      <c r="I92" s="28">
        <f>IF(I91="",VLOOKUP($C91,'CUSTOS REALIZADOS'!$A$11:$E$995,4),(VLOOKUP($C91,'CUSTOS REALIZADOS'!$A$11:$E$995,5)))</f>
        <v>0.24000000000000002</v>
      </c>
      <c r="J92" s="28">
        <f>IF(J91="",VLOOKUP($C91,'CUSTOS REALIZADOS'!$A$11:$E$995,4),(VLOOKUP($C91,'CUSTOS REALIZADOS'!$A$11:$E$995,5)))</f>
        <v>0.24000000000000002</v>
      </c>
      <c r="K92" s="28">
        <f>IF(K91="",VLOOKUP($C91,'CUSTOS REALIZADOS'!$A$11:$E$995,4),(VLOOKUP($C91,'CUSTOS REALIZADOS'!$A$11:$E$995,5)))</f>
        <v>0.24000000000000002</v>
      </c>
      <c r="L92" s="28">
        <f>IF(L91="",VLOOKUP($C91,'CUSTOS REALIZADOS'!$A$11:$E$995,4),(VLOOKUP($C91,'CUSTOS REALIZADOS'!$A$11:$E$995,5)))</f>
        <v>0.24000000000000002</v>
      </c>
      <c r="M92" s="28">
        <f>IF(M91="",VLOOKUP($C91,'CUSTOS REALIZADOS'!$A$11:$E$995,4),(VLOOKUP($C91,'CUSTOS REALIZADOS'!$A$11:$E$995,5)))</f>
        <v>0.24000000000000002</v>
      </c>
      <c r="N92" s="28">
        <f>IF(N91="",VLOOKUP($C91,'CUSTOS REALIZADOS'!$A$11:$E$995,4),(VLOOKUP($C91,'CUSTOS REALIZADOS'!$A$11:$E$995,5)))</f>
        <v>0.24000000000000002</v>
      </c>
      <c r="O92" s="28">
        <f>IF(O91="",VLOOKUP($C91,'CUSTOS REALIZADOS'!$A$11:$E$995,4),(VLOOKUP($C91,'CUSTOS REALIZADOS'!$A$11:$E$995,5)))</f>
        <v>0.24000000000000002</v>
      </c>
      <c r="P92" s="28">
        <f>IF(P91="",VLOOKUP($C91,'CUSTOS REALIZADOS'!$A$11:$E$995,4),(VLOOKUP($C91,'CUSTOS REALIZADOS'!$A$11:$E$995,5)))</f>
        <v>0.24000000000000002</v>
      </c>
      <c r="Q92" s="28">
        <f>IF(Q91="",VLOOKUP($C91,'CUSTOS REALIZADOS'!$A$11:$E$995,4),(VLOOKUP($C91,'CUSTOS REALIZADOS'!$A$11:$E$995,5)))</f>
        <v>0.24000000000000002</v>
      </c>
      <c r="R92" s="28">
        <f>IF(R91="",VLOOKUP($C91,'CUSTOS REALIZADOS'!$A$11:$E$995,4),(VLOOKUP($C91,'CUSTOS REALIZADOS'!$A$11:$E$995,5)))</f>
        <v>0.24000000000000002</v>
      </c>
      <c r="S92" s="28">
        <f>IF(S91="",VLOOKUP($C91,'CUSTOS REALIZADOS'!$A$11:$E$995,4),(VLOOKUP($C91,'CUSTOS REALIZADOS'!$A$11:$E$995,5)))</f>
        <v>0.24000000000000002</v>
      </c>
      <c r="T92" s="28">
        <f>IF(T91="",VLOOKUP($C91,'CUSTOS REALIZADOS'!$A$11:$E$995,4),(VLOOKUP($C91,'CUSTOS REALIZADOS'!$A$11:$E$995,5)))</f>
        <v>0.24000000000000002</v>
      </c>
      <c r="U92" s="28">
        <f>IF(U91="",VLOOKUP($C91,'CUSTOS REALIZADOS'!$A$11:$E$995,4),(VLOOKUP($C91,'CUSTOS REALIZADOS'!$A$11:$E$995,5)))</f>
        <v>0.24000000000000002</v>
      </c>
      <c r="V92" s="28">
        <f>IF(V91="",VLOOKUP($C91,'CUSTOS REALIZADOS'!$A$11:$E$995,4),(VLOOKUP($C91,'CUSTOS REALIZADOS'!$A$11:$E$995,5)))</f>
        <v>0.24000000000000002</v>
      </c>
      <c r="W92" s="28">
        <f>IF(W91="",VLOOKUP($C91,'CUSTOS REALIZADOS'!$A$11:$E$995,4),(VLOOKUP($C91,'CUSTOS REALIZADOS'!$A$11:$E$995,5)))</f>
        <v>0.24000000000000002</v>
      </c>
      <c r="X92" s="28">
        <f>IF(X91="",VLOOKUP($C91,'CUSTOS REALIZADOS'!$A$11:$E$995,4),(VLOOKUP($C91,'CUSTOS REALIZADOS'!$A$11:$E$995,5)))</f>
        <v>0.24000000000000002</v>
      </c>
      <c r="Y92" s="28">
        <f>IF(Y91="",VLOOKUP($C91,'CUSTOS REALIZADOS'!$A$11:$E$995,4),(VLOOKUP($C91,'CUSTOS REALIZADOS'!$A$11:$E$995,5)))</f>
        <v>0.24000000000000002</v>
      </c>
      <c r="Z92" s="28">
        <f>IF(Z91="",VLOOKUP($C91,'CUSTOS REALIZADOS'!$A$11:$E$995,4),(VLOOKUP($C91,'CUSTOS REALIZADOS'!$A$11:$E$995,5)))</f>
        <v>0.24000000000000002</v>
      </c>
      <c r="AA92" s="28">
        <f>IF(AA91="",VLOOKUP($C91,'CUSTOS REALIZADOS'!$A$11:$E$995,4),(VLOOKUP($C91,'CUSTOS REALIZADOS'!$A$11:$E$995,5)))</f>
        <v>0.24000000000000002</v>
      </c>
      <c r="AB92" s="28">
        <f>IF(AB91="",VLOOKUP($C91,'CUSTOS REALIZADOS'!$A$11:$E$995,4),(VLOOKUP($C91,'CUSTOS REALIZADOS'!$A$11:$E$995,5)))</f>
        <v>0.24000000000000002</v>
      </c>
      <c r="AC92" s="28">
        <f>IF(AC91="",VLOOKUP($C91,'CUSTOS REALIZADOS'!$A$11:$E$995,4),(VLOOKUP($C91,'CUSTOS REALIZADOS'!$A$11:$E$995,5)))</f>
        <v>0.24000000000000002</v>
      </c>
      <c r="AD92" s="28">
        <f>IF(AD91="",VLOOKUP($C91,'CUSTOS REALIZADOS'!$A$11:$E$995,4),(VLOOKUP($C91,'CUSTOS REALIZADOS'!$A$11:$E$995,5)))</f>
        <v>0.24000000000000002</v>
      </c>
      <c r="AE92" s="28">
        <f>IF(AE91="",VLOOKUP($C91,'CUSTOS REALIZADOS'!$A$11:$E$995,4),(VLOOKUP($C91,'CUSTOS REALIZADOS'!$A$11:$E$995,5)))</f>
        <v>0.24000000000000002</v>
      </c>
      <c r="AF92" s="28">
        <f>IF(AF91="",VLOOKUP($C91,'CUSTOS REALIZADOS'!$A$11:$E$995,4),(VLOOKUP($C91,'CUSTOS REALIZADOS'!$A$11:$E$995,5)))</f>
        <v>0.24000000000000002</v>
      </c>
      <c r="AG92" s="28">
        <f>IF(AG91="",VLOOKUP($C91,'CUSTOS REALIZADOS'!$A$11:$E$995,4),(VLOOKUP($C91,'CUSTOS REALIZADOS'!$A$11:$E$995,5)))</f>
        <v>0.24000000000000002</v>
      </c>
      <c r="AH92" s="28">
        <f>IF(AH91="",VLOOKUP($C91,'CUSTOS REALIZADOS'!$A$11:$E$995,4),(VLOOKUP($C91,'CUSTOS REALIZADOS'!$A$11:$E$995,5)))</f>
        <v>0.24000000000000002</v>
      </c>
      <c r="AI92" s="28">
        <f>IF(AI91="",VLOOKUP($C91,'CUSTOS REALIZADOS'!$A$11:$E$995,4),(VLOOKUP($C91,'CUSTOS REALIZADOS'!$A$11:$E$995,5)))</f>
        <v>0.24000000000000002</v>
      </c>
      <c r="AJ92" s="28">
        <f>IF(AJ91="",VLOOKUP($C91,'CUSTOS REALIZADOS'!$A$11:$E$995,4),(VLOOKUP($C91,'CUSTOS REALIZADOS'!$A$11:$E$995,5)))</f>
        <v>0.24000000000000002</v>
      </c>
      <c r="AK92" s="28">
        <f>IF(AK91="",VLOOKUP($C91,'CUSTOS REALIZADOS'!$A$11:$E$995,4),(VLOOKUP($C91,'CUSTOS REALIZADOS'!$A$11:$E$995,5)))</f>
        <v>0.24000000000000002</v>
      </c>
      <c r="AL92" s="28">
        <f>IF(AL91="",VLOOKUP($C91,'CUSTOS REALIZADOS'!$A$11:$E$995,4),(VLOOKUP($C91,'CUSTOS REALIZADOS'!$A$11:$E$995,5)))</f>
        <v>0.24000000000000002</v>
      </c>
      <c r="AM92" s="28">
        <f>IF(AM91="",VLOOKUP($C91,'CUSTOS REALIZADOS'!$A$11:$E$995,4),(VLOOKUP($C91,'CUSTOS REALIZADOS'!$A$11:$E$995,5)))</f>
        <v>0.24000000000000002</v>
      </c>
      <c r="AN92" s="28">
        <f>IF(AN91="",VLOOKUP($C91,'CUSTOS REALIZADOS'!$A$11:$E$995,4),(VLOOKUP($C91,'CUSTOS REALIZADOS'!$A$11:$E$995,5)))</f>
        <v>0.24000000000000002</v>
      </c>
      <c r="AO92" s="28">
        <f>IF(AO91="",VLOOKUP($C91,'CUSTOS REALIZADOS'!$A$11:$E$995,4),(VLOOKUP($C91,'CUSTOS REALIZADOS'!$A$11:$E$995,5)))</f>
        <v>0.24000000000000002</v>
      </c>
      <c r="AP92" s="28">
        <f>IF(AP91="",VLOOKUP($C91,'CUSTOS REALIZADOS'!$A$11:$E$995,4),(VLOOKUP($C91,'CUSTOS REALIZADOS'!$A$11:$E$995,5)))</f>
        <v>0.24000000000000002</v>
      </c>
      <c r="AQ92" s="28">
        <f>IF(AQ91="",VLOOKUP($C91,'CUSTOS REALIZADOS'!$A$11:$E$995,4),(VLOOKUP($C91,'CUSTOS REALIZADOS'!$A$11:$E$995,5)))</f>
        <v>0.24000000000000002</v>
      </c>
      <c r="AR92" s="28">
        <f>IF(AR91="",VLOOKUP($C91,'CUSTOS REALIZADOS'!$A$11:$E$995,4),(VLOOKUP($C91,'CUSTOS REALIZADOS'!$A$11:$E$995,5)))</f>
        <v>0.24000000000000002</v>
      </c>
      <c r="AS92" s="28">
        <f>IF(AS91="",VLOOKUP($C91,'CUSTOS REALIZADOS'!$A$11:$E$995,4),(VLOOKUP($C91,'CUSTOS REALIZADOS'!$A$11:$E$995,5)))</f>
        <v>0.24000000000000002</v>
      </c>
      <c r="AT92" s="28">
        <f>IF(AT91="",VLOOKUP($C91,'CUSTOS REALIZADOS'!$A$11:$E$995,4),(VLOOKUP($C91,'CUSTOS REALIZADOS'!$A$11:$E$995,5)))</f>
        <v>0.24000000000000002</v>
      </c>
      <c r="AU92" s="28">
        <f>IF(AU91="",VLOOKUP($C91,'CUSTOS REALIZADOS'!$A$11:$E$995,4),(VLOOKUP($C91,'CUSTOS REALIZADOS'!$A$11:$E$995,5)))</f>
        <v>0.24000000000000002</v>
      </c>
      <c r="AV92" s="28">
        <f>IF(AV91="",VLOOKUP($C91,'CUSTOS REALIZADOS'!$A$11:$E$995,4),(VLOOKUP($C91,'CUSTOS REALIZADOS'!$A$11:$E$995,5)))</f>
        <v>0.24000000000000002</v>
      </c>
      <c r="AW92" s="28">
        <f>IF(AW91="",VLOOKUP($C91,'CUSTOS REALIZADOS'!$A$11:$E$995,4),(VLOOKUP($C91,'CUSTOS REALIZADOS'!$A$11:$E$995,5)))</f>
        <v>0.24000000000000002</v>
      </c>
      <c r="AX92" s="28">
        <f>IF(AX91="",VLOOKUP($C91,'CUSTOS REALIZADOS'!$A$11:$E$995,4),(VLOOKUP($C91,'CUSTOS REALIZADOS'!$A$11:$E$995,5)))</f>
        <v>0.24000000000000002</v>
      </c>
      <c r="AY92" s="28">
        <f>IF(AY91="",VLOOKUP($C91,'CUSTOS REALIZADOS'!$A$11:$E$995,4),(VLOOKUP($C91,'CUSTOS REALIZADOS'!$A$11:$E$995,5)))</f>
        <v>0.24000000000000002</v>
      </c>
      <c r="AZ92" s="28">
        <f>IF(AZ91="",VLOOKUP($C91,'CUSTOS REALIZADOS'!$A$11:$E$995,4),(VLOOKUP($C91,'CUSTOS REALIZADOS'!$A$11:$E$995,5)))</f>
        <v>0.24000000000000002</v>
      </c>
      <c r="BA92" s="28">
        <f>IF(BA91="",VLOOKUP($C91,'CUSTOS REALIZADOS'!$A$11:$E$995,4),(VLOOKUP($C91,'CUSTOS REALIZADOS'!$A$11:$E$995,5)))</f>
        <v>0.24000000000000002</v>
      </c>
      <c r="BB92" s="28">
        <f>IF(BB91="",VLOOKUP($C91,'CUSTOS REALIZADOS'!$A$11:$E$995,4),(VLOOKUP($C91,'CUSTOS REALIZADOS'!$A$11:$E$995,5)))</f>
        <v>0.24000000000000002</v>
      </c>
      <c r="BC92" s="28">
        <f>IF(BC91="",VLOOKUP($C91,'CUSTOS REALIZADOS'!$A$11:$E$995,4),(VLOOKUP($C91,'CUSTOS REALIZADOS'!$A$11:$E$995,5)))</f>
        <v>0.24000000000000002</v>
      </c>
      <c r="BD92" s="28">
        <f>IF(BD91="",VLOOKUP($C91,'CUSTOS REALIZADOS'!$A$11:$E$995,4),(VLOOKUP($C91,'CUSTOS REALIZADOS'!$A$11:$E$995,5)))</f>
        <v>0.24000000000000002</v>
      </c>
      <c r="BE92" s="28">
        <f>IF(BE91="",VLOOKUP($C91,'CUSTOS REALIZADOS'!$A$11:$E$995,4),(VLOOKUP($C91,'CUSTOS REALIZADOS'!$A$11:$E$995,5)))</f>
        <v>0.24000000000000002</v>
      </c>
      <c r="BF92" s="28">
        <f>IF(BF91="",VLOOKUP($C91,'CUSTOS REALIZADOS'!$A$11:$E$995,4),(VLOOKUP($C91,'CUSTOS REALIZADOS'!$A$11:$E$995,5)))</f>
        <v>0.24000000000000002</v>
      </c>
      <c r="BG92" s="28">
        <f>IF(BG91="",VLOOKUP($C91,'CUSTOS REALIZADOS'!$A$11:$E$995,4),(VLOOKUP($C91,'CUSTOS REALIZADOS'!$A$11:$E$995,5)))</f>
        <v>0.24000000000000002</v>
      </c>
      <c r="BH92" s="28">
        <f>IF(BH91="",VLOOKUP($C91,'CUSTOS REALIZADOS'!$A$11:$E$995,4),(VLOOKUP($C91,'CUSTOS REALIZADOS'!$A$11:$E$995,5)))</f>
        <v>0.24000000000000002</v>
      </c>
      <c r="BI92" s="28">
        <f>IF(BI91="",VLOOKUP($C91,'CUSTOS REALIZADOS'!$A$11:$E$995,4),(VLOOKUP($C91,'CUSTOS REALIZADOS'!$A$11:$E$995,5)))</f>
        <v>0.24000000000000002</v>
      </c>
      <c r="BJ92" s="28">
        <f>IF(BJ91="",VLOOKUP($C91,'CUSTOS REALIZADOS'!$A$11:$E$995,4),(VLOOKUP($C91,'CUSTOS REALIZADOS'!$A$11:$E$995,5)))</f>
        <v>0.24000000000000002</v>
      </c>
      <c r="BK92" s="28">
        <f>IF(BK91="",VLOOKUP($C91,'CUSTOS REALIZADOS'!$A$11:$E$995,4),(VLOOKUP($C91,'CUSTOS REALIZADOS'!$A$11:$E$995,5)))</f>
        <v>0.24000000000000002</v>
      </c>
      <c r="BL92" s="28">
        <f>IF(BL91="",VLOOKUP($C91,'CUSTOS REALIZADOS'!$A$11:$E$995,4),(VLOOKUP($C91,'CUSTOS REALIZADOS'!$A$11:$E$995,5)))</f>
        <v>0.24000000000000002</v>
      </c>
      <c r="BM92" s="28">
        <f>IF(BM91="",VLOOKUP($C91,'CUSTOS REALIZADOS'!$A$11:$E$995,4),(VLOOKUP($C91,'CUSTOS REALIZADOS'!$A$11:$E$995,5)))</f>
        <v>0.24000000000000002</v>
      </c>
      <c r="BN92" s="28">
        <f>IF(BN91="",VLOOKUP($C91,'CUSTOS REALIZADOS'!$A$11:$E$995,4),(VLOOKUP($C91,'CUSTOS REALIZADOS'!$A$11:$E$995,5)))</f>
        <v>0.24000000000000002</v>
      </c>
    </row>
    <row r="93" spans="3:66" x14ac:dyDescent="0.2">
      <c r="C93" s="322"/>
      <c r="D93" s="23" t="s">
        <v>6</v>
      </c>
      <c r="E93" s="27">
        <f t="shared" si="553"/>
        <v>95000</v>
      </c>
      <c r="F93" s="23">
        <f>IF(AND($C91&gt;=F$6,OR($C91&lt;F$8,F$8="")),F$7*F$28,0)</f>
        <v>0</v>
      </c>
      <c r="G93" s="23">
        <f t="shared" ref="G93:BN93" si="566">IF(AND($C91&gt;=G$6,OR($C91&lt;G$8,G$8="")),G$7*G$28,0)</f>
        <v>45000</v>
      </c>
      <c r="H93" s="23">
        <f t="shared" si="566"/>
        <v>50000</v>
      </c>
      <c r="I93" s="23">
        <f t="shared" si="566"/>
        <v>0</v>
      </c>
      <c r="J93" s="23">
        <f t="shared" si="566"/>
        <v>0</v>
      </c>
      <c r="K93" s="23">
        <f t="shared" si="566"/>
        <v>0</v>
      </c>
      <c r="L93" s="23">
        <f t="shared" si="566"/>
        <v>0</v>
      </c>
      <c r="M93" s="23">
        <f t="shared" si="566"/>
        <v>0</v>
      </c>
      <c r="N93" s="23">
        <f t="shared" si="566"/>
        <v>0</v>
      </c>
      <c r="O93" s="23">
        <f t="shared" si="566"/>
        <v>0</v>
      </c>
      <c r="P93" s="23">
        <f t="shared" si="566"/>
        <v>0</v>
      </c>
      <c r="Q93" s="23">
        <f t="shared" si="566"/>
        <v>0</v>
      </c>
      <c r="R93" s="23">
        <f t="shared" si="566"/>
        <v>0</v>
      </c>
      <c r="S93" s="23">
        <f t="shared" si="566"/>
        <v>0</v>
      </c>
      <c r="T93" s="23">
        <f t="shared" si="566"/>
        <v>0</v>
      </c>
      <c r="U93" s="23">
        <f t="shared" si="566"/>
        <v>0</v>
      </c>
      <c r="V93" s="23">
        <f t="shared" si="566"/>
        <v>0</v>
      </c>
      <c r="W93" s="23">
        <f t="shared" si="566"/>
        <v>0</v>
      </c>
      <c r="X93" s="23">
        <f t="shared" si="566"/>
        <v>0</v>
      </c>
      <c r="Y93" s="23">
        <f t="shared" si="566"/>
        <v>0</v>
      </c>
      <c r="Z93" s="23">
        <f t="shared" si="566"/>
        <v>0</v>
      </c>
      <c r="AA93" s="23">
        <f t="shared" si="566"/>
        <v>0</v>
      </c>
      <c r="AB93" s="23">
        <f t="shared" si="566"/>
        <v>0</v>
      </c>
      <c r="AC93" s="23">
        <f t="shared" si="566"/>
        <v>0</v>
      </c>
      <c r="AD93" s="23">
        <f t="shared" si="566"/>
        <v>0</v>
      </c>
      <c r="AE93" s="23">
        <f t="shared" si="566"/>
        <v>0</v>
      </c>
      <c r="AF93" s="23">
        <f t="shared" si="566"/>
        <v>0</v>
      </c>
      <c r="AG93" s="23">
        <f t="shared" si="566"/>
        <v>0</v>
      </c>
      <c r="AH93" s="23">
        <f t="shared" si="566"/>
        <v>0</v>
      </c>
      <c r="AI93" s="23">
        <f t="shared" si="566"/>
        <v>0</v>
      </c>
      <c r="AJ93" s="23">
        <f t="shared" si="566"/>
        <v>0</v>
      </c>
      <c r="AK93" s="23">
        <f t="shared" si="566"/>
        <v>0</v>
      </c>
      <c r="AL93" s="23">
        <f t="shared" si="566"/>
        <v>0</v>
      </c>
      <c r="AM93" s="23">
        <f t="shared" si="566"/>
        <v>0</v>
      </c>
      <c r="AN93" s="23">
        <f t="shared" si="566"/>
        <v>0</v>
      </c>
      <c r="AO93" s="23">
        <f t="shared" si="566"/>
        <v>0</v>
      </c>
      <c r="AP93" s="23">
        <f t="shared" si="566"/>
        <v>0</v>
      </c>
      <c r="AQ93" s="23">
        <f t="shared" si="566"/>
        <v>0</v>
      </c>
      <c r="AR93" s="23">
        <f t="shared" si="566"/>
        <v>0</v>
      </c>
      <c r="AS93" s="23">
        <f t="shared" si="566"/>
        <v>0</v>
      </c>
      <c r="AT93" s="23">
        <f t="shared" si="566"/>
        <v>0</v>
      </c>
      <c r="AU93" s="23">
        <f t="shared" si="566"/>
        <v>0</v>
      </c>
      <c r="AV93" s="23">
        <f t="shared" si="566"/>
        <v>0</v>
      </c>
      <c r="AW93" s="23">
        <f t="shared" si="566"/>
        <v>0</v>
      </c>
      <c r="AX93" s="23">
        <f t="shared" si="566"/>
        <v>0</v>
      </c>
      <c r="AY93" s="23">
        <f t="shared" si="566"/>
        <v>0</v>
      </c>
      <c r="AZ93" s="23">
        <f t="shared" si="566"/>
        <v>0</v>
      </c>
      <c r="BA93" s="23">
        <f t="shared" si="566"/>
        <v>0</v>
      </c>
      <c r="BB93" s="23">
        <f t="shared" si="566"/>
        <v>0</v>
      </c>
      <c r="BC93" s="23">
        <f t="shared" si="566"/>
        <v>0</v>
      </c>
      <c r="BD93" s="23">
        <f t="shared" si="566"/>
        <v>0</v>
      </c>
      <c r="BE93" s="23">
        <f t="shared" si="566"/>
        <v>0</v>
      </c>
      <c r="BF93" s="23">
        <f t="shared" si="566"/>
        <v>0</v>
      </c>
      <c r="BG93" s="23">
        <f t="shared" si="566"/>
        <v>0</v>
      </c>
      <c r="BH93" s="23">
        <f t="shared" si="566"/>
        <v>0</v>
      </c>
      <c r="BI93" s="23">
        <f t="shared" si="566"/>
        <v>0</v>
      </c>
      <c r="BJ93" s="23">
        <f t="shared" si="566"/>
        <v>0</v>
      </c>
      <c r="BK93" s="23">
        <f t="shared" si="566"/>
        <v>0</v>
      </c>
      <c r="BL93" s="23">
        <f t="shared" si="566"/>
        <v>0</v>
      </c>
      <c r="BM93" s="23">
        <f t="shared" si="566"/>
        <v>0</v>
      </c>
      <c r="BN93" s="23">
        <f t="shared" si="566"/>
        <v>0</v>
      </c>
    </row>
    <row r="94" spans="3:66" x14ac:dyDescent="0.2">
      <c r="C94" s="322"/>
      <c r="D94" s="23" t="s">
        <v>9</v>
      </c>
      <c r="E94" s="27">
        <f t="shared" si="553"/>
        <v>0</v>
      </c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</row>
    <row r="95" spans="3:66" x14ac:dyDescent="0.2">
      <c r="C95" s="322"/>
      <c r="D95" s="23" t="s">
        <v>14</v>
      </c>
      <c r="E95" s="27">
        <f t="shared" si="553"/>
        <v>871627.23091051343</v>
      </c>
      <c r="F95" s="23">
        <f>IF(F90=0,F91-F94,F90-F94)</f>
        <v>-152.94389031593496</v>
      </c>
      <c r="G95" s="23">
        <f t="shared" ref="G95" si="567">IF(G90=0,G91-G94,G90-G94)</f>
        <v>412948.50385302445</v>
      </c>
      <c r="H95" s="23">
        <f t="shared" ref="H95" si="568">IF(H90=0,H91-H94,H90-H94)</f>
        <v>458831.67094780493</v>
      </c>
      <c r="I95" s="23">
        <f t="shared" ref="I95" si="569">IF(I90=0,I91-I94,I90-I94)</f>
        <v>0</v>
      </c>
      <c r="J95" s="23">
        <f t="shared" ref="J95" si="570">IF(J90=0,J91-J94,J90-J94)</f>
        <v>0</v>
      </c>
      <c r="K95" s="23">
        <f t="shared" ref="K95" si="571">IF(K90=0,K91-K94,K90-K94)</f>
        <v>0</v>
      </c>
      <c r="L95" s="23">
        <f t="shared" ref="L95" si="572">IF(L90=0,L91-L94,L90-L94)</f>
        <v>0</v>
      </c>
      <c r="M95" s="23">
        <f t="shared" ref="M95" si="573">IF(M90=0,M91-M94,M90-M94)</f>
        <v>0</v>
      </c>
      <c r="N95" s="23">
        <f t="shared" ref="N95" si="574">IF(N90=0,N91-N94,N90-N94)</f>
        <v>0</v>
      </c>
      <c r="O95" s="23">
        <f t="shared" ref="O95" si="575">IF(O90=0,O91-O94,O90-O94)</f>
        <v>0</v>
      </c>
      <c r="P95" s="23">
        <f t="shared" ref="P95" si="576">IF(P90=0,P91-P94,P90-P94)</f>
        <v>0</v>
      </c>
      <c r="Q95" s="23">
        <f t="shared" ref="Q95" si="577">IF(Q90=0,Q91-Q94,Q90-Q94)</f>
        <v>0</v>
      </c>
      <c r="R95" s="23">
        <f t="shared" ref="R95" si="578">IF(R90=0,R91-R94,R90-R94)</f>
        <v>0</v>
      </c>
      <c r="S95" s="23">
        <f t="shared" ref="S95" si="579">IF(S90=0,S91-S94,S90-S94)</f>
        <v>0</v>
      </c>
      <c r="T95" s="23">
        <f t="shared" ref="T95" si="580">IF(T90=0,T91-T94,T90-T94)</f>
        <v>0</v>
      </c>
      <c r="U95" s="23">
        <f t="shared" ref="U95" si="581">IF(U90=0,U91-U94,U90-U94)</f>
        <v>0</v>
      </c>
      <c r="V95" s="23">
        <f t="shared" ref="V95" si="582">IF(V90=0,V91-V94,V90-V94)</f>
        <v>0</v>
      </c>
      <c r="W95" s="23">
        <f t="shared" ref="W95" si="583">IF(W90=0,W91-W94,W90-W94)</f>
        <v>0</v>
      </c>
      <c r="X95" s="23">
        <f t="shared" ref="X95" si="584">IF(X90=0,X91-X94,X90-X94)</f>
        <v>0</v>
      </c>
      <c r="Y95" s="23">
        <f t="shared" ref="Y95" si="585">IF(Y90=0,Y91-Y94,Y90-Y94)</f>
        <v>0</v>
      </c>
      <c r="Z95" s="23">
        <f t="shared" ref="Z95" si="586">IF(Z90=0,Z91-Z94,Z90-Z94)</f>
        <v>0</v>
      </c>
      <c r="AA95" s="23">
        <f t="shared" ref="AA95" si="587">IF(AA90=0,AA91-AA94,AA90-AA94)</f>
        <v>0</v>
      </c>
      <c r="AB95" s="23">
        <f t="shared" ref="AB95" si="588">IF(AB90=0,AB91-AB94,AB90-AB94)</f>
        <v>0</v>
      </c>
      <c r="AC95" s="23">
        <f t="shared" ref="AC95" si="589">IF(AC90=0,AC91-AC94,AC90-AC94)</f>
        <v>0</v>
      </c>
      <c r="AD95" s="23">
        <f t="shared" ref="AD95" si="590">IF(AD90=0,AD91-AD94,AD90-AD94)</f>
        <v>0</v>
      </c>
      <c r="AE95" s="23">
        <f t="shared" ref="AE95" si="591">IF(AE90=0,AE91-AE94,AE90-AE94)</f>
        <v>0</v>
      </c>
      <c r="AF95" s="23">
        <f t="shared" ref="AF95" si="592">IF(AF90=0,AF91-AF94,AF90-AF94)</f>
        <v>0</v>
      </c>
      <c r="AG95" s="23">
        <f t="shared" ref="AG95" si="593">IF(AG90=0,AG91-AG94,AG90-AG94)</f>
        <v>0</v>
      </c>
      <c r="AH95" s="23">
        <f t="shared" ref="AH95" si="594">IF(AH90=0,AH91-AH94,AH90-AH94)</f>
        <v>0</v>
      </c>
      <c r="AI95" s="23">
        <f t="shared" ref="AI95" si="595">IF(AI90=0,AI91-AI94,AI90-AI94)</f>
        <v>0</v>
      </c>
      <c r="AJ95" s="23">
        <f t="shared" ref="AJ95" si="596">IF(AJ90=0,AJ91-AJ94,AJ90-AJ94)</f>
        <v>0</v>
      </c>
      <c r="AK95" s="23">
        <f t="shared" ref="AK95" si="597">IF(AK90=0,AK91-AK94,AK90-AK94)</f>
        <v>0</v>
      </c>
      <c r="AL95" s="23">
        <f t="shared" ref="AL95" si="598">IF(AL90=0,AL91-AL94,AL90-AL94)</f>
        <v>0</v>
      </c>
      <c r="AM95" s="23">
        <f t="shared" ref="AM95" si="599">IF(AM90=0,AM91-AM94,AM90-AM94)</f>
        <v>0</v>
      </c>
      <c r="AN95" s="23">
        <f t="shared" ref="AN95" si="600">IF(AN90=0,AN91-AN94,AN90-AN94)</f>
        <v>0</v>
      </c>
      <c r="AO95" s="23">
        <f t="shared" ref="AO95" si="601">IF(AO90=0,AO91-AO94,AO90-AO94)</f>
        <v>0</v>
      </c>
      <c r="AP95" s="23">
        <f t="shared" ref="AP95" si="602">IF(AP90=0,AP91-AP94,AP90-AP94)</f>
        <v>0</v>
      </c>
      <c r="AQ95" s="23">
        <f t="shared" ref="AQ95" si="603">IF(AQ90=0,AQ91-AQ94,AQ90-AQ94)</f>
        <v>0</v>
      </c>
      <c r="AR95" s="23">
        <f t="shared" ref="AR95" si="604">IF(AR90=0,AR91-AR94,AR90-AR94)</f>
        <v>0</v>
      </c>
      <c r="AS95" s="23">
        <f t="shared" ref="AS95" si="605">IF(AS90=0,AS91-AS94,AS90-AS94)</f>
        <v>0</v>
      </c>
      <c r="AT95" s="23">
        <f t="shared" ref="AT95" si="606">IF(AT90=0,AT91-AT94,AT90-AT94)</f>
        <v>0</v>
      </c>
      <c r="AU95" s="23">
        <f t="shared" ref="AU95" si="607">IF(AU90=0,AU91-AU94,AU90-AU94)</f>
        <v>0</v>
      </c>
      <c r="AV95" s="23">
        <f t="shared" ref="AV95" si="608">IF(AV90=0,AV91-AV94,AV90-AV94)</f>
        <v>0</v>
      </c>
      <c r="AW95" s="23">
        <f t="shared" ref="AW95" si="609">IF(AW90=0,AW91-AW94,AW90-AW94)</f>
        <v>0</v>
      </c>
      <c r="AX95" s="23">
        <f t="shared" ref="AX95" si="610">IF(AX90=0,AX91-AX94,AX90-AX94)</f>
        <v>0</v>
      </c>
      <c r="AY95" s="23">
        <f t="shared" ref="AY95" si="611">IF(AY90=0,AY91-AY94,AY90-AY94)</f>
        <v>0</v>
      </c>
      <c r="AZ95" s="23">
        <f t="shared" ref="AZ95" si="612">IF(AZ90=0,AZ91-AZ94,AZ90-AZ94)</f>
        <v>0</v>
      </c>
      <c r="BA95" s="23">
        <f t="shared" ref="BA95" si="613">IF(BA90=0,BA91-BA94,BA90-BA94)</f>
        <v>0</v>
      </c>
      <c r="BB95" s="23">
        <f t="shared" ref="BB95" si="614">IF(BB90=0,BB91-BB94,BB90-BB94)</f>
        <v>0</v>
      </c>
      <c r="BC95" s="23">
        <f t="shared" ref="BC95" si="615">IF(BC90=0,BC91-BC94,BC90-BC94)</f>
        <v>0</v>
      </c>
      <c r="BD95" s="23">
        <f t="shared" ref="BD95" si="616">IF(BD90=0,BD91-BD94,BD90-BD94)</f>
        <v>0</v>
      </c>
      <c r="BE95" s="23">
        <f t="shared" ref="BE95" si="617">IF(BE90=0,BE91-BE94,BE90-BE94)</f>
        <v>0</v>
      </c>
      <c r="BF95" s="23">
        <f t="shared" ref="BF95" si="618">IF(BF90=0,BF91-BF94,BF90-BF94)</f>
        <v>0</v>
      </c>
      <c r="BG95" s="23">
        <f t="shared" ref="BG95" si="619">IF(BG90=0,BG91-BG94,BG90-BG94)</f>
        <v>0</v>
      </c>
      <c r="BH95" s="23">
        <f t="shared" ref="BH95" si="620">IF(BH90=0,BH91-BH94,BH90-BH94)</f>
        <v>0</v>
      </c>
      <c r="BI95" s="23">
        <f t="shared" ref="BI95" si="621">IF(BI90=0,BI91-BI94,BI90-BI94)</f>
        <v>0</v>
      </c>
      <c r="BJ95" s="23">
        <f t="shared" ref="BJ95" si="622">IF(BJ90=0,BJ91-BJ94,BJ90-BJ94)</f>
        <v>0</v>
      </c>
      <c r="BK95" s="23">
        <f t="shared" ref="BK95" si="623">IF(BK90=0,BK91-BK94,BK90-BK94)</f>
        <v>0</v>
      </c>
      <c r="BL95" s="23">
        <f t="shared" ref="BL95" si="624">IF(BL90=0,BL91-BL94,BL90-BL94)</f>
        <v>0</v>
      </c>
      <c r="BM95" s="23">
        <f t="shared" ref="BM95" si="625">IF(BM90=0,BM91-BM94,BM90-BM94)</f>
        <v>0</v>
      </c>
      <c r="BN95" s="23">
        <f t="shared" ref="BN95" si="626">IF(BN90=0,BN91-BN94,BN90-BN94)</f>
        <v>0</v>
      </c>
    </row>
    <row r="96" spans="3:66" x14ac:dyDescent="0.2">
      <c r="C96" s="322"/>
      <c r="D96" s="23" t="s">
        <v>10</v>
      </c>
      <c r="E96" s="72">
        <v>2.0999999999999999E-3</v>
      </c>
      <c r="F96" s="54">
        <v>2.0999999999999999E-3</v>
      </c>
      <c r="G96" s="54">
        <v>2.0999999999999999E-3</v>
      </c>
      <c r="H96" s="54">
        <v>2.0999999999999999E-3</v>
      </c>
      <c r="I96" s="54">
        <v>2.0999999999999999E-3</v>
      </c>
      <c r="J96" s="54">
        <v>2.0999999999999999E-3</v>
      </c>
      <c r="K96" s="54">
        <v>2.0999999999999999E-3</v>
      </c>
      <c r="L96" s="54">
        <v>2.0999999999999999E-3</v>
      </c>
      <c r="M96" s="54">
        <v>2.0999999999999999E-3</v>
      </c>
      <c r="N96" s="54">
        <v>2.0999999999999999E-3</v>
      </c>
      <c r="O96" s="54">
        <v>2.0999999999999999E-3</v>
      </c>
      <c r="P96" s="54">
        <v>2.0999999999999999E-3</v>
      </c>
      <c r="Q96" s="54">
        <v>2.0999999999999999E-3</v>
      </c>
      <c r="R96" s="54">
        <v>2.0999999999999999E-3</v>
      </c>
      <c r="S96" s="54">
        <v>2.0999999999999999E-3</v>
      </c>
      <c r="T96" s="54">
        <v>2.0999999999999999E-3</v>
      </c>
      <c r="U96" s="54">
        <v>2.0999999999999999E-3</v>
      </c>
      <c r="V96" s="54">
        <v>2.0999999999999999E-3</v>
      </c>
      <c r="W96" s="54">
        <v>2.0999999999999999E-3</v>
      </c>
      <c r="X96" s="54">
        <v>2.0999999999999999E-3</v>
      </c>
      <c r="Y96" s="54">
        <v>2.0999999999999999E-3</v>
      </c>
      <c r="Z96" s="54">
        <v>2.0999999999999999E-3</v>
      </c>
      <c r="AA96" s="54">
        <v>2.0999999999999999E-3</v>
      </c>
      <c r="AB96" s="54">
        <v>2.0999999999999999E-3</v>
      </c>
      <c r="AC96" s="54">
        <v>2.0999999999999999E-3</v>
      </c>
      <c r="AD96" s="54">
        <v>2.0999999999999999E-3</v>
      </c>
      <c r="AE96" s="54">
        <v>2.0999999999999999E-3</v>
      </c>
      <c r="AF96" s="54">
        <v>2.0999999999999999E-3</v>
      </c>
      <c r="AG96" s="54">
        <v>2.0999999999999999E-3</v>
      </c>
      <c r="AH96" s="54">
        <v>2.0999999999999999E-3</v>
      </c>
      <c r="AI96" s="54">
        <v>2.0999999999999999E-3</v>
      </c>
      <c r="AJ96" s="54">
        <v>2.0999999999999999E-3</v>
      </c>
      <c r="AK96" s="54">
        <v>2.0999999999999999E-3</v>
      </c>
      <c r="AL96" s="54">
        <v>2.0999999999999999E-3</v>
      </c>
      <c r="AM96" s="54">
        <v>2.0999999999999999E-3</v>
      </c>
      <c r="AN96" s="54">
        <v>2.0999999999999999E-3</v>
      </c>
      <c r="AO96" s="54">
        <v>2.0999999999999999E-3</v>
      </c>
      <c r="AP96" s="54">
        <v>2.0999999999999999E-3</v>
      </c>
      <c r="AQ96" s="54">
        <v>2.0999999999999999E-3</v>
      </c>
      <c r="AR96" s="54">
        <v>2.0999999999999999E-3</v>
      </c>
      <c r="AS96" s="54">
        <v>2.0999999999999999E-3</v>
      </c>
      <c r="AT96" s="54">
        <v>2.0999999999999999E-3</v>
      </c>
      <c r="AU96" s="54">
        <v>2.0999999999999999E-3</v>
      </c>
      <c r="AV96" s="54">
        <v>2.0999999999999999E-3</v>
      </c>
      <c r="AW96" s="54">
        <v>2.0999999999999999E-3</v>
      </c>
      <c r="AX96" s="54">
        <v>2.0999999999999999E-3</v>
      </c>
      <c r="AY96" s="54">
        <v>2.0999999999999999E-3</v>
      </c>
      <c r="AZ96" s="54">
        <v>2.0999999999999999E-3</v>
      </c>
      <c r="BA96" s="54">
        <v>2.0999999999999999E-3</v>
      </c>
      <c r="BB96" s="54">
        <v>2.0999999999999999E-3</v>
      </c>
      <c r="BC96" s="54">
        <v>2.0999999999999999E-3</v>
      </c>
      <c r="BD96" s="54">
        <v>2.0999999999999999E-3</v>
      </c>
      <c r="BE96" s="54">
        <v>2.0999999999999999E-3</v>
      </c>
      <c r="BF96" s="54">
        <v>2.0999999999999999E-3</v>
      </c>
      <c r="BG96" s="54">
        <v>2.0999999999999999E-3</v>
      </c>
      <c r="BH96" s="54">
        <v>2.0999999999999999E-3</v>
      </c>
      <c r="BI96" s="54">
        <v>2.0999999999999999E-3</v>
      </c>
      <c r="BJ96" s="54">
        <v>2.0999999999999999E-3</v>
      </c>
      <c r="BK96" s="54">
        <v>2.0999999999999999E-3</v>
      </c>
      <c r="BL96" s="54">
        <v>2.0999999999999999E-3</v>
      </c>
      <c r="BM96" s="54">
        <v>2.0999999999999999E-3</v>
      </c>
      <c r="BN96" s="54">
        <v>2.0999999999999999E-3</v>
      </c>
    </row>
    <row r="97" spans="3:66" x14ac:dyDescent="0.2">
      <c r="C97" s="322"/>
      <c r="D97" s="23" t="s">
        <v>12</v>
      </c>
      <c r="E97" s="27">
        <f t="shared" ref="E97:E102" si="627">SUM(F97:BN97)</f>
        <v>1830.417184912078</v>
      </c>
      <c r="F97" s="29">
        <f>+F95*F96</f>
        <v>-0.32118216966346341</v>
      </c>
      <c r="G97" s="29">
        <f>+G95*G96</f>
        <v>867.19185809135126</v>
      </c>
      <c r="H97" s="29">
        <f>+H95*H96</f>
        <v>963.54650899039029</v>
      </c>
      <c r="I97" s="29">
        <f t="shared" ref="I97:O97" si="628">+I95*I96</f>
        <v>0</v>
      </c>
      <c r="J97" s="29">
        <f t="shared" si="628"/>
        <v>0</v>
      </c>
      <c r="K97" s="29">
        <f t="shared" si="628"/>
        <v>0</v>
      </c>
      <c r="L97" s="29">
        <f t="shared" si="628"/>
        <v>0</v>
      </c>
      <c r="M97" s="29">
        <f t="shared" si="628"/>
        <v>0</v>
      </c>
      <c r="N97" s="29">
        <f t="shared" si="628"/>
        <v>0</v>
      </c>
      <c r="O97" s="29">
        <f t="shared" si="628"/>
        <v>0</v>
      </c>
      <c r="P97" s="29">
        <f>+P95*P96</f>
        <v>0</v>
      </c>
      <c r="Q97" s="29">
        <f t="shared" ref="Q97" si="629">+Q95*Q96</f>
        <v>0</v>
      </c>
      <c r="R97" s="29">
        <f>+R95*R96</f>
        <v>0</v>
      </c>
      <c r="S97" s="29">
        <f>+S95*S96</f>
        <v>0</v>
      </c>
      <c r="T97" s="29">
        <f t="shared" ref="T97" si="630">+T95*T96</f>
        <v>0</v>
      </c>
      <c r="U97" s="29">
        <f>+U95*U96</f>
        <v>0</v>
      </c>
      <c r="V97" s="29">
        <f t="shared" ref="V97:X97" si="631">+V95*V96</f>
        <v>0</v>
      </c>
      <c r="W97" s="29">
        <f t="shared" si="631"/>
        <v>0</v>
      </c>
      <c r="X97" s="29">
        <f t="shared" si="631"/>
        <v>0</v>
      </c>
      <c r="Y97" s="29">
        <f>+Y95*Y96</f>
        <v>0</v>
      </c>
      <c r="Z97" s="29">
        <f>+Z95*Z96</f>
        <v>0</v>
      </c>
      <c r="AA97" s="29">
        <f>+AA95*AA96</f>
        <v>0</v>
      </c>
      <c r="AB97" s="29">
        <f t="shared" ref="AB97:AD97" si="632">+AB95*AB96</f>
        <v>0</v>
      </c>
      <c r="AC97" s="29">
        <f t="shared" si="632"/>
        <v>0</v>
      </c>
      <c r="AD97" s="29">
        <f t="shared" si="632"/>
        <v>0</v>
      </c>
      <c r="AE97" s="29">
        <v>0</v>
      </c>
      <c r="AF97" s="29">
        <f>+AF95*AF96</f>
        <v>0</v>
      </c>
      <c r="AG97" s="29">
        <f t="shared" ref="AG97:AP97" si="633">+AG95*AG96</f>
        <v>0</v>
      </c>
      <c r="AH97" s="29">
        <f t="shared" si="633"/>
        <v>0</v>
      </c>
      <c r="AI97" s="29">
        <f t="shared" si="633"/>
        <v>0</v>
      </c>
      <c r="AJ97" s="29">
        <f t="shared" si="633"/>
        <v>0</v>
      </c>
      <c r="AK97" s="29">
        <f t="shared" si="633"/>
        <v>0</v>
      </c>
      <c r="AL97" s="29">
        <f t="shared" si="633"/>
        <v>0</v>
      </c>
      <c r="AM97" s="29">
        <f t="shared" si="633"/>
        <v>0</v>
      </c>
      <c r="AN97" s="29">
        <f t="shared" si="633"/>
        <v>0</v>
      </c>
      <c r="AO97" s="29">
        <v>0</v>
      </c>
      <c r="AP97" s="29">
        <f t="shared" si="633"/>
        <v>0</v>
      </c>
      <c r="AQ97" s="29">
        <f>+AQ95*AQ96</f>
        <v>0</v>
      </c>
      <c r="AR97" s="29">
        <f>+AR95*AR96</f>
        <v>0</v>
      </c>
      <c r="AS97" s="29">
        <f t="shared" ref="AS97:AU97" si="634">+AS95*AS96</f>
        <v>0</v>
      </c>
      <c r="AT97" s="29">
        <v>0</v>
      </c>
      <c r="AU97" s="29">
        <f t="shared" si="634"/>
        <v>0</v>
      </c>
      <c r="AV97" s="29">
        <v>0</v>
      </c>
      <c r="AW97" s="29">
        <f t="shared" ref="AW97" si="635">+AW95*AW96</f>
        <v>0</v>
      </c>
      <c r="AX97" s="29">
        <f>+AX95*AX96</f>
        <v>0</v>
      </c>
      <c r="AY97" s="29">
        <f>+AY95*AY96</f>
        <v>0</v>
      </c>
      <c r="AZ97" s="29">
        <v>0</v>
      </c>
      <c r="BA97" s="29">
        <f t="shared" ref="BA97:BM97" si="636">+BA95*BA96</f>
        <v>0</v>
      </c>
      <c r="BB97" s="29">
        <f t="shared" si="636"/>
        <v>0</v>
      </c>
      <c r="BC97" s="29">
        <f t="shared" si="636"/>
        <v>0</v>
      </c>
      <c r="BD97" s="29">
        <f t="shared" si="636"/>
        <v>0</v>
      </c>
      <c r="BE97" s="29">
        <f t="shared" si="636"/>
        <v>0</v>
      </c>
      <c r="BF97" s="29">
        <f t="shared" si="636"/>
        <v>0</v>
      </c>
      <c r="BG97" s="29">
        <v>0</v>
      </c>
      <c r="BH97" s="29">
        <v>0</v>
      </c>
      <c r="BI97" s="29">
        <v>0</v>
      </c>
      <c r="BJ97" s="29">
        <f t="shared" si="636"/>
        <v>0</v>
      </c>
      <c r="BK97" s="29">
        <v>0</v>
      </c>
      <c r="BL97" s="29">
        <f t="shared" si="636"/>
        <v>0</v>
      </c>
      <c r="BM97" s="29">
        <f t="shared" si="636"/>
        <v>0</v>
      </c>
      <c r="BN97" s="29">
        <v>0</v>
      </c>
    </row>
    <row r="98" spans="3:66" ht="13.5" thickBot="1" x14ac:dyDescent="0.25">
      <c r="C98" s="323"/>
      <c r="D98" s="25" t="s">
        <v>11</v>
      </c>
      <c r="E98" s="30">
        <f t="shared" si="627"/>
        <v>873457.64809542545</v>
      </c>
      <c r="F98" s="46">
        <f>+F95+F97</f>
        <v>-153.26507248559844</v>
      </c>
      <c r="G98" s="46">
        <f>+G95+G97</f>
        <v>413815.69571111578</v>
      </c>
      <c r="H98" s="46">
        <f>+H95+H97</f>
        <v>459795.21745679533</v>
      </c>
      <c r="I98" s="46">
        <f t="shared" ref="I98:AU98" si="637">+I95+I97</f>
        <v>0</v>
      </c>
      <c r="J98" s="46">
        <f t="shared" si="637"/>
        <v>0</v>
      </c>
      <c r="K98" s="46">
        <f t="shared" si="637"/>
        <v>0</v>
      </c>
      <c r="L98" s="46">
        <f t="shared" si="637"/>
        <v>0</v>
      </c>
      <c r="M98" s="46">
        <f t="shared" si="637"/>
        <v>0</v>
      </c>
      <c r="N98" s="46">
        <f t="shared" si="637"/>
        <v>0</v>
      </c>
      <c r="O98" s="46">
        <f t="shared" si="637"/>
        <v>0</v>
      </c>
      <c r="P98" s="46">
        <f t="shared" si="637"/>
        <v>0</v>
      </c>
      <c r="Q98" s="46">
        <f t="shared" si="637"/>
        <v>0</v>
      </c>
      <c r="R98" s="46">
        <f t="shared" si="637"/>
        <v>0</v>
      </c>
      <c r="S98" s="46">
        <f t="shared" si="637"/>
        <v>0</v>
      </c>
      <c r="T98" s="46">
        <f t="shared" si="637"/>
        <v>0</v>
      </c>
      <c r="U98" s="46">
        <f t="shared" si="637"/>
        <v>0</v>
      </c>
      <c r="V98" s="46">
        <f t="shared" si="637"/>
        <v>0</v>
      </c>
      <c r="W98" s="46">
        <f t="shared" si="637"/>
        <v>0</v>
      </c>
      <c r="X98" s="46">
        <f t="shared" si="637"/>
        <v>0</v>
      </c>
      <c r="Y98" s="46">
        <f t="shared" si="637"/>
        <v>0</v>
      </c>
      <c r="Z98" s="46">
        <f t="shared" si="637"/>
        <v>0</v>
      </c>
      <c r="AA98" s="46">
        <f t="shared" si="637"/>
        <v>0</v>
      </c>
      <c r="AB98" s="46">
        <f t="shared" si="637"/>
        <v>0</v>
      </c>
      <c r="AC98" s="46">
        <f t="shared" si="637"/>
        <v>0</v>
      </c>
      <c r="AD98" s="46">
        <f t="shared" si="637"/>
        <v>0</v>
      </c>
      <c r="AE98" s="46">
        <f t="shared" si="637"/>
        <v>0</v>
      </c>
      <c r="AF98" s="46">
        <f t="shared" si="637"/>
        <v>0</v>
      </c>
      <c r="AG98" s="46">
        <f t="shared" si="637"/>
        <v>0</v>
      </c>
      <c r="AH98" s="46">
        <f t="shared" si="637"/>
        <v>0</v>
      </c>
      <c r="AI98" s="46">
        <f t="shared" si="637"/>
        <v>0</v>
      </c>
      <c r="AJ98" s="46">
        <f t="shared" si="637"/>
        <v>0</v>
      </c>
      <c r="AK98" s="46">
        <f t="shared" si="637"/>
        <v>0</v>
      </c>
      <c r="AL98" s="46">
        <f t="shared" si="637"/>
        <v>0</v>
      </c>
      <c r="AM98" s="46">
        <f t="shared" si="637"/>
        <v>0</v>
      </c>
      <c r="AN98" s="46">
        <f t="shared" si="637"/>
        <v>0</v>
      </c>
      <c r="AO98" s="46">
        <f t="shared" si="637"/>
        <v>0</v>
      </c>
      <c r="AP98" s="46">
        <f t="shared" si="637"/>
        <v>0</v>
      </c>
      <c r="AQ98" s="46">
        <f t="shared" si="637"/>
        <v>0</v>
      </c>
      <c r="AR98" s="46">
        <f t="shared" si="637"/>
        <v>0</v>
      </c>
      <c r="AS98" s="46">
        <f t="shared" si="637"/>
        <v>0</v>
      </c>
      <c r="AT98" s="46">
        <f t="shared" si="637"/>
        <v>0</v>
      </c>
      <c r="AU98" s="46">
        <f t="shared" si="637"/>
        <v>0</v>
      </c>
      <c r="AV98" s="46">
        <f>+AV95+AV97</f>
        <v>0</v>
      </c>
      <c r="AW98" s="46">
        <f t="shared" ref="AW98:BN98" si="638">+AW95+AW97</f>
        <v>0</v>
      </c>
      <c r="AX98" s="46">
        <f t="shared" si="638"/>
        <v>0</v>
      </c>
      <c r="AY98" s="46">
        <f t="shared" si="638"/>
        <v>0</v>
      </c>
      <c r="AZ98" s="46">
        <f t="shared" si="638"/>
        <v>0</v>
      </c>
      <c r="BA98" s="46">
        <f t="shared" si="638"/>
        <v>0</v>
      </c>
      <c r="BB98" s="46">
        <f t="shared" si="638"/>
        <v>0</v>
      </c>
      <c r="BC98" s="46">
        <f t="shared" si="638"/>
        <v>0</v>
      </c>
      <c r="BD98" s="46">
        <f t="shared" si="638"/>
        <v>0</v>
      </c>
      <c r="BE98" s="46">
        <f t="shared" si="638"/>
        <v>0</v>
      </c>
      <c r="BF98" s="46">
        <f t="shared" si="638"/>
        <v>0</v>
      </c>
      <c r="BG98" s="46">
        <f t="shared" si="638"/>
        <v>0</v>
      </c>
      <c r="BH98" s="46">
        <f t="shared" si="638"/>
        <v>0</v>
      </c>
      <c r="BI98" s="46">
        <f t="shared" si="638"/>
        <v>0</v>
      </c>
      <c r="BJ98" s="46">
        <f t="shared" si="638"/>
        <v>0</v>
      </c>
      <c r="BK98" s="46">
        <f t="shared" si="638"/>
        <v>0</v>
      </c>
      <c r="BL98" s="46">
        <f t="shared" si="638"/>
        <v>0</v>
      </c>
      <c r="BM98" s="46">
        <f t="shared" si="638"/>
        <v>0</v>
      </c>
      <c r="BN98" s="46">
        <f t="shared" si="638"/>
        <v>0</v>
      </c>
    </row>
    <row r="99" spans="3:66" x14ac:dyDescent="0.2">
      <c r="C99" s="321">
        <v>43891</v>
      </c>
      <c r="D99" s="20" t="s">
        <v>5</v>
      </c>
      <c r="E99" s="50">
        <f t="shared" si="627"/>
        <v>0</v>
      </c>
      <c r="F99" s="279">
        <f>IF(F$6=$C99,F$7,0)</f>
        <v>0</v>
      </c>
      <c r="G99" s="279">
        <f t="shared" ref="G99:BN99" si="639">IF(G$6=$C99,G$7,0)</f>
        <v>0</v>
      </c>
      <c r="H99" s="279">
        <f t="shared" si="639"/>
        <v>0</v>
      </c>
      <c r="I99" s="279">
        <f t="shared" si="639"/>
        <v>0</v>
      </c>
      <c r="J99" s="279">
        <f t="shared" si="639"/>
        <v>0</v>
      </c>
      <c r="K99" s="279">
        <f t="shared" si="639"/>
        <v>0</v>
      </c>
      <c r="L99" s="279">
        <f t="shared" si="639"/>
        <v>0</v>
      </c>
      <c r="M99" s="279">
        <f t="shared" si="639"/>
        <v>0</v>
      </c>
      <c r="N99" s="279">
        <f t="shared" si="639"/>
        <v>0</v>
      </c>
      <c r="O99" s="279">
        <f t="shared" si="639"/>
        <v>0</v>
      </c>
      <c r="P99" s="279">
        <f t="shared" si="639"/>
        <v>0</v>
      </c>
      <c r="Q99" s="279">
        <f t="shared" si="639"/>
        <v>0</v>
      </c>
      <c r="R99" s="279">
        <f t="shared" si="639"/>
        <v>0</v>
      </c>
      <c r="S99" s="279">
        <f t="shared" si="639"/>
        <v>0</v>
      </c>
      <c r="T99" s="279">
        <f t="shared" si="639"/>
        <v>0</v>
      </c>
      <c r="U99" s="279">
        <f t="shared" si="639"/>
        <v>0</v>
      </c>
      <c r="V99" s="279">
        <f t="shared" si="639"/>
        <v>0</v>
      </c>
      <c r="W99" s="279">
        <f t="shared" si="639"/>
        <v>0</v>
      </c>
      <c r="X99" s="279">
        <f t="shared" si="639"/>
        <v>0</v>
      </c>
      <c r="Y99" s="279">
        <f t="shared" si="639"/>
        <v>0</v>
      </c>
      <c r="Z99" s="279">
        <f t="shared" si="639"/>
        <v>0</v>
      </c>
      <c r="AA99" s="279">
        <f t="shared" si="639"/>
        <v>0</v>
      </c>
      <c r="AB99" s="279">
        <f t="shared" si="639"/>
        <v>0</v>
      </c>
      <c r="AC99" s="279">
        <f t="shared" si="639"/>
        <v>0</v>
      </c>
      <c r="AD99" s="279">
        <f t="shared" si="639"/>
        <v>0</v>
      </c>
      <c r="AE99" s="279">
        <f t="shared" si="639"/>
        <v>0</v>
      </c>
      <c r="AF99" s="279">
        <f t="shared" si="639"/>
        <v>0</v>
      </c>
      <c r="AG99" s="279">
        <f t="shared" si="639"/>
        <v>0</v>
      </c>
      <c r="AH99" s="279">
        <f t="shared" si="639"/>
        <v>0</v>
      </c>
      <c r="AI99" s="279">
        <f t="shared" si="639"/>
        <v>0</v>
      </c>
      <c r="AJ99" s="279">
        <f t="shared" si="639"/>
        <v>0</v>
      </c>
      <c r="AK99" s="279">
        <f t="shared" si="639"/>
        <v>0</v>
      </c>
      <c r="AL99" s="279">
        <f t="shared" si="639"/>
        <v>0</v>
      </c>
      <c r="AM99" s="279">
        <f t="shared" si="639"/>
        <v>0</v>
      </c>
      <c r="AN99" s="279">
        <f t="shared" si="639"/>
        <v>0</v>
      </c>
      <c r="AO99" s="279">
        <f t="shared" si="639"/>
        <v>0</v>
      </c>
      <c r="AP99" s="279">
        <f t="shared" si="639"/>
        <v>0</v>
      </c>
      <c r="AQ99" s="279">
        <f t="shared" si="639"/>
        <v>0</v>
      </c>
      <c r="AR99" s="279">
        <f t="shared" si="639"/>
        <v>0</v>
      </c>
      <c r="AS99" s="279">
        <f t="shared" si="639"/>
        <v>0</v>
      </c>
      <c r="AT99" s="279">
        <f t="shared" si="639"/>
        <v>0</v>
      </c>
      <c r="AU99" s="279">
        <f t="shared" si="639"/>
        <v>0</v>
      </c>
      <c r="AV99" s="279">
        <f t="shared" si="639"/>
        <v>0</v>
      </c>
      <c r="AW99" s="279">
        <f t="shared" si="639"/>
        <v>0</v>
      </c>
      <c r="AX99" s="279">
        <f t="shared" si="639"/>
        <v>0</v>
      </c>
      <c r="AY99" s="279">
        <f t="shared" si="639"/>
        <v>0</v>
      </c>
      <c r="AZ99" s="279">
        <f t="shared" si="639"/>
        <v>0</v>
      </c>
      <c r="BA99" s="279">
        <f t="shared" si="639"/>
        <v>0</v>
      </c>
      <c r="BB99" s="279">
        <f t="shared" si="639"/>
        <v>0</v>
      </c>
      <c r="BC99" s="279">
        <f t="shared" si="639"/>
        <v>0</v>
      </c>
      <c r="BD99" s="279">
        <f t="shared" si="639"/>
        <v>0</v>
      </c>
      <c r="BE99" s="279">
        <f t="shared" si="639"/>
        <v>0</v>
      </c>
      <c r="BF99" s="279">
        <f t="shared" si="639"/>
        <v>0</v>
      </c>
      <c r="BG99" s="279">
        <f t="shared" si="639"/>
        <v>0</v>
      </c>
      <c r="BH99" s="279">
        <f t="shared" si="639"/>
        <v>0</v>
      </c>
      <c r="BI99" s="279">
        <f t="shared" si="639"/>
        <v>0</v>
      </c>
      <c r="BJ99" s="279">
        <f t="shared" si="639"/>
        <v>0</v>
      </c>
      <c r="BK99" s="279">
        <f t="shared" si="639"/>
        <v>0</v>
      </c>
      <c r="BL99" s="279">
        <f t="shared" si="639"/>
        <v>0</v>
      </c>
      <c r="BM99" s="279">
        <f t="shared" si="639"/>
        <v>0</v>
      </c>
      <c r="BN99" s="279">
        <f t="shared" si="639"/>
        <v>0</v>
      </c>
    </row>
    <row r="100" spans="3:66" x14ac:dyDescent="0.2">
      <c r="C100" s="322"/>
      <c r="D100" s="23" t="s">
        <v>7</v>
      </c>
      <c r="E100" s="91">
        <f t="shared" si="627"/>
        <v>14.640000000000011</v>
      </c>
      <c r="F100" s="28">
        <f>IF(F99="",VLOOKUP($C99,'CUSTOS REALIZADOS'!$A$11:$E$995,4),(VLOOKUP($C99,'CUSTOS REALIZADOS'!$A$11:$E$995,5)))</f>
        <v>0.24000000000000002</v>
      </c>
      <c r="G100" s="28">
        <f>IF(G99="",VLOOKUP($C99,'CUSTOS REALIZADOS'!$A$11:$E$995,4),(VLOOKUP($C99,'CUSTOS REALIZADOS'!$A$11:$E$995,5)))</f>
        <v>0.24000000000000002</v>
      </c>
      <c r="H100" s="28">
        <f>IF(H99="",VLOOKUP($C99,'CUSTOS REALIZADOS'!$A$11:$E$995,4),(VLOOKUP($C99,'CUSTOS REALIZADOS'!$A$11:$E$995,5)))</f>
        <v>0.24000000000000002</v>
      </c>
      <c r="I100" s="28">
        <f>IF(I99="",VLOOKUP($C99,'CUSTOS REALIZADOS'!$A$11:$E$995,4),(VLOOKUP($C99,'CUSTOS REALIZADOS'!$A$11:$E$995,5)))</f>
        <v>0.24000000000000002</v>
      </c>
      <c r="J100" s="28">
        <f>IF(J99="",VLOOKUP($C99,'CUSTOS REALIZADOS'!$A$11:$E$995,4),(VLOOKUP($C99,'CUSTOS REALIZADOS'!$A$11:$E$995,5)))</f>
        <v>0.24000000000000002</v>
      </c>
      <c r="K100" s="28">
        <f>IF(K99="",VLOOKUP($C99,'CUSTOS REALIZADOS'!$A$11:$E$995,4),(VLOOKUP($C99,'CUSTOS REALIZADOS'!$A$11:$E$995,5)))</f>
        <v>0.24000000000000002</v>
      </c>
      <c r="L100" s="28">
        <f>IF(L99="",VLOOKUP($C99,'CUSTOS REALIZADOS'!$A$11:$E$995,4),(VLOOKUP($C99,'CUSTOS REALIZADOS'!$A$11:$E$995,5)))</f>
        <v>0.24000000000000002</v>
      </c>
      <c r="M100" s="28">
        <f>IF(M99="",VLOOKUP($C99,'CUSTOS REALIZADOS'!$A$11:$E$995,4),(VLOOKUP($C99,'CUSTOS REALIZADOS'!$A$11:$E$995,5)))</f>
        <v>0.24000000000000002</v>
      </c>
      <c r="N100" s="28">
        <f>IF(N99="",VLOOKUP($C99,'CUSTOS REALIZADOS'!$A$11:$E$995,4),(VLOOKUP($C99,'CUSTOS REALIZADOS'!$A$11:$E$995,5)))</f>
        <v>0.24000000000000002</v>
      </c>
      <c r="O100" s="28">
        <f>IF(O99="",VLOOKUP($C99,'CUSTOS REALIZADOS'!$A$11:$E$995,4),(VLOOKUP($C99,'CUSTOS REALIZADOS'!$A$11:$E$995,5)))</f>
        <v>0.24000000000000002</v>
      </c>
      <c r="P100" s="28">
        <f>IF(P99="",VLOOKUP($C99,'CUSTOS REALIZADOS'!$A$11:$E$995,4),(VLOOKUP($C99,'CUSTOS REALIZADOS'!$A$11:$E$995,5)))</f>
        <v>0.24000000000000002</v>
      </c>
      <c r="Q100" s="28">
        <f>IF(Q99="",VLOOKUP($C99,'CUSTOS REALIZADOS'!$A$11:$E$995,4),(VLOOKUP($C99,'CUSTOS REALIZADOS'!$A$11:$E$995,5)))</f>
        <v>0.24000000000000002</v>
      </c>
      <c r="R100" s="28">
        <f>IF(R99="",VLOOKUP($C99,'CUSTOS REALIZADOS'!$A$11:$E$995,4),(VLOOKUP($C99,'CUSTOS REALIZADOS'!$A$11:$E$995,5)))</f>
        <v>0.24000000000000002</v>
      </c>
      <c r="S100" s="28">
        <f>IF(S99="",VLOOKUP($C99,'CUSTOS REALIZADOS'!$A$11:$E$995,4),(VLOOKUP($C99,'CUSTOS REALIZADOS'!$A$11:$E$995,5)))</f>
        <v>0.24000000000000002</v>
      </c>
      <c r="T100" s="28">
        <f>IF(T99="",VLOOKUP($C99,'CUSTOS REALIZADOS'!$A$11:$E$995,4),(VLOOKUP($C99,'CUSTOS REALIZADOS'!$A$11:$E$995,5)))</f>
        <v>0.24000000000000002</v>
      </c>
      <c r="U100" s="28">
        <f>IF(U99="",VLOOKUP($C99,'CUSTOS REALIZADOS'!$A$11:$E$995,4),(VLOOKUP($C99,'CUSTOS REALIZADOS'!$A$11:$E$995,5)))</f>
        <v>0.24000000000000002</v>
      </c>
      <c r="V100" s="28">
        <f>IF(V99="",VLOOKUP($C99,'CUSTOS REALIZADOS'!$A$11:$E$995,4),(VLOOKUP($C99,'CUSTOS REALIZADOS'!$A$11:$E$995,5)))</f>
        <v>0.24000000000000002</v>
      </c>
      <c r="W100" s="28">
        <f>IF(W99="",VLOOKUP($C99,'CUSTOS REALIZADOS'!$A$11:$E$995,4),(VLOOKUP($C99,'CUSTOS REALIZADOS'!$A$11:$E$995,5)))</f>
        <v>0.24000000000000002</v>
      </c>
      <c r="X100" s="28">
        <f>IF(X99="",VLOOKUP($C99,'CUSTOS REALIZADOS'!$A$11:$E$995,4),(VLOOKUP($C99,'CUSTOS REALIZADOS'!$A$11:$E$995,5)))</f>
        <v>0.24000000000000002</v>
      </c>
      <c r="Y100" s="28">
        <f>IF(Y99="",VLOOKUP($C99,'CUSTOS REALIZADOS'!$A$11:$E$995,4),(VLOOKUP($C99,'CUSTOS REALIZADOS'!$A$11:$E$995,5)))</f>
        <v>0.24000000000000002</v>
      </c>
      <c r="Z100" s="28">
        <f>IF(Z99="",VLOOKUP($C99,'CUSTOS REALIZADOS'!$A$11:$E$995,4),(VLOOKUP($C99,'CUSTOS REALIZADOS'!$A$11:$E$995,5)))</f>
        <v>0.24000000000000002</v>
      </c>
      <c r="AA100" s="28">
        <f>IF(AA99="",VLOOKUP($C99,'CUSTOS REALIZADOS'!$A$11:$E$995,4),(VLOOKUP($C99,'CUSTOS REALIZADOS'!$A$11:$E$995,5)))</f>
        <v>0.24000000000000002</v>
      </c>
      <c r="AB100" s="28">
        <f>IF(AB99="",VLOOKUP($C99,'CUSTOS REALIZADOS'!$A$11:$E$995,4),(VLOOKUP($C99,'CUSTOS REALIZADOS'!$A$11:$E$995,5)))</f>
        <v>0.24000000000000002</v>
      </c>
      <c r="AC100" s="28">
        <f>IF(AC99="",VLOOKUP($C99,'CUSTOS REALIZADOS'!$A$11:$E$995,4),(VLOOKUP($C99,'CUSTOS REALIZADOS'!$A$11:$E$995,5)))</f>
        <v>0.24000000000000002</v>
      </c>
      <c r="AD100" s="28">
        <f>IF(AD99="",VLOOKUP($C99,'CUSTOS REALIZADOS'!$A$11:$E$995,4),(VLOOKUP($C99,'CUSTOS REALIZADOS'!$A$11:$E$995,5)))</f>
        <v>0.24000000000000002</v>
      </c>
      <c r="AE100" s="28">
        <f>IF(AE99="",VLOOKUP($C99,'CUSTOS REALIZADOS'!$A$11:$E$995,4),(VLOOKUP($C99,'CUSTOS REALIZADOS'!$A$11:$E$995,5)))</f>
        <v>0.24000000000000002</v>
      </c>
      <c r="AF100" s="28">
        <f>IF(AF99="",VLOOKUP($C99,'CUSTOS REALIZADOS'!$A$11:$E$995,4),(VLOOKUP($C99,'CUSTOS REALIZADOS'!$A$11:$E$995,5)))</f>
        <v>0.24000000000000002</v>
      </c>
      <c r="AG100" s="28">
        <f>IF(AG99="",VLOOKUP($C99,'CUSTOS REALIZADOS'!$A$11:$E$995,4),(VLOOKUP($C99,'CUSTOS REALIZADOS'!$A$11:$E$995,5)))</f>
        <v>0.24000000000000002</v>
      </c>
      <c r="AH100" s="28">
        <f>IF(AH99="",VLOOKUP($C99,'CUSTOS REALIZADOS'!$A$11:$E$995,4),(VLOOKUP($C99,'CUSTOS REALIZADOS'!$A$11:$E$995,5)))</f>
        <v>0.24000000000000002</v>
      </c>
      <c r="AI100" s="28">
        <f>IF(AI99="",VLOOKUP($C99,'CUSTOS REALIZADOS'!$A$11:$E$995,4),(VLOOKUP($C99,'CUSTOS REALIZADOS'!$A$11:$E$995,5)))</f>
        <v>0.24000000000000002</v>
      </c>
      <c r="AJ100" s="28">
        <f>IF(AJ99="",VLOOKUP($C99,'CUSTOS REALIZADOS'!$A$11:$E$995,4),(VLOOKUP($C99,'CUSTOS REALIZADOS'!$A$11:$E$995,5)))</f>
        <v>0.24000000000000002</v>
      </c>
      <c r="AK100" s="28">
        <f>IF(AK99="",VLOOKUP($C99,'CUSTOS REALIZADOS'!$A$11:$E$995,4),(VLOOKUP($C99,'CUSTOS REALIZADOS'!$A$11:$E$995,5)))</f>
        <v>0.24000000000000002</v>
      </c>
      <c r="AL100" s="28">
        <f>IF(AL99="",VLOOKUP($C99,'CUSTOS REALIZADOS'!$A$11:$E$995,4),(VLOOKUP($C99,'CUSTOS REALIZADOS'!$A$11:$E$995,5)))</f>
        <v>0.24000000000000002</v>
      </c>
      <c r="AM100" s="28">
        <f>IF(AM99="",VLOOKUP($C99,'CUSTOS REALIZADOS'!$A$11:$E$995,4),(VLOOKUP($C99,'CUSTOS REALIZADOS'!$A$11:$E$995,5)))</f>
        <v>0.24000000000000002</v>
      </c>
      <c r="AN100" s="28">
        <f>IF(AN99="",VLOOKUP($C99,'CUSTOS REALIZADOS'!$A$11:$E$995,4),(VLOOKUP($C99,'CUSTOS REALIZADOS'!$A$11:$E$995,5)))</f>
        <v>0.24000000000000002</v>
      </c>
      <c r="AO100" s="28">
        <f>IF(AO99="",VLOOKUP($C99,'CUSTOS REALIZADOS'!$A$11:$E$995,4),(VLOOKUP($C99,'CUSTOS REALIZADOS'!$A$11:$E$995,5)))</f>
        <v>0.24000000000000002</v>
      </c>
      <c r="AP100" s="28">
        <f>IF(AP99="",VLOOKUP($C99,'CUSTOS REALIZADOS'!$A$11:$E$995,4),(VLOOKUP($C99,'CUSTOS REALIZADOS'!$A$11:$E$995,5)))</f>
        <v>0.24000000000000002</v>
      </c>
      <c r="AQ100" s="28">
        <f>IF(AQ99="",VLOOKUP($C99,'CUSTOS REALIZADOS'!$A$11:$E$995,4),(VLOOKUP($C99,'CUSTOS REALIZADOS'!$A$11:$E$995,5)))</f>
        <v>0.24000000000000002</v>
      </c>
      <c r="AR100" s="28">
        <f>IF(AR99="",VLOOKUP($C99,'CUSTOS REALIZADOS'!$A$11:$E$995,4),(VLOOKUP($C99,'CUSTOS REALIZADOS'!$A$11:$E$995,5)))</f>
        <v>0.24000000000000002</v>
      </c>
      <c r="AS100" s="28">
        <f>IF(AS99="",VLOOKUP($C99,'CUSTOS REALIZADOS'!$A$11:$E$995,4),(VLOOKUP($C99,'CUSTOS REALIZADOS'!$A$11:$E$995,5)))</f>
        <v>0.24000000000000002</v>
      </c>
      <c r="AT100" s="28">
        <f>IF(AT99="",VLOOKUP($C99,'CUSTOS REALIZADOS'!$A$11:$E$995,4),(VLOOKUP($C99,'CUSTOS REALIZADOS'!$A$11:$E$995,5)))</f>
        <v>0.24000000000000002</v>
      </c>
      <c r="AU100" s="28">
        <f>IF(AU99="",VLOOKUP($C99,'CUSTOS REALIZADOS'!$A$11:$E$995,4),(VLOOKUP($C99,'CUSTOS REALIZADOS'!$A$11:$E$995,5)))</f>
        <v>0.24000000000000002</v>
      </c>
      <c r="AV100" s="28">
        <f>IF(AV99="",VLOOKUP($C99,'CUSTOS REALIZADOS'!$A$11:$E$995,4),(VLOOKUP($C99,'CUSTOS REALIZADOS'!$A$11:$E$995,5)))</f>
        <v>0.24000000000000002</v>
      </c>
      <c r="AW100" s="28">
        <f>IF(AW99="",VLOOKUP($C99,'CUSTOS REALIZADOS'!$A$11:$E$995,4),(VLOOKUP($C99,'CUSTOS REALIZADOS'!$A$11:$E$995,5)))</f>
        <v>0.24000000000000002</v>
      </c>
      <c r="AX100" s="28">
        <f>IF(AX99="",VLOOKUP($C99,'CUSTOS REALIZADOS'!$A$11:$E$995,4),(VLOOKUP($C99,'CUSTOS REALIZADOS'!$A$11:$E$995,5)))</f>
        <v>0.24000000000000002</v>
      </c>
      <c r="AY100" s="28">
        <f>IF(AY99="",VLOOKUP($C99,'CUSTOS REALIZADOS'!$A$11:$E$995,4),(VLOOKUP($C99,'CUSTOS REALIZADOS'!$A$11:$E$995,5)))</f>
        <v>0.24000000000000002</v>
      </c>
      <c r="AZ100" s="28">
        <f>IF(AZ99="",VLOOKUP($C99,'CUSTOS REALIZADOS'!$A$11:$E$995,4),(VLOOKUP($C99,'CUSTOS REALIZADOS'!$A$11:$E$995,5)))</f>
        <v>0.24000000000000002</v>
      </c>
      <c r="BA100" s="28">
        <f>IF(BA99="",VLOOKUP($C99,'CUSTOS REALIZADOS'!$A$11:$E$995,4),(VLOOKUP($C99,'CUSTOS REALIZADOS'!$A$11:$E$995,5)))</f>
        <v>0.24000000000000002</v>
      </c>
      <c r="BB100" s="28">
        <f>IF(BB99="",VLOOKUP($C99,'CUSTOS REALIZADOS'!$A$11:$E$995,4),(VLOOKUP($C99,'CUSTOS REALIZADOS'!$A$11:$E$995,5)))</f>
        <v>0.24000000000000002</v>
      </c>
      <c r="BC100" s="28">
        <f>IF(BC99="",VLOOKUP($C99,'CUSTOS REALIZADOS'!$A$11:$E$995,4),(VLOOKUP($C99,'CUSTOS REALIZADOS'!$A$11:$E$995,5)))</f>
        <v>0.24000000000000002</v>
      </c>
      <c r="BD100" s="28">
        <f>IF(BD99="",VLOOKUP($C99,'CUSTOS REALIZADOS'!$A$11:$E$995,4),(VLOOKUP($C99,'CUSTOS REALIZADOS'!$A$11:$E$995,5)))</f>
        <v>0.24000000000000002</v>
      </c>
      <c r="BE100" s="28">
        <f>IF(BE99="",VLOOKUP($C99,'CUSTOS REALIZADOS'!$A$11:$E$995,4),(VLOOKUP($C99,'CUSTOS REALIZADOS'!$A$11:$E$995,5)))</f>
        <v>0.24000000000000002</v>
      </c>
      <c r="BF100" s="28">
        <f>IF(BF99="",VLOOKUP($C99,'CUSTOS REALIZADOS'!$A$11:$E$995,4),(VLOOKUP($C99,'CUSTOS REALIZADOS'!$A$11:$E$995,5)))</f>
        <v>0.24000000000000002</v>
      </c>
      <c r="BG100" s="28">
        <f>IF(BG99="",VLOOKUP($C99,'CUSTOS REALIZADOS'!$A$11:$E$995,4),(VLOOKUP($C99,'CUSTOS REALIZADOS'!$A$11:$E$995,5)))</f>
        <v>0.24000000000000002</v>
      </c>
      <c r="BH100" s="28">
        <f>IF(BH99="",VLOOKUP($C99,'CUSTOS REALIZADOS'!$A$11:$E$995,4),(VLOOKUP($C99,'CUSTOS REALIZADOS'!$A$11:$E$995,5)))</f>
        <v>0.24000000000000002</v>
      </c>
      <c r="BI100" s="28">
        <f>IF(BI99="",VLOOKUP($C99,'CUSTOS REALIZADOS'!$A$11:$E$995,4),(VLOOKUP($C99,'CUSTOS REALIZADOS'!$A$11:$E$995,5)))</f>
        <v>0.24000000000000002</v>
      </c>
      <c r="BJ100" s="28">
        <f>IF(BJ99="",VLOOKUP($C99,'CUSTOS REALIZADOS'!$A$11:$E$995,4),(VLOOKUP($C99,'CUSTOS REALIZADOS'!$A$11:$E$995,5)))</f>
        <v>0.24000000000000002</v>
      </c>
      <c r="BK100" s="28">
        <f>IF(BK99="",VLOOKUP($C99,'CUSTOS REALIZADOS'!$A$11:$E$995,4),(VLOOKUP($C99,'CUSTOS REALIZADOS'!$A$11:$E$995,5)))</f>
        <v>0.24000000000000002</v>
      </c>
      <c r="BL100" s="28">
        <f>IF(BL99="",VLOOKUP($C99,'CUSTOS REALIZADOS'!$A$11:$E$995,4),(VLOOKUP($C99,'CUSTOS REALIZADOS'!$A$11:$E$995,5)))</f>
        <v>0.24000000000000002</v>
      </c>
      <c r="BM100" s="28">
        <f>IF(BM99="",VLOOKUP($C99,'CUSTOS REALIZADOS'!$A$11:$E$995,4),(VLOOKUP($C99,'CUSTOS REALIZADOS'!$A$11:$E$995,5)))</f>
        <v>0.24000000000000002</v>
      </c>
      <c r="BN100" s="28">
        <f>IF(BN99="",VLOOKUP($C99,'CUSTOS REALIZADOS'!$A$11:$E$995,4),(VLOOKUP($C99,'CUSTOS REALIZADOS'!$A$11:$E$995,5)))</f>
        <v>0.24000000000000002</v>
      </c>
    </row>
    <row r="101" spans="3:66" x14ac:dyDescent="0.2">
      <c r="C101" s="322"/>
      <c r="D101" s="23" t="s">
        <v>6</v>
      </c>
      <c r="E101" s="27">
        <f t="shared" si="627"/>
        <v>95000</v>
      </c>
      <c r="F101" s="23">
        <f>IF(AND($C99&gt;=F$6,OR($C99&lt;F$8,F$8="")),F$7*F$28,0)</f>
        <v>0</v>
      </c>
      <c r="G101" s="23">
        <f t="shared" ref="G101:BN101" si="640">IF(AND($C99&gt;=G$6,OR($C99&lt;G$8,G$8="")),G$7*G$28,0)</f>
        <v>45000</v>
      </c>
      <c r="H101" s="23">
        <f t="shared" si="640"/>
        <v>50000</v>
      </c>
      <c r="I101" s="23">
        <f t="shared" si="640"/>
        <v>0</v>
      </c>
      <c r="J101" s="23">
        <f t="shared" si="640"/>
        <v>0</v>
      </c>
      <c r="K101" s="23">
        <f t="shared" si="640"/>
        <v>0</v>
      </c>
      <c r="L101" s="23">
        <f t="shared" si="640"/>
        <v>0</v>
      </c>
      <c r="M101" s="23">
        <f t="shared" si="640"/>
        <v>0</v>
      </c>
      <c r="N101" s="23">
        <f t="shared" si="640"/>
        <v>0</v>
      </c>
      <c r="O101" s="23">
        <f t="shared" si="640"/>
        <v>0</v>
      </c>
      <c r="P101" s="23">
        <f t="shared" si="640"/>
        <v>0</v>
      </c>
      <c r="Q101" s="23">
        <f t="shared" si="640"/>
        <v>0</v>
      </c>
      <c r="R101" s="23">
        <f t="shared" si="640"/>
        <v>0</v>
      </c>
      <c r="S101" s="23">
        <f t="shared" si="640"/>
        <v>0</v>
      </c>
      <c r="T101" s="23">
        <f t="shared" si="640"/>
        <v>0</v>
      </c>
      <c r="U101" s="23">
        <f t="shared" si="640"/>
        <v>0</v>
      </c>
      <c r="V101" s="23">
        <f t="shared" si="640"/>
        <v>0</v>
      </c>
      <c r="W101" s="23">
        <f t="shared" si="640"/>
        <v>0</v>
      </c>
      <c r="X101" s="23">
        <f t="shared" si="640"/>
        <v>0</v>
      </c>
      <c r="Y101" s="23">
        <f t="shared" si="640"/>
        <v>0</v>
      </c>
      <c r="Z101" s="23">
        <f t="shared" si="640"/>
        <v>0</v>
      </c>
      <c r="AA101" s="23">
        <f t="shared" si="640"/>
        <v>0</v>
      </c>
      <c r="AB101" s="23">
        <f t="shared" si="640"/>
        <v>0</v>
      </c>
      <c r="AC101" s="23">
        <f t="shared" si="640"/>
        <v>0</v>
      </c>
      <c r="AD101" s="23">
        <f t="shared" si="640"/>
        <v>0</v>
      </c>
      <c r="AE101" s="23">
        <f t="shared" si="640"/>
        <v>0</v>
      </c>
      <c r="AF101" s="23">
        <f t="shared" si="640"/>
        <v>0</v>
      </c>
      <c r="AG101" s="23">
        <f t="shared" si="640"/>
        <v>0</v>
      </c>
      <c r="AH101" s="23">
        <f t="shared" si="640"/>
        <v>0</v>
      </c>
      <c r="AI101" s="23">
        <f t="shared" si="640"/>
        <v>0</v>
      </c>
      <c r="AJ101" s="23">
        <f t="shared" si="640"/>
        <v>0</v>
      </c>
      <c r="AK101" s="23">
        <f t="shared" si="640"/>
        <v>0</v>
      </c>
      <c r="AL101" s="23">
        <f t="shared" si="640"/>
        <v>0</v>
      </c>
      <c r="AM101" s="23">
        <f t="shared" si="640"/>
        <v>0</v>
      </c>
      <c r="AN101" s="23">
        <f t="shared" si="640"/>
        <v>0</v>
      </c>
      <c r="AO101" s="23">
        <f t="shared" si="640"/>
        <v>0</v>
      </c>
      <c r="AP101" s="23">
        <f t="shared" si="640"/>
        <v>0</v>
      </c>
      <c r="AQ101" s="23">
        <f t="shared" si="640"/>
        <v>0</v>
      </c>
      <c r="AR101" s="23">
        <f t="shared" si="640"/>
        <v>0</v>
      </c>
      <c r="AS101" s="23">
        <f t="shared" si="640"/>
        <v>0</v>
      </c>
      <c r="AT101" s="23">
        <f t="shared" si="640"/>
        <v>0</v>
      </c>
      <c r="AU101" s="23">
        <f t="shared" si="640"/>
        <v>0</v>
      </c>
      <c r="AV101" s="23">
        <f t="shared" si="640"/>
        <v>0</v>
      </c>
      <c r="AW101" s="23">
        <f t="shared" si="640"/>
        <v>0</v>
      </c>
      <c r="AX101" s="23">
        <f t="shared" si="640"/>
        <v>0</v>
      </c>
      <c r="AY101" s="23">
        <f t="shared" si="640"/>
        <v>0</v>
      </c>
      <c r="AZ101" s="23">
        <f t="shared" si="640"/>
        <v>0</v>
      </c>
      <c r="BA101" s="23">
        <f t="shared" si="640"/>
        <v>0</v>
      </c>
      <c r="BB101" s="23">
        <f t="shared" si="640"/>
        <v>0</v>
      </c>
      <c r="BC101" s="23">
        <f t="shared" si="640"/>
        <v>0</v>
      </c>
      <c r="BD101" s="23">
        <f t="shared" si="640"/>
        <v>0</v>
      </c>
      <c r="BE101" s="23">
        <f t="shared" si="640"/>
        <v>0</v>
      </c>
      <c r="BF101" s="23">
        <f t="shared" si="640"/>
        <v>0</v>
      </c>
      <c r="BG101" s="23">
        <f t="shared" si="640"/>
        <v>0</v>
      </c>
      <c r="BH101" s="23">
        <f t="shared" si="640"/>
        <v>0</v>
      </c>
      <c r="BI101" s="23">
        <f t="shared" si="640"/>
        <v>0</v>
      </c>
      <c r="BJ101" s="23">
        <f t="shared" si="640"/>
        <v>0</v>
      </c>
      <c r="BK101" s="23">
        <f t="shared" si="640"/>
        <v>0</v>
      </c>
      <c r="BL101" s="23">
        <f t="shared" si="640"/>
        <v>0</v>
      </c>
      <c r="BM101" s="23">
        <f t="shared" si="640"/>
        <v>0</v>
      </c>
      <c r="BN101" s="23">
        <f t="shared" si="640"/>
        <v>0</v>
      </c>
    </row>
    <row r="102" spans="3:66" x14ac:dyDescent="0.2">
      <c r="C102" s="322"/>
      <c r="D102" s="23" t="s">
        <v>9</v>
      </c>
      <c r="E102" s="27">
        <f t="shared" si="627"/>
        <v>0</v>
      </c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</row>
    <row r="103" spans="3:66" x14ac:dyDescent="0.2">
      <c r="C103" s="322"/>
      <c r="D103" s="23" t="s">
        <v>14</v>
      </c>
      <c r="E103" s="27">
        <f>SUM(F103:AY103)</f>
        <v>873457.64809542545</v>
      </c>
      <c r="F103" s="23">
        <f>IF(F98=0,F99-F102,F98-F102)</f>
        <v>-153.26507248559844</v>
      </c>
      <c r="G103" s="23">
        <f t="shared" ref="G103" si="641">IF(G98=0,G99-G102,G98-G102)</f>
        <v>413815.69571111578</v>
      </c>
      <c r="H103" s="23">
        <f t="shared" ref="H103" si="642">IF(H98=0,H99-H102,H98-H102)</f>
        <v>459795.21745679533</v>
      </c>
      <c r="I103" s="23">
        <f t="shared" ref="I103" si="643">IF(I98=0,I99-I102,I98-I102)</f>
        <v>0</v>
      </c>
      <c r="J103" s="23">
        <f t="shared" ref="J103" si="644">IF(J98=0,J99-J102,J98-J102)</f>
        <v>0</v>
      </c>
      <c r="K103" s="23">
        <f t="shared" ref="K103" si="645">IF(K98=0,K99-K102,K98-K102)</f>
        <v>0</v>
      </c>
      <c r="L103" s="23">
        <f t="shared" ref="L103" si="646">IF(L98=0,L99-L102,L98-L102)</f>
        <v>0</v>
      </c>
      <c r="M103" s="23">
        <f t="shared" ref="M103" si="647">IF(M98=0,M99-M102,M98-M102)</f>
        <v>0</v>
      </c>
      <c r="N103" s="23">
        <f t="shared" ref="N103" si="648">IF(N98=0,N99-N102,N98-N102)</f>
        <v>0</v>
      </c>
      <c r="O103" s="23">
        <f t="shared" ref="O103" si="649">IF(O98=0,O99-O102,O98-O102)</f>
        <v>0</v>
      </c>
      <c r="P103" s="23">
        <f t="shared" ref="P103" si="650">IF(P98=0,P99-P102,P98-P102)</f>
        <v>0</v>
      </c>
      <c r="Q103" s="23">
        <f t="shared" ref="Q103" si="651">IF(Q98=0,Q99-Q102,Q98-Q102)</f>
        <v>0</v>
      </c>
      <c r="R103" s="23">
        <f t="shared" ref="R103" si="652">IF(R98=0,R99-R102,R98-R102)</f>
        <v>0</v>
      </c>
      <c r="S103" s="23">
        <f t="shared" ref="S103" si="653">IF(S98=0,S99-S102,S98-S102)</f>
        <v>0</v>
      </c>
      <c r="T103" s="23">
        <f t="shared" ref="T103" si="654">IF(T98=0,T99-T102,T98-T102)</f>
        <v>0</v>
      </c>
      <c r="U103" s="23">
        <f t="shared" ref="U103" si="655">IF(U98=0,U99-U102,U98-U102)</f>
        <v>0</v>
      </c>
      <c r="V103" s="23">
        <f t="shared" ref="V103" si="656">IF(V98=0,V99-V102,V98-V102)</f>
        <v>0</v>
      </c>
      <c r="W103" s="23">
        <f t="shared" ref="W103" si="657">IF(W98=0,W99-W102,W98-W102)</f>
        <v>0</v>
      </c>
      <c r="X103" s="23">
        <f t="shared" ref="X103" si="658">IF(X98=0,X99-X102,X98-X102)</f>
        <v>0</v>
      </c>
      <c r="Y103" s="23">
        <f t="shared" ref="Y103" si="659">IF(Y98=0,Y99-Y102,Y98-Y102)</f>
        <v>0</v>
      </c>
      <c r="Z103" s="23">
        <f t="shared" ref="Z103" si="660">IF(Z98=0,Z99-Z102,Z98-Z102)</f>
        <v>0</v>
      </c>
      <c r="AA103" s="23">
        <f t="shared" ref="AA103" si="661">IF(AA98=0,AA99-AA102,AA98-AA102)</f>
        <v>0</v>
      </c>
      <c r="AB103" s="23">
        <f t="shared" ref="AB103" si="662">IF(AB98=0,AB99-AB102,AB98-AB102)</f>
        <v>0</v>
      </c>
      <c r="AC103" s="23">
        <f t="shared" ref="AC103" si="663">IF(AC98=0,AC99-AC102,AC98-AC102)</f>
        <v>0</v>
      </c>
      <c r="AD103" s="23">
        <f t="shared" ref="AD103" si="664">IF(AD98=0,AD99-AD102,AD98-AD102)</f>
        <v>0</v>
      </c>
      <c r="AE103" s="23">
        <f t="shared" ref="AE103" si="665">IF(AE98=0,AE99-AE102,AE98-AE102)</f>
        <v>0</v>
      </c>
      <c r="AF103" s="23">
        <f t="shared" ref="AF103" si="666">IF(AF98=0,AF99-AF102,AF98-AF102)</f>
        <v>0</v>
      </c>
      <c r="AG103" s="23">
        <f t="shared" ref="AG103" si="667">IF(AG98=0,AG99-AG102,AG98-AG102)</f>
        <v>0</v>
      </c>
      <c r="AH103" s="23">
        <f t="shared" ref="AH103" si="668">IF(AH98=0,AH99-AH102,AH98-AH102)</f>
        <v>0</v>
      </c>
      <c r="AI103" s="23">
        <f t="shared" ref="AI103" si="669">IF(AI98=0,AI99-AI102,AI98-AI102)</f>
        <v>0</v>
      </c>
      <c r="AJ103" s="23">
        <f t="shared" ref="AJ103" si="670">IF(AJ98=0,AJ99-AJ102,AJ98-AJ102)</f>
        <v>0</v>
      </c>
      <c r="AK103" s="23">
        <f t="shared" ref="AK103" si="671">IF(AK98=0,AK99-AK102,AK98-AK102)</f>
        <v>0</v>
      </c>
      <c r="AL103" s="23">
        <f t="shared" ref="AL103" si="672">IF(AL98=0,AL99-AL102,AL98-AL102)</f>
        <v>0</v>
      </c>
      <c r="AM103" s="23">
        <f t="shared" ref="AM103" si="673">IF(AM98=0,AM99-AM102,AM98-AM102)</f>
        <v>0</v>
      </c>
      <c r="AN103" s="23">
        <f t="shared" ref="AN103" si="674">IF(AN98=0,AN99-AN102,AN98-AN102)</f>
        <v>0</v>
      </c>
      <c r="AO103" s="23">
        <f t="shared" ref="AO103" si="675">IF(AO98=0,AO99-AO102,AO98-AO102)</f>
        <v>0</v>
      </c>
      <c r="AP103" s="23">
        <f t="shared" ref="AP103" si="676">IF(AP98=0,AP99-AP102,AP98-AP102)</f>
        <v>0</v>
      </c>
      <c r="AQ103" s="23">
        <f t="shared" ref="AQ103" si="677">IF(AQ98=0,AQ99-AQ102,AQ98-AQ102)</f>
        <v>0</v>
      </c>
      <c r="AR103" s="23">
        <f t="shared" ref="AR103" si="678">IF(AR98=0,AR99-AR102,AR98-AR102)</f>
        <v>0</v>
      </c>
      <c r="AS103" s="23">
        <f t="shared" ref="AS103" si="679">IF(AS98=0,AS99-AS102,AS98-AS102)</f>
        <v>0</v>
      </c>
      <c r="AT103" s="23">
        <f t="shared" ref="AT103" si="680">IF(AT98=0,AT99-AT102,AT98-AT102)</f>
        <v>0</v>
      </c>
      <c r="AU103" s="23">
        <f t="shared" ref="AU103" si="681">IF(AU98=0,AU99-AU102,AU98-AU102)</f>
        <v>0</v>
      </c>
      <c r="AV103" s="23">
        <f t="shared" ref="AV103" si="682">IF(AV98=0,AV99-AV102,AV98-AV102)</f>
        <v>0</v>
      </c>
      <c r="AW103" s="23">
        <f t="shared" ref="AW103" si="683">IF(AW98=0,AW99-AW102,AW98-AW102)</f>
        <v>0</v>
      </c>
      <c r="AX103" s="23">
        <f t="shared" ref="AX103" si="684">IF(AX98=0,AX99-AX102,AX98-AX102)</f>
        <v>0</v>
      </c>
      <c r="AY103" s="23">
        <f t="shared" ref="AY103" si="685">IF(AY98=0,AY99-AY102,AY98-AY102)</f>
        <v>0</v>
      </c>
      <c r="AZ103" s="23">
        <f t="shared" ref="AZ103" si="686">IF(AZ98=0,AZ99-AZ102,AZ98-AZ102)</f>
        <v>0</v>
      </c>
      <c r="BA103" s="23">
        <f t="shared" ref="BA103" si="687">IF(BA98=0,BA99-BA102,BA98-BA102)</f>
        <v>0</v>
      </c>
      <c r="BB103" s="23">
        <f t="shared" ref="BB103" si="688">IF(BB98=0,BB99-BB102,BB98-BB102)</f>
        <v>0</v>
      </c>
      <c r="BC103" s="23">
        <f t="shared" ref="BC103" si="689">IF(BC98=0,BC99-BC102,BC98-BC102)</f>
        <v>0</v>
      </c>
      <c r="BD103" s="23">
        <f t="shared" ref="BD103" si="690">IF(BD98=0,BD99-BD102,BD98-BD102)</f>
        <v>0</v>
      </c>
      <c r="BE103" s="23">
        <f t="shared" ref="BE103" si="691">IF(BE98=0,BE99-BE102,BE98-BE102)</f>
        <v>0</v>
      </c>
      <c r="BF103" s="23">
        <f t="shared" ref="BF103" si="692">IF(BF98=0,BF99-BF102,BF98-BF102)</f>
        <v>0</v>
      </c>
      <c r="BG103" s="23">
        <f t="shared" ref="BG103" si="693">IF(BG98=0,BG99-BG102,BG98-BG102)</f>
        <v>0</v>
      </c>
      <c r="BH103" s="23">
        <f t="shared" ref="BH103" si="694">IF(BH98=0,BH99-BH102,BH98-BH102)</f>
        <v>0</v>
      </c>
      <c r="BI103" s="23">
        <f t="shared" ref="BI103" si="695">IF(BI98=0,BI99-BI102,BI98-BI102)</f>
        <v>0</v>
      </c>
      <c r="BJ103" s="23">
        <f t="shared" ref="BJ103" si="696">IF(BJ98=0,BJ99-BJ102,BJ98-BJ102)</f>
        <v>0</v>
      </c>
      <c r="BK103" s="23">
        <f t="shared" ref="BK103" si="697">IF(BK98=0,BK99-BK102,BK98-BK102)</f>
        <v>0</v>
      </c>
      <c r="BL103" s="23">
        <f t="shared" ref="BL103" si="698">IF(BL98=0,BL99-BL102,BL98-BL102)</f>
        <v>0</v>
      </c>
      <c r="BM103" s="23">
        <f t="shared" ref="BM103" si="699">IF(BM98=0,BM99-BM102,BM98-BM102)</f>
        <v>0</v>
      </c>
      <c r="BN103" s="23">
        <f t="shared" ref="BN103" si="700">IF(BN98=0,BN99-BN102,BN98-BN102)</f>
        <v>0</v>
      </c>
    </row>
    <row r="104" spans="3:66" x14ac:dyDescent="0.2">
      <c r="C104" s="322"/>
      <c r="D104" s="23" t="s">
        <v>10</v>
      </c>
      <c r="E104" s="72">
        <v>3.8E-3</v>
      </c>
      <c r="F104" s="54">
        <v>3.8E-3</v>
      </c>
      <c r="G104" s="54">
        <v>3.8E-3</v>
      </c>
      <c r="H104" s="54">
        <v>3.8E-3</v>
      </c>
      <c r="I104" s="54">
        <v>3.8E-3</v>
      </c>
      <c r="J104" s="54">
        <v>3.8E-3</v>
      </c>
      <c r="K104" s="54">
        <v>3.8E-3</v>
      </c>
      <c r="L104" s="54">
        <v>3.8E-3</v>
      </c>
      <c r="M104" s="54">
        <v>3.8E-3</v>
      </c>
      <c r="N104" s="54">
        <v>3.8E-3</v>
      </c>
      <c r="O104" s="54">
        <v>3.8E-3</v>
      </c>
      <c r="P104" s="54">
        <v>3.8E-3</v>
      </c>
      <c r="Q104" s="54">
        <v>3.8E-3</v>
      </c>
      <c r="R104" s="54">
        <v>3.8E-3</v>
      </c>
      <c r="S104" s="54">
        <v>3.8E-3</v>
      </c>
      <c r="T104" s="54">
        <v>3.8E-3</v>
      </c>
      <c r="U104" s="54">
        <v>3.8E-3</v>
      </c>
      <c r="V104" s="54">
        <v>3.8E-3</v>
      </c>
      <c r="W104" s="54">
        <v>3.8E-3</v>
      </c>
      <c r="X104" s="54">
        <v>3.8E-3</v>
      </c>
      <c r="Y104" s="54">
        <v>3.8E-3</v>
      </c>
      <c r="Z104" s="54">
        <v>3.8E-3</v>
      </c>
      <c r="AA104" s="54">
        <v>3.8E-3</v>
      </c>
      <c r="AB104" s="54">
        <v>3.8E-3</v>
      </c>
      <c r="AC104" s="54">
        <v>3.8E-3</v>
      </c>
      <c r="AD104" s="54">
        <v>3.8E-3</v>
      </c>
      <c r="AE104" s="54">
        <v>3.8E-3</v>
      </c>
      <c r="AF104" s="54">
        <v>3.8E-3</v>
      </c>
      <c r="AG104" s="54">
        <v>3.8E-3</v>
      </c>
      <c r="AH104" s="54">
        <v>3.8E-3</v>
      </c>
      <c r="AI104" s="54">
        <v>3.8E-3</v>
      </c>
      <c r="AJ104" s="54">
        <v>3.8E-3</v>
      </c>
      <c r="AK104" s="54">
        <v>3.8E-3</v>
      </c>
      <c r="AL104" s="54">
        <v>3.8E-3</v>
      </c>
      <c r="AM104" s="54">
        <v>3.8E-3</v>
      </c>
      <c r="AN104" s="54">
        <v>3.8E-3</v>
      </c>
      <c r="AO104" s="54">
        <v>3.8E-3</v>
      </c>
      <c r="AP104" s="54">
        <v>3.8E-3</v>
      </c>
      <c r="AQ104" s="54">
        <v>3.8E-3</v>
      </c>
      <c r="AR104" s="54">
        <v>3.8E-3</v>
      </c>
      <c r="AS104" s="54">
        <v>3.8E-3</v>
      </c>
      <c r="AT104" s="54">
        <v>3.8E-3</v>
      </c>
      <c r="AU104" s="54">
        <v>3.8E-3</v>
      </c>
      <c r="AV104" s="54">
        <v>3.8E-3</v>
      </c>
      <c r="AW104" s="54">
        <v>3.8E-3</v>
      </c>
      <c r="AX104" s="54">
        <v>3.8E-3</v>
      </c>
      <c r="AY104" s="54">
        <v>3.8E-3</v>
      </c>
      <c r="AZ104" s="54">
        <v>3.8E-3</v>
      </c>
      <c r="BA104" s="54">
        <v>3.8E-3</v>
      </c>
      <c r="BB104" s="54">
        <v>3.8E-3</v>
      </c>
      <c r="BC104" s="54">
        <v>3.8E-3</v>
      </c>
      <c r="BD104" s="54">
        <v>3.8E-3</v>
      </c>
      <c r="BE104" s="54">
        <v>3.8E-3</v>
      </c>
      <c r="BF104" s="54">
        <v>3.8E-3</v>
      </c>
      <c r="BG104" s="54">
        <v>3.8E-3</v>
      </c>
      <c r="BH104" s="54">
        <v>3.8E-3</v>
      </c>
      <c r="BI104" s="54">
        <v>3.8E-3</v>
      </c>
      <c r="BJ104" s="54">
        <v>3.8E-3</v>
      </c>
      <c r="BK104" s="54">
        <v>3.8E-3</v>
      </c>
      <c r="BL104" s="54">
        <v>3.8E-3</v>
      </c>
      <c r="BM104" s="54">
        <v>3.8E-3</v>
      </c>
      <c r="BN104" s="54">
        <v>3.8E-3</v>
      </c>
    </row>
    <row r="105" spans="3:66" x14ac:dyDescent="0.2">
      <c r="C105" s="322"/>
      <c r="D105" s="23" t="s">
        <v>12</v>
      </c>
      <c r="E105" s="27">
        <f t="shared" ref="E105:E110" si="701">SUM(F105:BN105)</f>
        <v>3319.139062762617</v>
      </c>
      <c r="F105" s="29">
        <f>+F103*F104</f>
        <v>-0.58240727544527404</v>
      </c>
      <c r="G105" s="29">
        <f>+G103*G104</f>
        <v>1572.4996437022401</v>
      </c>
      <c r="H105" s="29">
        <f>+H103*H104</f>
        <v>1747.2218263358222</v>
      </c>
      <c r="I105" s="29">
        <f t="shared" ref="I105:BM105" si="702">+I103*I104</f>
        <v>0</v>
      </c>
      <c r="J105" s="29">
        <f t="shared" si="702"/>
        <v>0</v>
      </c>
      <c r="K105" s="29">
        <f t="shared" si="702"/>
        <v>0</v>
      </c>
      <c r="L105" s="29">
        <f t="shared" si="702"/>
        <v>0</v>
      </c>
      <c r="M105" s="29">
        <f t="shared" si="702"/>
        <v>0</v>
      </c>
      <c r="N105" s="29">
        <f t="shared" si="702"/>
        <v>0</v>
      </c>
      <c r="O105" s="29">
        <f t="shared" si="702"/>
        <v>0</v>
      </c>
      <c r="P105" s="29">
        <f t="shared" si="702"/>
        <v>0</v>
      </c>
      <c r="Q105" s="29">
        <f t="shared" si="702"/>
        <v>0</v>
      </c>
      <c r="R105" s="29">
        <f t="shared" si="702"/>
        <v>0</v>
      </c>
      <c r="S105" s="29">
        <f t="shared" si="702"/>
        <v>0</v>
      </c>
      <c r="T105" s="29">
        <f t="shared" si="702"/>
        <v>0</v>
      </c>
      <c r="U105" s="29">
        <f t="shared" si="702"/>
        <v>0</v>
      </c>
      <c r="V105" s="29">
        <f t="shared" si="702"/>
        <v>0</v>
      </c>
      <c r="W105" s="29">
        <f t="shared" si="702"/>
        <v>0</v>
      </c>
      <c r="X105" s="29">
        <f t="shared" si="702"/>
        <v>0</v>
      </c>
      <c r="Y105" s="29">
        <f t="shared" si="702"/>
        <v>0</v>
      </c>
      <c r="Z105" s="29">
        <f t="shared" si="702"/>
        <v>0</v>
      </c>
      <c r="AA105" s="29">
        <f t="shared" si="702"/>
        <v>0</v>
      </c>
      <c r="AB105" s="29">
        <f t="shared" si="702"/>
        <v>0</v>
      </c>
      <c r="AC105" s="29"/>
      <c r="AD105" s="29">
        <f t="shared" si="702"/>
        <v>0</v>
      </c>
      <c r="AE105" s="29"/>
      <c r="AF105" s="29">
        <f t="shared" si="702"/>
        <v>0</v>
      </c>
      <c r="AG105" s="29">
        <f t="shared" si="702"/>
        <v>0</v>
      </c>
      <c r="AH105" s="29">
        <f t="shared" si="702"/>
        <v>0</v>
      </c>
      <c r="AI105" s="29">
        <f t="shared" si="702"/>
        <v>0</v>
      </c>
      <c r="AJ105" s="29">
        <f t="shared" si="702"/>
        <v>0</v>
      </c>
      <c r="AK105" s="29">
        <f t="shared" si="702"/>
        <v>0</v>
      </c>
      <c r="AL105" s="29">
        <f t="shared" si="702"/>
        <v>0</v>
      </c>
      <c r="AM105" s="29">
        <f t="shared" si="702"/>
        <v>0</v>
      </c>
      <c r="AN105" s="29">
        <f t="shared" si="702"/>
        <v>0</v>
      </c>
      <c r="AO105" s="29">
        <f t="shared" si="702"/>
        <v>0</v>
      </c>
      <c r="AP105" s="29">
        <f t="shared" si="702"/>
        <v>0</v>
      </c>
      <c r="AQ105" s="29">
        <f t="shared" si="702"/>
        <v>0</v>
      </c>
      <c r="AR105" s="29">
        <f t="shared" si="702"/>
        <v>0</v>
      </c>
      <c r="AS105" s="29">
        <f t="shared" si="702"/>
        <v>0</v>
      </c>
      <c r="AT105" s="29">
        <f>+AT103*AT104</f>
        <v>0</v>
      </c>
      <c r="AU105" s="29">
        <f t="shared" si="702"/>
        <v>0</v>
      </c>
      <c r="AV105" s="29">
        <f t="shared" si="702"/>
        <v>0</v>
      </c>
      <c r="AW105" s="29">
        <f t="shared" si="702"/>
        <v>0</v>
      </c>
      <c r="AX105" s="29">
        <f t="shared" si="702"/>
        <v>0</v>
      </c>
      <c r="AY105" s="29">
        <f t="shared" si="702"/>
        <v>0</v>
      </c>
      <c r="AZ105" s="29">
        <v>0</v>
      </c>
      <c r="BA105" s="29">
        <f t="shared" si="702"/>
        <v>0</v>
      </c>
      <c r="BB105" s="29"/>
      <c r="BC105" s="29">
        <f t="shared" si="702"/>
        <v>0</v>
      </c>
      <c r="BD105" s="29">
        <f t="shared" si="702"/>
        <v>0</v>
      </c>
      <c r="BE105" s="29">
        <f t="shared" si="702"/>
        <v>0</v>
      </c>
      <c r="BF105" s="29">
        <f t="shared" si="702"/>
        <v>0</v>
      </c>
      <c r="BG105" s="29">
        <v>0</v>
      </c>
      <c r="BH105" s="29">
        <v>0</v>
      </c>
      <c r="BI105" s="29">
        <f t="shared" si="702"/>
        <v>0</v>
      </c>
      <c r="BJ105" s="29">
        <f t="shared" si="702"/>
        <v>0</v>
      </c>
      <c r="BK105" s="29">
        <f t="shared" si="702"/>
        <v>0</v>
      </c>
      <c r="BL105" s="29">
        <v>0</v>
      </c>
      <c r="BM105" s="29">
        <f t="shared" si="702"/>
        <v>0</v>
      </c>
      <c r="BN105" s="29">
        <v>0</v>
      </c>
    </row>
    <row r="106" spans="3:66" ht="13.5" thickBot="1" x14ac:dyDescent="0.25">
      <c r="C106" s="323"/>
      <c r="D106" s="25" t="s">
        <v>11</v>
      </c>
      <c r="E106" s="30">
        <f t="shared" si="701"/>
        <v>876776.78715818818</v>
      </c>
      <c r="F106" s="46">
        <f>+F103+F105</f>
        <v>-153.8474797610437</v>
      </c>
      <c r="G106" s="46">
        <f>+G103+G105</f>
        <v>415388.19535481802</v>
      </c>
      <c r="H106" s="46">
        <f>+H103+H105</f>
        <v>461542.43928313116</v>
      </c>
      <c r="I106" s="46">
        <f t="shared" ref="I106:AW106" si="703">+I103+I105</f>
        <v>0</v>
      </c>
      <c r="J106" s="46">
        <f t="shared" si="703"/>
        <v>0</v>
      </c>
      <c r="K106" s="46">
        <f t="shared" si="703"/>
        <v>0</v>
      </c>
      <c r="L106" s="46">
        <f t="shared" si="703"/>
        <v>0</v>
      </c>
      <c r="M106" s="46">
        <f t="shared" si="703"/>
        <v>0</v>
      </c>
      <c r="N106" s="46">
        <f t="shared" si="703"/>
        <v>0</v>
      </c>
      <c r="O106" s="46">
        <f t="shared" si="703"/>
        <v>0</v>
      </c>
      <c r="P106" s="46">
        <f t="shared" si="703"/>
        <v>0</v>
      </c>
      <c r="Q106" s="46">
        <f t="shared" si="703"/>
        <v>0</v>
      </c>
      <c r="R106" s="46">
        <f t="shared" si="703"/>
        <v>0</v>
      </c>
      <c r="S106" s="46">
        <f t="shared" si="703"/>
        <v>0</v>
      </c>
      <c r="T106" s="46">
        <f t="shared" si="703"/>
        <v>0</v>
      </c>
      <c r="U106" s="46">
        <f t="shared" si="703"/>
        <v>0</v>
      </c>
      <c r="V106" s="46">
        <f t="shared" si="703"/>
        <v>0</v>
      </c>
      <c r="W106" s="46">
        <f t="shared" si="703"/>
        <v>0</v>
      </c>
      <c r="X106" s="46">
        <f t="shared" si="703"/>
        <v>0</v>
      </c>
      <c r="Y106" s="46">
        <f t="shared" si="703"/>
        <v>0</v>
      </c>
      <c r="Z106" s="46">
        <f t="shared" si="703"/>
        <v>0</v>
      </c>
      <c r="AA106" s="46">
        <f t="shared" si="703"/>
        <v>0</v>
      </c>
      <c r="AB106" s="46">
        <f t="shared" si="703"/>
        <v>0</v>
      </c>
      <c r="AC106" s="46">
        <f t="shared" si="703"/>
        <v>0</v>
      </c>
      <c r="AD106" s="46">
        <f t="shared" si="703"/>
        <v>0</v>
      </c>
      <c r="AE106" s="46">
        <f t="shared" si="703"/>
        <v>0</v>
      </c>
      <c r="AF106" s="46">
        <f t="shared" si="703"/>
        <v>0</v>
      </c>
      <c r="AG106" s="46">
        <f t="shared" si="703"/>
        <v>0</v>
      </c>
      <c r="AH106" s="46">
        <f t="shared" si="703"/>
        <v>0</v>
      </c>
      <c r="AI106" s="46">
        <f t="shared" si="703"/>
        <v>0</v>
      </c>
      <c r="AJ106" s="46">
        <f t="shared" si="703"/>
        <v>0</v>
      </c>
      <c r="AK106" s="46">
        <f t="shared" si="703"/>
        <v>0</v>
      </c>
      <c r="AL106" s="46">
        <f t="shared" si="703"/>
        <v>0</v>
      </c>
      <c r="AM106" s="46">
        <f t="shared" si="703"/>
        <v>0</v>
      </c>
      <c r="AN106" s="46">
        <f t="shared" si="703"/>
        <v>0</v>
      </c>
      <c r="AO106" s="46">
        <f t="shared" si="703"/>
        <v>0</v>
      </c>
      <c r="AP106" s="46">
        <f t="shared" si="703"/>
        <v>0</v>
      </c>
      <c r="AQ106" s="46">
        <f t="shared" si="703"/>
        <v>0</v>
      </c>
      <c r="AR106" s="46">
        <f t="shared" si="703"/>
        <v>0</v>
      </c>
      <c r="AS106" s="46">
        <f t="shared" si="703"/>
        <v>0</v>
      </c>
      <c r="AT106" s="46">
        <f t="shared" si="703"/>
        <v>0</v>
      </c>
      <c r="AU106" s="46">
        <f t="shared" si="703"/>
        <v>0</v>
      </c>
      <c r="AV106" s="46">
        <f t="shared" si="703"/>
        <v>0</v>
      </c>
      <c r="AW106" s="46">
        <f t="shared" si="703"/>
        <v>0</v>
      </c>
      <c r="AX106" s="46">
        <f t="shared" ref="AX106:BN106" si="704">+AX103+AX105</f>
        <v>0</v>
      </c>
      <c r="AY106" s="46">
        <f t="shared" si="704"/>
        <v>0</v>
      </c>
      <c r="AZ106" s="46">
        <f t="shared" si="704"/>
        <v>0</v>
      </c>
      <c r="BA106" s="46">
        <f t="shared" si="704"/>
        <v>0</v>
      </c>
      <c r="BB106" s="46">
        <f t="shared" si="704"/>
        <v>0</v>
      </c>
      <c r="BC106" s="46">
        <f t="shared" si="704"/>
        <v>0</v>
      </c>
      <c r="BD106" s="46">
        <f t="shared" si="704"/>
        <v>0</v>
      </c>
      <c r="BE106" s="46">
        <f t="shared" si="704"/>
        <v>0</v>
      </c>
      <c r="BF106" s="46">
        <f t="shared" si="704"/>
        <v>0</v>
      </c>
      <c r="BG106" s="46">
        <f t="shared" si="704"/>
        <v>0</v>
      </c>
      <c r="BH106" s="46">
        <f t="shared" si="704"/>
        <v>0</v>
      </c>
      <c r="BI106" s="46">
        <f t="shared" si="704"/>
        <v>0</v>
      </c>
      <c r="BJ106" s="46">
        <f t="shared" si="704"/>
        <v>0</v>
      </c>
      <c r="BK106" s="46">
        <f t="shared" si="704"/>
        <v>0</v>
      </c>
      <c r="BL106" s="46">
        <f>+BL103+BL105</f>
        <v>0</v>
      </c>
      <c r="BM106" s="46">
        <f t="shared" si="704"/>
        <v>0</v>
      </c>
      <c r="BN106" s="46">
        <f t="shared" si="704"/>
        <v>0</v>
      </c>
    </row>
    <row r="107" spans="3:66" x14ac:dyDescent="0.2">
      <c r="C107" s="321">
        <v>43922</v>
      </c>
      <c r="D107" s="20" t="s">
        <v>5</v>
      </c>
      <c r="E107" s="50">
        <f t="shared" si="701"/>
        <v>0</v>
      </c>
      <c r="F107" s="279">
        <f>IF(F$6=$C107,F$7,0)</f>
        <v>0</v>
      </c>
      <c r="G107" s="279">
        <f t="shared" ref="G107:BN107" si="705">IF(G$6=$C107,G$7,0)</f>
        <v>0</v>
      </c>
      <c r="H107" s="279">
        <f t="shared" si="705"/>
        <v>0</v>
      </c>
      <c r="I107" s="279">
        <f t="shared" si="705"/>
        <v>0</v>
      </c>
      <c r="J107" s="279">
        <f t="shared" si="705"/>
        <v>0</v>
      </c>
      <c r="K107" s="279">
        <f t="shared" si="705"/>
        <v>0</v>
      </c>
      <c r="L107" s="279">
        <f t="shared" si="705"/>
        <v>0</v>
      </c>
      <c r="M107" s="279">
        <f t="shared" si="705"/>
        <v>0</v>
      </c>
      <c r="N107" s="279">
        <f t="shared" si="705"/>
        <v>0</v>
      </c>
      <c r="O107" s="279">
        <f t="shared" si="705"/>
        <v>0</v>
      </c>
      <c r="P107" s="279">
        <f t="shared" si="705"/>
        <v>0</v>
      </c>
      <c r="Q107" s="279">
        <f t="shared" si="705"/>
        <v>0</v>
      </c>
      <c r="R107" s="279">
        <f t="shared" si="705"/>
        <v>0</v>
      </c>
      <c r="S107" s="279">
        <f t="shared" si="705"/>
        <v>0</v>
      </c>
      <c r="T107" s="279">
        <f t="shared" si="705"/>
        <v>0</v>
      </c>
      <c r="U107" s="279">
        <f t="shared" si="705"/>
        <v>0</v>
      </c>
      <c r="V107" s="279">
        <f t="shared" si="705"/>
        <v>0</v>
      </c>
      <c r="W107" s="279">
        <f t="shared" si="705"/>
        <v>0</v>
      </c>
      <c r="X107" s="279">
        <f t="shared" si="705"/>
        <v>0</v>
      </c>
      <c r="Y107" s="279">
        <f t="shared" si="705"/>
        <v>0</v>
      </c>
      <c r="Z107" s="279">
        <f t="shared" si="705"/>
        <v>0</v>
      </c>
      <c r="AA107" s="279">
        <f t="shared" si="705"/>
        <v>0</v>
      </c>
      <c r="AB107" s="279">
        <f t="shared" si="705"/>
        <v>0</v>
      </c>
      <c r="AC107" s="279">
        <f t="shared" si="705"/>
        <v>0</v>
      </c>
      <c r="AD107" s="279">
        <f t="shared" si="705"/>
        <v>0</v>
      </c>
      <c r="AE107" s="279">
        <f t="shared" si="705"/>
        <v>0</v>
      </c>
      <c r="AF107" s="279">
        <f t="shared" si="705"/>
        <v>0</v>
      </c>
      <c r="AG107" s="279">
        <f t="shared" si="705"/>
        <v>0</v>
      </c>
      <c r="AH107" s="279">
        <f t="shared" si="705"/>
        <v>0</v>
      </c>
      <c r="AI107" s="279">
        <f t="shared" si="705"/>
        <v>0</v>
      </c>
      <c r="AJ107" s="279">
        <f t="shared" si="705"/>
        <v>0</v>
      </c>
      <c r="AK107" s="279">
        <f t="shared" si="705"/>
        <v>0</v>
      </c>
      <c r="AL107" s="279">
        <f t="shared" si="705"/>
        <v>0</v>
      </c>
      <c r="AM107" s="279">
        <f t="shared" si="705"/>
        <v>0</v>
      </c>
      <c r="AN107" s="279">
        <f t="shared" si="705"/>
        <v>0</v>
      </c>
      <c r="AO107" s="279">
        <f t="shared" si="705"/>
        <v>0</v>
      </c>
      <c r="AP107" s="279">
        <f t="shared" si="705"/>
        <v>0</v>
      </c>
      <c r="AQ107" s="279">
        <f t="shared" si="705"/>
        <v>0</v>
      </c>
      <c r="AR107" s="279">
        <f t="shared" si="705"/>
        <v>0</v>
      </c>
      <c r="AS107" s="279">
        <f t="shared" si="705"/>
        <v>0</v>
      </c>
      <c r="AT107" s="279">
        <f t="shared" si="705"/>
        <v>0</v>
      </c>
      <c r="AU107" s="279">
        <f t="shared" si="705"/>
        <v>0</v>
      </c>
      <c r="AV107" s="279">
        <f t="shared" si="705"/>
        <v>0</v>
      </c>
      <c r="AW107" s="279">
        <f t="shared" si="705"/>
        <v>0</v>
      </c>
      <c r="AX107" s="279">
        <f t="shared" si="705"/>
        <v>0</v>
      </c>
      <c r="AY107" s="279">
        <f t="shared" si="705"/>
        <v>0</v>
      </c>
      <c r="AZ107" s="279">
        <f t="shared" si="705"/>
        <v>0</v>
      </c>
      <c r="BA107" s="279">
        <f t="shared" si="705"/>
        <v>0</v>
      </c>
      <c r="BB107" s="279">
        <f t="shared" si="705"/>
        <v>0</v>
      </c>
      <c r="BC107" s="279">
        <f t="shared" si="705"/>
        <v>0</v>
      </c>
      <c r="BD107" s="279">
        <f t="shared" si="705"/>
        <v>0</v>
      </c>
      <c r="BE107" s="279">
        <f t="shared" si="705"/>
        <v>0</v>
      </c>
      <c r="BF107" s="279">
        <f t="shared" si="705"/>
        <v>0</v>
      </c>
      <c r="BG107" s="279">
        <f t="shared" si="705"/>
        <v>0</v>
      </c>
      <c r="BH107" s="279">
        <f t="shared" si="705"/>
        <v>0</v>
      </c>
      <c r="BI107" s="279">
        <f t="shared" si="705"/>
        <v>0</v>
      </c>
      <c r="BJ107" s="279">
        <f t="shared" si="705"/>
        <v>0</v>
      </c>
      <c r="BK107" s="279">
        <f t="shared" si="705"/>
        <v>0</v>
      </c>
      <c r="BL107" s="279">
        <f t="shared" si="705"/>
        <v>0</v>
      </c>
      <c r="BM107" s="279">
        <f t="shared" si="705"/>
        <v>0</v>
      </c>
      <c r="BN107" s="279">
        <f t="shared" si="705"/>
        <v>0</v>
      </c>
    </row>
    <row r="108" spans="3:66" x14ac:dyDescent="0.2">
      <c r="C108" s="322"/>
      <c r="D108" s="23" t="s">
        <v>7</v>
      </c>
      <c r="E108" s="91">
        <f t="shared" si="701"/>
        <v>14.640000000000011</v>
      </c>
      <c r="F108" s="28">
        <f>IF(F107="",VLOOKUP($C107,'CUSTOS REALIZADOS'!$A$11:$E$995,4),(VLOOKUP($C107,'CUSTOS REALIZADOS'!$A$11:$E$995,5)))</f>
        <v>0.24000000000000002</v>
      </c>
      <c r="G108" s="28">
        <f>IF(G107="",VLOOKUP($C107,'CUSTOS REALIZADOS'!$A$11:$E$995,4),(VLOOKUP($C107,'CUSTOS REALIZADOS'!$A$11:$E$995,5)))</f>
        <v>0.24000000000000002</v>
      </c>
      <c r="H108" s="28">
        <f>IF(H107="",VLOOKUP($C107,'CUSTOS REALIZADOS'!$A$11:$E$995,4),(VLOOKUP($C107,'CUSTOS REALIZADOS'!$A$11:$E$995,5)))</f>
        <v>0.24000000000000002</v>
      </c>
      <c r="I108" s="28">
        <f>IF(I107="",VLOOKUP($C107,'CUSTOS REALIZADOS'!$A$11:$E$995,4),(VLOOKUP($C107,'CUSTOS REALIZADOS'!$A$11:$E$995,5)))</f>
        <v>0.24000000000000002</v>
      </c>
      <c r="J108" s="28">
        <f>IF(J107="",VLOOKUP($C107,'CUSTOS REALIZADOS'!$A$11:$E$995,4),(VLOOKUP($C107,'CUSTOS REALIZADOS'!$A$11:$E$995,5)))</f>
        <v>0.24000000000000002</v>
      </c>
      <c r="K108" s="28">
        <f>IF(K107="",VLOOKUP($C107,'CUSTOS REALIZADOS'!$A$11:$E$995,4),(VLOOKUP($C107,'CUSTOS REALIZADOS'!$A$11:$E$995,5)))</f>
        <v>0.24000000000000002</v>
      </c>
      <c r="L108" s="28">
        <f>IF(L107="",VLOOKUP($C107,'CUSTOS REALIZADOS'!$A$11:$E$995,4),(VLOOKUP($C107,'CUSTOS REALIZADOS'!$A$11:$E$995,5)))</f>
        <v>0.24000000000000002</v>
      </c>
      <c r="M108" s="28">
        <f>IF(M107="",VLOOKUP($C107,'CUSTOS REALIZADOS'!$A$11:$E$995,4),(VLOOKUP($C107,'CUSTOS REALIZADOS'!$A$11:$E$995,5)))</f>
        <v>0.24000000000000002</v>
      </c>
      <c r="N108" s="28">
        <f>IF(N107="",VLOOKUP($C107,'CUSTOS REALIZADOS'!$A$11:$E$995,4),(VLOOKUP($C107,'CUSTOS REALIZADOS'!$A$11:$E$995,5)))</f>
        <v>0.24000000000000002</v>
      </c>
      <c r="O108" s="28">
        <f>IF(O107="",VLOOKUP($C107,'CUSTOS REALIZADOS'!$A$11:$E$995,4),(VLOOKUP($C107,'CUSTOS REALIZADOS'!$A$11:$E$995,5)))</f>
        <v>0.24000000000000002</v>
      </c>
      <c r="P108" s="28">
        <f>IF(P107="",VLOOKUP($C107,'CUSTOS REALIZADOS'!$A$11:$E$995,4),(VLOOKUP($C107,'CUSTOS REALIZADOS'!$A$11:$E$995,5)))</f>
        <v>0.24000000000000002</v>
      </c>
      <c r="Q108" s="28">
        <f>IF(Q107="",VLOOKUP($C107,'CUSTOS REALIZADOS'!$A$11:$E$995,4),(VLOOKUP($C107,'CUSTOS REALIZADOS'!$A$11:$E$995,5)))</f>
        <v>0.24000000000000002</v>
      </c>
      <c r="R108" s="28">
        <f>IF(R107="",VLOOKUP($C107,'CUSTOS REALIZADOS'!$A$11:$E$995,4),(VLOOKUP($C107,'CUSTOS REALIZADOS'!$A$11:$E$995,5)))</f>
        <v>0.24000000000000002</v>
      </c>
      <c r="S108" s="28">
        <f>IF(S107="",VLOOKUP($C107,'CUSTOS REALIZADOS'!$A$11:$E$995,4),(VLOOKUP($C107,'CUSTOS REALIZADOS'!$A$11:$E$995,5)))</f>
        <v>0.24000000000000002</v>
      </c>
      <c r="T108" s="28">
        <f>IF(T107="",VLOOKUP($C107,'CUSTOS REALIZADOS'!$A$11:$E$995,4),(VLOOKUP($C107,'CUSTOS REALIZADOS'!$A$11:$E$995,5)))</f>
        <v>0.24000000000000002</v>
      </c>
      <c r="U108" s="28">
        <f>IF(U107="",VLOOKUP($C107,'CUSTOS REALIZADOS'!$A$11:$E$995,4),(VLOOKUP($C107,'CUSTOS REALIZADOS'!$A$11:$E$995,5)))</f>
        <v>0.24000000000000002</v>
      </c>
      <c r="V108" s="28">
        <f>IF(V107="",VLOOKUP($C107,'CUSTOS REALIZADOS'!$A$11:$E$995,4),(VLOOKUP($C107,'CUSTOS REALIZADOS'!$A$11:$E$995,5)))</f>
        <v>0.24000000000000002</v>
      </c>
      <c r="W108" s="28">
        <f>IF(W107="",VLOOKUP($C107,'CUSTOS REALIZADOS'!$A$11:$E$995,4),(VLOOKUP($C107,'CUSTOS REALIZADOS'!$A$11:$E$995,5)))</f>
        <v>0.24000000000000002</v>
      </c>
      <c r="X108" s="28">
        <f>IF(X107="",VLOOKUP($C107,'CUSTOS REALIZADOS'!$A$11:$E$995,4),(VLOOKUP($C107,'CUSTOS REALIZADOS'!$A$11:$E$995,5)))</f>
        <v>0.24000000000000002</v>
      </c>
      <c r="Y108" s="28">
        <f>IF(Y107="",VLOOKUP($C107,'CUSTOS REALIZADOS'!$A$11:$E$995,4),(VLOOKUP($C107,'CUSTOS REALIZADOS'!$A$11:$E$995,5)))</f>
        <v>0.24000000000000002</v>
      </c>
      <c r="Z108" s="28">
        <f>IF(Z107="",VLOOKUP($C107,'CUSTOS REALIZADOS'!$A$11:$E$995,4),(VLOOKUP($C107,'CUSTOS REALIZADOS'!$A$11:$E$995,5)))</f>
        <v>0.24000000000000002</v>
      </c>
      <c r="AA108" s="28">
        <f>IF(AA107="",VLOOKUP($C107,'CUSTOS REALIZADOS'!$A$11:$E$995,4),(VLOOKUP($C107,'CUSTOS REALIZADOS'!$A$11:$E$995,5)))</f>
        <v>0.24000000000000002</v>
      </c>
      <c r="AB108" s="28">
        <f>IF(AB107="",VLOOKUP($C107,'CUSTOS REALIZADOS'!$A$11:$E$995,4),(VLOOKUP($C107,'CUSTOS REALIZADOS'!$A$11:$E$995,5)))</f>
        <v>0.24000000000000002</v>
      </c>
      <c r="AC108" s="28">
        <f>IF(AC107="",VLOOKUP($C107,'CUSTOS REALIZADOS'!$A$11:$E$995,4),(VLOOKUP($C107,'CUSTOS REALIZADOS'!$A$11:$E$995,5)))</f>
        <v>0.24000000000000002</v>
      </c>
      <c r="AD108" s="28">
        <f>IF(AD107="",VLOOKUP($C107,'CUSTOS REALIZADOS'!$A$11:$E$995,4),(VLOOKUP($C107,'CUSTOS REALIZADOS'!$A$11:$E$995,5)))</f>
        <v>0.24000000000000002</v>
      </c>
      <c r="AE108" s="28">
        <f>IF(AE107="",VLOOKUP($C107,'CUSTOS REALIZADOS'!$A$11:$E$995,4),(VLOOKUP($C107,'CUSTOS REALIZADOS'!$A$11:$E$995,5)))</f>
        <v>0.24000000000000002</v>
      </c>
      <c r="AF108" s="28">
        <f>IF(AF107="",VLOOKUP($C107,'CUSTOS REALIZADOS'!$A$11:$E$995,4),(VLOOKUP($C107,'CUSTOS REALIZADOS'!$A$11:$E$995,5)))</f>
        <v>0.24000000000000002</v>
      </c>
      <c r="AG108" s="28">
        <f>IF(AG107="",VLOOKUP($C107,'CUSTOS REALIZADOS'!$A$11:$E$995,4),(VLOOKUP($C107,'CUSTOS REALIZADOS'!$A$11:$E$995,5)))</f>
        <v>0.24000000000000002</v>
      </c>
      <c r="AH108" s="28">
        <f>IF(AH107="",VLOOKUP($C107,'CUSTOS REALIZADOS'!$A$11:$E$995,4),(VLOOKUP($C107,'CUSTOS REALIZADOS'!$A$11:$E$995,5)))</f>
        <v>0.24000000000000002</v>
      </c>
      <c r="AI108" s="28">
        <f>IF(AI107="",VLOOKUP($C107,'CUSTOS REALIZADOS'!$A$11:$E$995,4),(VLOOKUP($C107,'CUSTOS REALIZADOS'!$A$11:$E$995,5)))</f>
        <v>0.24000000000000002</v>
      </c>
      <c r="AJ108" s="28">
        <f>IF(AJ107="",VLOOKUP($C107,'CUSTOS REALIZADOS'!$A$11:$E$995,4),(VLOOKUP($C107,'CUSTOS REALIZADOS'!$A$11:$E$995,5)))</f>
        <v>0.24000000000000002</v>
      </c>
      <c r="AK108" s="28">
        <f>IF(AK107="",VLOOKUP($C107,'CUSTOS REALIZADOS'!$A$11:$E$995,4),(VLOOKUP($C107,'CUSTOS REALIZADOS'!$A$11:$E$995,5)))</f>
        <v>0.24000000000000002</v>
      </c>
      <c r="AL108" s="28">
        <f>IF(AL107="",VLOOKUP($C107,'CUSTOS REALIZADOS'!$A$11:$E$995,4),(VLOOKUP($C107,'CUSTOS REALIZADOS'!$A$11:$E$995,5)))</f>
        <v>0.24000000000000002</v>
      </c>
      <c r="AM108" s="28">
        <f>IF(AM107="",VLOOKUP($C107,'CUSTOS REALIZADOS'!$A$11:$E$995,4),(VLOOKUP($C107,'CUSTOS REALIZADOS'!$A$11:$E$995,5)))</f>
        <v>0.24000000000000002</v>
      </c>
      <c r="AN108" s="28">
        <f>IF(AN107="",VLOOKUP($C107,'CUSTOS REALIZADOS'!$A$11:$E$995,4),(VLOOKUP($C107,'CUSTOS REALIZADOS'!$A$11:$E$995,5)))</f>
        <v>0.24000000000000002</v>
      </c>
      <c r="AO108" s="28">
        <f>IF(AO107="",VLOOKUP($C107,'CUSTOS REALIZADOS'!$A$11:$E$995,4),(VLOOKUP($C107,'CUSTOS REALIZADOS'!$A$11:$E$995,5)))</f>
        <v>0.24000000000000002</v>
      </c>
      <c r="AP108" s="28">
        <f>IF(AP107="",VLOOKUP($C107,'CUSTOS REALIZADOS'!$A$11:$E$995,4),(VLOOKUP($C107,'CUSTOS REALIZADOS'!$A$11:$E$995,5)))</f>
        <v>0.24000000000000002</v>
      </c>
      <c r="AQ108" s="28">
        <f>IF(AQ107="",VLOOKUP($C107,'CUSTOS REALIZADOS'!$A$11:$E$995,4),(VLOOKUP($C107,'CUSTOS REALIZADOS'!$A$11:$E$995,5)))</f>
        <v>0.24000000000000002</v>
      </c>
      <c r="AR108" s="28">
        <f>IF(AR107="",VLOOKUP($C107,'CUSTOS REALIZADOS'!$A$11:$E$995,4),(VLOOKUP($C107,'CUSTOS REALIZADOS'!$A$11:$E$995,5)))</f>
        <v>0.24000000000000002</v>
      </c>
      <c r="AS108" s="28">
        <f>IF(AS107="",VLOOKUP($C107,'CUSTOS REALIZADOS'!$A$11:$E$995,4),(VLOOKUP($C107,'CUSTOS REALIZADOS'!$A$11:$E$995,5)))</f>
        <v>0.24000000000000002</v>
      </c>
      <c r="AT108" s="28">
        <f>IF(AT107="",VLOOKUP($C107,'CUSTOS REALIZADOS'!$A$11:$E$995,4),(VLOOKUP($C107,'CUSTOS REALIZADOS'!$A$11:$E$995,5)))</f>
        <v>0.24000000000000002</v>
      </c>
      <c r="AU108" s="28">
        <f>IF(AU107="",VLOOKUP($C107,'CUSTOS REALIZADOS'!$A$11:$E$995,4),(VLOOKUP($C107,'CUSTOS REALIZADOS'!$A$11:$E$995,5)))</f>
        <v>0.24000000000000002</v>
      </c>
      <c r="AV108" s="28">
        <f>IF(AV107="",VLOOKUP($C107,'CUSTOS REALIZADOS'!$A$11:$E$995,4),(VLOOKUP($C107,'CUSTOS REALIZADOS'!$A$11:$E$995,5)))</f>
        <v>0.24000000000000002</v>
      </c>
      <c r="AW108" s="28">
        <f>IF(AW107="",VLOOKUP($C107,'CUSTOS REALIZADOS'!$A$11:$E$995,4),(VLOOKUP($C107,'CUSTOS REALIZADOS'!$A$11:$E$995,5)))</f>
        <v>0.24000000000000002</v>
      </c>
      <c r="AX108" s="28">
        <f>IF(AX107="",VLOOKUP($C107,'CUSTOS REALIZADOS'!$A$11:$E$995,4),(VLOOKUP($C107,'CUSTOS REALIZADOS'!$A$11:$E$995,5)))</f>
        <v>0.24000000000000002</v>
      </c>
      <c r="AY108" s="28">
        <f>IF(AY107="",VLOOKUP($C107,'CUSTOS REALIZADOS'!$A$11:$E$995,4),(VLOOKUP($C107,'CUSTOS REALIZADOS'!$A$11:$E$995,5)))</f>
        <v>0.24000000000000002</v>
      </c>
      <c r="AZ108" s="28">
        <f>IF(AZ107="",VLOOKUP($C107,'CUSTOS REALIZADOS'!$A$11:$E$995,4),(VLOOKUP($C107,'CUSTOS REALIZADOS'!$A$11:$E$995,5)))</f>
        <v>0.24000000000000002</v>
      </c>
      <c r="BA108" s="28">
        <f>IF(BA107="",VLOOKUP($C107,'CUSTOS REALIZADOS'!$A$11:$E$995,4),(VLOOKUP($C107,'CUSTOS REALIZADOS'!$A$11:$E$995,5)))</f>
        <v>0.24000000000000002</v>
      </c>
      <c r="BB108" s="28">
        <f>IF(BB107="",VLOOKUP($C107,'CUSTOS REALIZADOS'!$A$11:$E$995,4),(VLOOKUP($C107,'CUSTOS REALIZADOS'!$A$11:$E$995,5)))</f>
        <v>0.24000000000000002</v>
      </c>
      <c r="BC108" s="28">
        <f>IF(BC107="",VLOOKUP($C107,'CUSTOS REALIZADOS'!$A$11:$E$995,4),(VLOOKUP($C107,'CUSTOS REALIZADOS'!$A$11:$E$995,5)))</f>
        <v>0.24000000000000002</v>
      </c>
      <c r="BD108" s="28">
        <f>IF(BD107="",VLOOKUP($C107,'CUSTOS REALIZADOS'!$A$11:$E$995,4),(VLOOKUP($C107,'CUSTOS REALIZADOS'!$A$11:$E$995,5)))</f>
        <v>0.24000000000000002</v>
      </c>
      <c r="BE108" s="28">
        <f>IF(BE107="",VLOOKUP($C107,'CUSTOS REALIZADOS'!$A$11:$E$995,4),(VLOOKUP($C107,'CUSTOS REALIZADOS'!$A$11:$E$995,5)))</f>
        <v>0.24000000000000002</v>
      </c>
      <c r="BF108" s="28">
        <f>IF(BF107="",VLOOKUP($C107,'CUSTOS REALIZADOS'!$A$11:$E$995,4),(VLOOKUP($C107,'CUSTOS REALIZADOS'!$A$11:$E$995,5)))</f>
        <v>0.24000000000000002</v>
      </c>
      <c r="BG108" s="28">
        <f>IF(BG107="",VLOOKUP($C107,'CUSTOS REALIZADOS'!$A$11:$E$995,4),(VLOOKUP($C107,'CUSTOS REALIZADOS'!$A$11:$E$995,5)))</f>
        <v>0.24000000000000002</v>
      </c>
      <c r="BH108" s="28">
        <f>IF(BH107="",VLOOKUP($C107,'CUSTOS REALIZADOS'!$A$11:$E$995,4),(VLOOKUP($C107,'CUSTOS REALIZADOS'!$A$11:$E$995,5)))</f>
        <v>0.24000000000000002</v>
      </c>
      <c r="BI108" s="28">
        <f>IF(BI107="",VLOOKUP($C107,'CUSTOS REALIZADOS'!$A$11:$E$995,4),(VLOOKUP($C107,'CUSTOS REALIZADOS'!$A$11:$E$995,5)))</f>
        <v>0.24000000000000002</v>
      </c>
      <c r="BJ108" s="28">
        <f>IF(BJ107="",VLOOKUP($C107,'CUSTOS REALIZADOS'!$A$11:$E$995,4),(VLOOKUP($C107,'CUSTOS REALIZADOS'!$A$11:$E$995,5)))</f>
        <v>0.24000000000000002</v>
      </c>
      <c r="BK108" s="28">
        <f>IF(BK107="",VLOOKUP($C107,'CUSTOS REALIZADOS'!$A$11:$E$995,4),(VLOOKUP($C107,'CUSTOS REALIZADOS'!$A$11:$E$995,5)))</f>
        <v>0.24000000000000002</v>
      </c>
      <c r="BL108" s="28">
        <f>IF(BL107="",VLOOKUP($C107,'CUSTOS REALIZADOS'!$A$11:$E$995,4),(VLOOKUP($C107,'CUSTOS REALIZADOS'!$A$11:$E$995,5)))</f>
        <v>0.24000000000000002</v>
      </c>
      <c r="BM108" s="28">
        <f>IF(BM107="",VLOOKUP($C107,'CUSTOS REALIZADOS'!$A$11:$E$995,4),(VLOOKUP($C107,'CUSTOS REALIZADOS'!$A$11:$E$995,5)))</f>
        <v>0.24000000000000002</v>
      </c>
      <c r="BN108" s="28">
        <f>IF(BN107="",VLOOKUP($C107,'CUSTOS REALIZADOS'!$A$11:$E$995,4),(VLOOKUP($C107,'CUSTOS REALIZADOS'!$A$11:$E$995,5)))</f>
        <v>0.24000000000000002</v>
      </c>
    </row>
    <row r="109" spans="3:66" x14ac:dyDescent="0.2">
      <c r="C109" s="322"/>
      <c r="D109" s="23" t="s">
        <v>6</v>
      </c>
      <c r="E109" s="27">
        <f t="shared" si="701"/>
        <v>95000</v>
      </c>
      <c r="F109" s="23">
        <f>IF(AND($C107&gt;=F$6,OR($C107&lt;F$8,F$8="")),F$7*F$28,0)</f>
        <v>0</v>
      </c>
      <c r="G109" s="23">
        <f t="shared" ref="G109:BN109" si="706">IF(AND($C107&gt;=G$6,OR($C107&lt;G$8,G$8="")),G$7*G$28,0)</f>
        <v>45000</v>
      </c>
      <c r="H109" s="23">
        <f t="shared" si="706"/>
        <v>50000</v>
      </c>
      <c r="I109" s="23">
        <f t="shared" si="706"/>
        <v>0</v>
      </c>
      <c r="J109" s="23">
        <f t="shared" si="706"/>
        <v>0</v>
      </c>
      <c r="K109" s="23">
        <f t="shared" si="706"/>
        <v>0</v>
      </c>
      <c r="L109" s="23">
        <f t="shared" si="706"/>
        <v>0</v>
      </c>
      <c r="M109" s="23">
        <f t="shared" si="706"/>
        <v>0</v>
      </c>
      <c r="N109" s="23">
        <f t="shared" si="706"/>
        <v>0</v>
      </c>
      <c r="O109" s="23">
        <f t="shared" si="706"/>
        <v>0</v>
      </c>
      <c r="P109" s="23">
        <f t="shared" si="706"/>
        <v>0</v>
      </c>
      <c r="Q109" s="23">
        <f t="shared" si="706"/>
        <v>0</v>
      </c>
      <c r="R109" s="23">
        <f t="shared" si="706"/>
        <v>0</v>
      </c>
      <c r="S109" s="23">
        <f t="shared" si="706"/>
        <v>0</v>
      </c>
      <c r="T109" s="23">
        <f t="shared" si="706"/>
        <v>0</v>
      </c>
      <c r="U109" s="23">
        <f t="shared" si="706"/>
        <v>0</v>
      </c>
      <c r="V109" s="23">
        <f t="shared" si="706"/>
        <v>0</v>
      </c>
      <c r="W109" s="23">
        <f t="shared" si="706"/>
        <v>0</v>
      </c>
      <c r="X109" s="23">
        <f t="shared" si="706"/>
        <v>0</v>
      </c>
      <c r="Y109" s="23">
        <f t="shared" si="706"/>
        <v>0</v>
      </c>
      <c r="Z109" s="23">
        <f t="shared" si="706"/>
        <v>0</v>
      </c>
      <c r="AA109" s="23">
        <f t="shared" si="706"/>
        <v>0</v>
      </c>
      <c r="AB109" s="23">
        <f t="shared" si="706"/>
        <v>0</v>
      </c>
      <c r="AC109" s="23">
        <f t="shared" si="706"/>
        <v>0</v>
      </c>
      <c r="AD109" s="23">
        <f t="shared" si="706"/>
        <v>0</v>
      </c>
      <c r="AE109" s="23">
        <f t="shared" si="706"/>
        <v>0</v>
      </c>
      <c r="AF109" s="23">
        <f t="shared" si="706"/>
        <v>0</v>
      </c>
      <c r="AG109" s="23">
        <f t="shared" si="706"/>
        <v>0</v>
      </c>
      <c r="AH109" s="23">
        <f t="shared" si="706"/>
        <v>0</v>
      </c>
      <c r="AI109" s="23">
        <f t="shared" si="706"/>
        <v>0</v>
      </c>
      <c r="AJ109" s="23">
        <f t="shared" si="706"/>
        <v>0</v>
      </c>
      <c r="AK109" s="23">
        <f t="shared" si="706"/>
        <v>0</v>
      </c>
      <c r="AL109" s="23">
        <f t="shared" si="706"/>
        <v>0</v>
      </c>
      <c r="AM109" s="23">
        <f t="shared" si="706"/>
        <v>0</v>
      </c>
      <c r="AN109" s="23">
        <f t="shared" si="706"/>
        <v>0</v>
      </c>
      <c r="AO109" s="23">
        <f t="shared" si="706"/>
        <v>0</v>
      </c>
      <c r="AP109" s="23">
        <f t="shared" si="706"/>
        <v>0</v>
      </c>
      <c r="AQ109" s="23">
        <f t="shared" si="706"/>
        <v>0</v>
      </c>
      <c r="AR109" s="23">
        <f t="shared" si="706"/>
        <v>0</v>
      </c>
      <c r="AS109" s="23">
        <f t="shared" si="706"/>
        <v>0</v>
      </c>
      <c r="AT109" s="23">
        <f t="shared" si="706"/>
        <v>0</v>
      </c>
      <c r="AU109" s="23">
        <f t="shared" si="706"/>
        <v>0</v>
      </c>
      <c r="AV109" s="23">
        <f t="shared" si="706"/>
        <v>0</v>
      </c>
      <c r="AW109" s="23">
        <f t="shared" si="706"/>
        <v>0</v>
      </c>
      <c r="AX109" s="23">
        <f t="shared" si="706"/>
        <v>0</v>
      </c>
      <c r="AY109" s="23">
        <f t="shared" si="706"/>
        <v>0</v>
      </c>
      <c r="AZ109" s="23">
        <f t="shared" si="706"/>
        <v>0</v>
      </c>
      <c r="BA109" s="23">
        <f t="shared" si="706"/>
        <v>0</v>
      </c>
      <c r="BB109" s="23">
        <f t="shared" si="706"/>
        <v>0</v>
      </c>
      <c r="BC109" s="23">
        <f t="shared" si="706"/>
        <v>0</v>
      </c>
      <c r="BD109" s="23">
        <f t="shared" si="706"/>
        <v>0</v>
      </c>
      <c r="BE109" s="23">
        <f t="shared" si="706"/>
        <v>0</v>
      </c>
      <c r="BF109" s="23">
        <f t="shared" si="706"/>
        <v>0</v>
      </c>
      <c r="BG109" s="23">
        <f t="shared" si="706"/>
        <v>0</v>
      </c>
      <c r="BH109" s="23">
        <f t="shared" si="706"/>
        <v>0</v>
      </c>
      <c r="BI109" s="23">
        <f t="shared" si="706"/>
        <v>0</v>
      </c>
      <c r="BJ109" s="23">
        <f t="shared" si="706"/>
        <v>0</v>
      </c>
      <c r="BK109" s="23">
        <f t="shared" si="706"/>
        <v>0</v>
      </c>
      <c r="BL109" s="23">
        <f t="shared" si="706"/>
        <v>0</v>
      </c>
      <c r="BM109" s="23">
        <f t="shared" si="706"/>
        <v>0</v>
      </c>
      <c r="BN109" s="23">
        <f t="shared" si="706"/>
        <v>0</v>
      </c>
    </row>
    <row r="110" spans="3:66" x14ac:dyDescent="0.2">
      <c r="C110" s="322"/>
      <c r="D110" s="23" t="s">
        <v>9</v>
      </c>
      <c r="E110" s="27">
        <f t="shared" si="701"/>
        <v>0</v>
      </c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</row>
    <row r="111" spans="3:66" x14ac:dyDescent="0.2">
      <c r="C111" s="322"/>
      <c r="D111" s="23" t="s">
        <v>14</v>
      </c>
      <c r="E111" s="27">
        <f>SUM(F111:AY111)</f>
        <v>876776.78715818818</v>
      </c>
      <c r="F111" s="23">
        <f>IF(F106=0,F107-F110,F106-F110)</f>
        <v>-153.8474797610437</v>
      </c>
      <c r="G111" s="23">
        <f t="shared" ref="G111" si="707">IF(G106=0,G107-G110,G106-G110)</f>
        <v>415388.19535481802</v>
      </c>
      <c r="H111" s="23">
        <f t="shared" ref="H111" si="708">IF(H106=0,H107-H110,H106-H110)</f>
        <v>461542.43928313116</v>
      </c>
      <c r="I111" s="23">
        <f t="shared" ref="I111" si="709">IF(I106=0,I107-I110,I106-I110)</f>
        <v>0</v>
      </c>
      <c r="J111" s="23">
        <f t="shared" ref="J111" si="710">IF(J106=0,J107-J110,J106-J110)</f>
        <v>0</v>
      </c>
      <c r="K111" s="23">
        <f t="shared" ref="K111" si="711">IF(K106=0,K107-K110,K106-K110)</f>
        <v>0</v>
      </c>
      <c r="L111" s="23">
        <f t="shared" ref="L111" si="712">IF(L106=0,L107-L110,L106-L110)</f>
        <v>0</v>
      </c>
      <c r="M111" s="23">
        <f t="shared" ref="M111" si="713">IF(M106=0,M107-M110,M106-M110)</f>
        <v>0</v>
      </c>
      <c r="N111" s="23">
        <f t="shared" ref="N111" si="714">IF(N106=0,N107-N110,N106-N110)</f>
        <v>0</v>
      </c>
      <c r="O111" s="23">
        <f t="shared" ref="O111" si="715">IF(O106=0,O107-O110,O106-O110)</f>
        <v>0</v>
      </c>
      <c r="P111" s="23">
        <f t="shared" ref="P111" si="716">IF(P106=0,P107-P110,P106-P110)</f>
        <v>0</v>
      </c>
      <c r="Q111" s="23">
        <f t="shared" ref="Q111" si="717">IF(Q106=0,Q107-Q110,Q106-Q110)</f>
        <v>0</v>
      </c>
      <c r="R111" s="23">
        <f t="shared" ref="R111" si="718">IF(R106=0,R107-R110,R106-R110)</f>
        <v>0</v>
      </c>
      <c r="S111" s="23">
        <f t="shared" ref="S111" si="719">IF(S106=0,S107-S110,S106-S110)</f>
        <v>0</v>
      </c>
      <c r="T111" s="23">
        <f t="shared" ref="T111" si="720">IF(T106=0,T107-T110,T106-T110)</f>
        <v>0</v>
      </c>
      <c r="U111" s="23">
        <f t="shared" ref="U111" si="721">IF(U106=0,U107-U110,U106-U110)</f>
        <v>0</v>
      </c>
      <c r="V111" s="23">
        <f t="shared" ref="V111" si="722">IF(V106=0,V107-V110,V106-V110)</f>
        <v>0</v>
      </c>
      <c r="W111" s="23">
        <f t="shared" ref="W111" si="723">IF(W106=0,W107-W110,W106-W110)</f>
        <v>0</v>
      </c>
      <c r="X111" s="23">
        <f t="shared" ref="X111" si="724">IF(X106=0,X107-X110,X106-X110)</f>
        <v>0</v>
      </c>
      <c r="Y111" s="23">
        <f t="shared" ref="Y111" si="725">IF(Y106=0,Y107-Y110,Y106-Y110)</f>
        <v>0</v>
      </c>
      <c r="Z111" s="23">
        <f t="shared" ref="Z111" si="726">IF(Z106=0,Z107-Z110,Z106-Z110)</f>
        <v>0</v>
      </c>
      <c r="AA111" s="23">
        <f t="shared" ref="AA111" si="727">IF(AA106=0,AA107-AA110,AA106-AA110)</f>
        <v>0</v>
      </c>
      <c r="AB111" s="23">
        <f t="shared" ref="AB111" si="728">IF(AB106=0,AB107-AB110,AB106-AB110)</f>
        <v>0</v>
      </c>
      <c r="AC111" s="23">
        <f t="shared" ref="AC111" si="729">IF(AC106=0,AC107-AC110,AC106-AC110)</f>
        <v>0</v>
      </c>
      <c r="AD111" s="23">
        <f t="shared" ref="AD111" si="730">IF(AD106=0,AD107-AD110,AD106-AD110)</f>
        <v>0</v>
      </c>
      <c r="AE111" s="23">
        <f t="shared" ref="AE111" si="731">IF(AE106=0,AE107-AE110,AE106-AE110)</f>
        <v>0</v>
      </c>
      <c r="AF111" s="23">
        <f t="shared" ref="AF111" si="732">IF(AF106=0,AF107-AF110,AF106-AF110)</f>
        <v>0</v>
      </c>
      <c r="AG111" s="23">
        <f t="shared" ref="AG111" si="733">IF(AG106=0,AG107-AG110,AG106-AG110)</f>
        <v>0</v>
      </c>
      <c r="AH111" s="23">
        <f t="shared" ref="AH111" si="734">IF(AH106=0,AH107-AH110,AH106-AH110)</f>
        <v>0</v>
      </c>
      <c r="AI111" s="23">
        <f t="shared" ref="AI111" si="735">IF(AI106=0,AI107-AI110,AI106-AI110)</f>
        <v>0</v>
      </c>
      <c r="AJ111" s="23">
        <f t="shared" ref="AJ111" si="736">IF(AJ106=0,AJ107-AJ110,AJ106-AJ110)</f>
        <v>0</v>
      </c>
      <c r="AK111" s="23">
        <f t="shared" ref="AK111" si="737">IF(AK106=0,AK107-AK110,AK106-AK110)</f>
        <v>0</v>
      </c>
      <c r="AL111" s="23">
        <f t="shared" ref="AL111" si="738">IF(AL106=0,AL107-AL110,AL106-AL110)</f>
        <v>0</v>
      </c>
      <c r="AM111" s="23">
        <f t="shared" ref="AM111" si="739">IF(AM106=0,AM107-AM110,AM106-AM110)</f>
        <v>0</v>
      </c>
      <c r="AN111" s="23">
        <f t="shared" ref="AN111" si="740">IF(AN106=0,AN107-AN110,AN106-AN110)</f>
        <v>0</v>
      </c>
      <c r="AO111" s="23">
        <f t="shared" ref="AO111" si="741">IF(AO106=0,AO107-AO110,AO106-AO110)</f>
        <v>0</v>
      </c>
      <c r="AP111" s="23">
        <f t="shared" ref="AP111" si="742">IF(AP106=0,AP107-AP110,AP106-AP110)</f>
        <v>0</v>
      </c>
      <c r="AQ111" s="23">
        <f t="shared" ref="AQ111" si="743">IF(AQ106=0,AQ107-AQ110,AQ106-AQ110)</f>
        <v>0</v>
      </c>
      <c r="AR111" s="23">
        <f t="shared" ref="AR111" si="744">IF(AR106=0,AR107-AR110,AR106-AR110)</f>
        <v>0</v>
      </c>
      <c r="AS111" s="23">
        <f t="shared" ref="AS111" si="745">IF(AS106=0,AS107-AS110,AS106-AS110)</f>
        <v>0</v>
      </c>
      <c r="AT111" s="23">
        <f t="shared" ref="AT111" si="746">IF(AT106=0,AT107-AT110,AT106-AT110)</f>
        <v>0</v>
      </c>
      <c r="AU111" s="23">
        <f t="shared" ref="AU111" si="747">IF(AU106=0,AU107-AU110,AU106-AU110)</f>
        <v>0</v>
      </c>
      <c r="AV111" s="23">
        <f t="shared" ref="AV111" si="748">IF(AV106=0,AV107-AV110,AV106-AV110)</f>
        <v>0</v>
      </c>
      <c r="AW111" s="23">
        <f t="shared" ref="AW111" si="749">IF(AW106=0,AW107-AW110,AW106-AW110)</f>
        <v>0</v>
      </c>
      <c r="AX111" s="23">
        <f t="shared" ref="AX111" si="750">IF(AX106=0,AX107-AX110,AX106-AX110)</f>
        <v>0</v>
      </c>
      <c r="AY111" s="23">
        <f t="shared" ref="AY111" si="751">IF(AY106=0,AY107-AY110,AY106-AY110)</f>
        <v>0</v>
      </c>
      <c r="AZ111" s="23">
        <f t="shared" ref="AZ111" si="752">IF(AZ106=0,AZ107-AZ110,AZ106-AZ110)</f>
        <v>0</v>
      </c>
      <c r="BA111" s="23">
        <f t="shared" ref="BA111" si="753">IF(BA106=0,BA107-BA110,BA106-BA110)</f>
        <v>0</v>
      </c>
      <c r="BB111" s="23">
        <f t="shared" ref="BB111" si="754">IF(BB106=0,BB107-BB110,BB106-BB110)</f>
        <v>0</v>
      </c>
      <c r="BC111" s="23">
        <f t="shared" ref="BC111" si="755">IF(BC106=0,BC107-BC110,BC106-BC110)</f>
        <v>0</v>
      </c>
      <c r="BD111" s="23">
        <f t="shared" ref="BD111" si="756">IF(BD106=0,BD107-BD110,BD106-BD110)</f>
        <v>0</v>
      </c>
      <c r="BE111" s="23">
        <f t="shared" ref="BE111" si="757">IF(BE106=0,BE107-BE110,BE106-BE110)</f>
        <v>0</v>
      </c>
      <c r="BF111" s="23">
        <f t="shared" ref="BF111" si="758">IF(BF106=0,BF107-BF110,BF106-BF110)</f>
        <v>0</v>
      </c>
      <c r="BG111" s="23">
        <f t="shared" ref="BG111" si="759">IF(BG106=0,BG107-BG110,BG106-BG110)</f>
        <v>0</v>
      </c>
      <c r="BH111" s="23">
        <f t="shared" ref="BH111" si="760">IF(BH106=0,BH107-BH110,BH106-BH110)</f>
        <v>0</v>
      </c>
      <c r="BI111" s="23">
        <f t="shared" ref="BI111" si="761">IF(BI106=0,BI107-BI110,BI106-BI110)</f>
        <v>0</v>
      </c>
      <c r="BJ111" s="23">
        <f t="shared" ref="BJ111" si="762">IF(BJ106=0,BJ107-BJ110,BJ106-BJ110)</f>
        <v>0</v>
      </c>
      <c r="BK111" s="23">
        <f t="shared" ref="BK111" si="763">IF(BK106=0,BK107-BK110,BK106-BK110)</f>
        <v>0</v>
      </c>
      <c r="BL111" s="23">
        <f t="shared" ref="BL111" si="764">IF(BL106=0,BL107-BL110,BL106-BL110)</f>
        <v>0</v>
      </c>
      <c r="BM111" s="23">
        <f t="shared" ref="BM111" si="765">IF(BM106=0,BM107-BM110,BM106-BM110)</f>
        <v>0</v>
      </c>
      <c r="BN111" s="23">
        <f t="shared" ref="BN111" si="766">IF(BN106=0,BN107-BN110,BN106-BN110)</f>
        <v>0</v>
      </c>
    </row>
    <row r="112" spans="3:66" x14ac:dyDescent="0.2">
      <c r="C112" s="322"/>
      <c r="D112" s="23" t="s">
        <v>10</v>
      </c>
      <c r="E112" s="72">
        <v>3.3E-3</v>
      </c>
      <c r="F112" s="54">
        <v>3.3E-3</v>
      </c>
      <c r="G112" s="54">
        <v>3.3E-3</v>
      </c>
      <c r="H112" s="54">
        <v>3.3E-3</v>
      </c>
      <c r="I112" s="54">
        <v>3.3E-3</v>
      </c>
      <c r="J112" s="54">
        <v>3.3E-3</v>
      </c>
      <c r="K112" s="54">
        <v>3.3E-3</v>
      </c>
      <c r="L112" s="54">
        <v>3.3E-3</v>
      </c>
      <c r="M112" s="54">
        <v>3.3E-3</v>
      </c>
      <c r="N112" s="54">
        <v>3.3E-3</v>
      </c>
      <c r="O112" s="54">
        <v>3.3E-3</v>
      </c>
      <c r="P112" s="54">
        <v>3.3E-3</v>
      </c>
      <c r="Q112" s="54">
        <v>3.3E-3</v>
      </c>
      <c r="R112" s="54">
        <v>3.3E-3</v>
      </c>
      <c r="S112" s="54">
        <v>3.3E-3</v>
      </c>
      <c r="T112" s="54">
        <v>3.3E-3</v>
      </c>
      <c r="U112" s="54">
        <v>3.3E-3</v>
      </c>
      <c r="V112" s="54">
        <v>3.3E-3</v>
      </c>
      <c r="W112" s="54">
        <v>3.3E-3</v>
      </c>
      <c r="X112" s="54">
        <v>3.3E-3</v>
      </c>
      <c r="Y112" s="54">
        <v>3.3E-3</v>
      </c>
      <c r="Z112" s="54">
        <v>3.3E-3</v>
      </c>
      <c r="AA112" s="54">
        <v>3.3E-3</v>
      </c>
      <c r="AB112" s="54">
        <v>3.3E-3</v>
      </c>
      <c r="AC112" s="54">
        <v>3.3E-3</v>
      </c>
      <c r="AD112" s="54">
        <v>3.3E-3</v>
      </c>
      <c r="AE112" s="54">
        <v>3.3E-3</v>
      </c>
      <c r="AF112" s="54">
        <v>3.3E-3</v>
      </c>
      <c r="AG112" s="54">
        <v>3.3E-3</v>
      </c>
      <c r="AH112" s="54">
        <v>3.3E-3</v>
      </c>
      <c r="AI112" s="54">
        <v>3.3E-3</v>
      </c>
      <c r="AJ112" s="54">
        <v>3.3E-3</v>
      </c>
      <c r="AK112" s="54">
        <v>3.3E-3</v>
      </c>
      <c r="AL112" s="54">
        <v>3.3E-3</v>
      </c>
      <c r="AM112" s="54">
        <v>3.3E-3</v>
      </c>
      <c r="AN112" s="54">
        <v>3.3E-3</v>
      </c>
      <c r="AO112" s="54">
        <v>3.3E-3</v>
      </c>
      <c r="AP112" s="54">
        <v>3.3E-3</v>
      </c>
      <c r="AQ112" s="54">
        <v>3.3E-3</v>
      </c>
      <c r="AR112" s="54">
        <v>3.3E-3</v>
      </c>
      <c r="AS112" s="54">
        <v>3.3E-3</v>
      </c>
      <c r="AT112" s="54">
        <v>3.3E-3</v>
      </c>
      <c r="AU112" s="54">
        <v>3.3E-3</v>
      </c>
      <c r="AV112" s="54">
        <v>3.3E-3</v>
      </c>
      <c r="AW112" s="54">
        <v>3.3E-3</v>
      </c>
      <c r="AX112" s="54">
        <v>3.3E-3</v>
      </c>
      <c r="AY112" s="54">
        <v>3.3E-3</v>
      </c>
      <c r="AZ112" s="54">
        <v>3.3E-3</v>
      </c>
      <c r="BA112" s="54">
        <v>3.3E-3</v>
      </c>
      <c r="BB112" s="54">
        <v>3.3E-3</v>
      </c>
      <c r="BC112" s="54">
        <v>3.3E-3</v>
      </c>
      <c r="BD112" s="54">
        <v>3.3E-3</v>
      </c>
      <c r="BE112" s="54">
        <v>3.3E-3</v>
      </c>
      <c r="BF112" s="54">
        <v>3.3E-3</v>
      </c>
      <c r="BG112" s="54">
        <v>3.3E-3</v>
      </c>
      <c r="BH112" s="54">
        <v>3.3E-3</v>
      </c>
      <c r="BI112" s="54">
        <v>3.3E-3</v>
      </c>
      <c r="BJ112" s="54">
        <v>3.3E-3</v>
      </c>
      <c r="BK112" s="54">
        <v>3.3E-3</v>
      </c>
      <c r="BL112" s="54">
        <v>3.3E-3</v>
      </c>
      <c r="BM112" s="54">
        <v>3.3E-3</v>
      </c>
      <c r="BN112" s="54">
        <v>3.3E-3</v>
      </c>
    </row>
    <row r="113" spans="3:66" x14ac:dyDescent="0.2">
      <c r="C113" s="322"/>
      <c r="D113" s="23" t="s">
        <v>12</v>
      </c>
      <c r="E113" s="27">
        <f t="shared" ref="E113:E118" si="767">SUM(F113:BN113)</f>
        <v>2893.3633976220208</v>
      </c>
      <c r="F113" s="29">
        <f>+F111*F112</f>
        <v>-0.50769668321144423</v>
      </c>
      <c r="G113" s="29">
        <f>+G111*G112</f>
        <v>1370.7810446708995</v>
      </c>
      <c r="H113" s="29">
        <f>+H111*H112</f>
        <v>1523.0900496343329</v>
      </c>
      <c r="I113" s="29">
        <f t="shared" ref="I113:O113" si="768">+I111*I112</f>
        <v>0</v>
      </c>
      <c r="J113" s="29">
        <f t="shared" si="768"/>
        <v>0</v>
      </c>
      <c r="K113" s="29">
        <f t="shared" si="768"/>
        <v>0</v>
      </c>
      <c r="L113" s="29">
        <f t="shared" si="768"/>
        <v>0</v>
      </c>
      <c r="M113" s="29">
        <f t="shared" si="768"/>
        <v>0</v>
      </c>
      <c r="N113" s="29">
        <f t="shared" si="768"/>
        <v>0</v>
      </c>
      <c r="O113" s="29">
        <f t="shared" si="768"/>
        <v>0</v>
      </c>
      <c r="P113" s="29">
        <f>+P111*P112</f>
        <v>0</v>
      </c>
      <c r="Q113" s="29">
        <f t="shared" ref="Q113" si="769">+Q111*Q112</f>
        <v>0</v>
      </c>
      <c r="R113" s="29">
        <f>+R111*R112</f>
        <v>0</v>
      </c>
      <c r="S113" s="29">
        <f>+S111*S112</f>
        <v>0</v>
      </c>
      <c r="T113" s="29">
        <f t="shared" ref="T113" si="770">+T111*T112</f>
        <v>0</v>
      </c>
      <c r="U113" s="29">
        <f>+U111*U112</f>
        <v>0</v>
      </c>
      <c r="V113" s="29">
        <f t="shared" ref="V113:Y113" si="771">+V111*V112</f>
        <v>0</v>
      </c>
      <c r="W113" s="29">
        <f t="shared" si="771"/>
        <v>0</v>
      </c>
      <c r="X113" s="29">
        <f t="shared" si="771"/>
        <v>0</v>
      </c>
      <c r="Y113" s="29">
        <f t="shared" si="771"/>
        <v>0</v>
      </c>
      <c r="Z113" s="29">
        <f>+Z111*Z112</f>
        <v>0</v>
      </c>
      <c r="AA113" s="29">
        <f>+AA111*AA112</f>
        <v>0</v>
      </c>
      <c r="AB113" s="29">
        <f t="shared" ref="AB113:AD113" si="772">+AB111*AB112</f>
        <v>0</v>
      </c>
      <c r="AC113" s="29">
        <f t="shared" si="772"/>
        <v>0</v>
      </c>
      <c r="AD113" s="29">
        <f t="shared" si="772"/>
        <v>0</v>
      </c>
      <c r="AE113" s="29">
        <v>0</v>
      </c>
      <c r="AF113" s="29">
        <f>+AF111*AF112</f>
        <v>0</v>
      </c>
      <c r="AG113" s="29">
        <f t="shared" ref="AG113:AP113" si="773">+AG111*AG112</f>
        <v>0</v>
      </c>
      <c r="AH113" s="29">
        <f t="shared" si="773"/>
        <v>0</v>
      </c>
      <c r="AI113" s="29">
        <f t="shared" si="773"/>
        <v>0</v>
      </c>
      <c r="AJ113" s="29">
        <f t="shared" si="773"/>
        <v>0</v>
      </c>
      <c r="AK113" s="29">
        <f t="shared" si="773"/>
        <v>0</v>
      </c>
      <c r="AL113" s="29">
        <f t="shared" si="773"/>
        <v>0</v>
      </c>
      <c r="AM113" s="29">
        <f t="shared" si="773"/>
        <v>0</v>
      </c>
      <c r="AN113" s="29">
        <f t="shared" si="773"/>
        <v>0</v>
      </c>
      <c r="AO113" s="29">
        <f t="shared" si="773"/>
        <v>0</v>
      </c>
      <c r="AP113" s="29">
        <f t="shared" si="773"/>
        <v>0</v>
      </c>
      <c r="AQ113" s="29">
        <f>+AQ111*AQ112</f>
        <v>0</v>
      </c>
      <c r="AR113" s="29">
        <f>+AR111*AR112</f>
        <v>0</v>
      </c>
      <c r="AS113" s="29">
        <f t="shared" ref="AS113:AU113" si="774">+AS111*AS112</f>
        <v>0</v>
      </c>
      <c r="AT113" s="29"/>
      <c r="AU113" s="29">
        <f t="shared" si="774"/>
        <v>0</v>
      </c>
      <c r="AV113" s="29">
        <v>0</v>
      </c>
      <c r="AW113" s="29">
        <f t="shared" ref="AW113:AX113" si="775">+AW111*AW112</f>
        <v>0</v>
      </c>
      <c r="AX113" s="29">
        <f t="shared" si="775"/>
        <v>0</v>
      </c>
      <c r="AY113" s="29">
        <f>+AY111*AY112</f>
        <v>0</v>
      </c>
      <c r="AZ113" s="29">
        <v>0</v>
      </c>
      <c r="BA113" s="29">
        <f t="shared" ref="BA113:BM113" si="776">+BA111*BA112</f>
        <v>0</v>
      </c>
      <c r="BB113" s="29">
        <v>0</v>
      </c>
      <c r="BC113" s="29">
        <f t="shared" si="776"/>
        <v>0</v>
      </c>
      <c r="BD113" s="29">
        <f t="shared" si="776"/>
        <v>0</v>
      </c>
      <c r="BE113" s="29">
        <f t="shared" si="776"/>
        <v>0</v>
      </c>
      <c r="BF113" s="29">
        <f t="shared" si="776"/>
        <v>0</v>
      </c>
      <c r="BG113" s="29">
        <v>0</v>
      </c>
      <c r="BH113" s="29">
        <v>0</v>
      </c>
      <c r="BI113" s="29">
        <f t="shared" si="776"/>
        <v>0</v>
      </c>
      <c r="BJ113" s="29">
        <f t="shared" si="776"/>
        <v>0</v>
      </c>
      <c r="BK113" s="29">
        <f t="shared" si="776"/>
        <v>0</v>
      </c>
      <c r="BL113" s="29">
        <f t="shared" ref="BL113" si="777">+BL111*BL112</f>
        <v>0</v>
      </c>
      <c r="BM113" s="29">
        <f t="shared" si="776"/>
        <v>0</v>
      </c>
      <c r="BN113" s="29">
        <v>0</v>
      </c>
    </row>
    <row r="114" spans="3:66" ht="13.5" thickBot="1" x14ac:dyDescent="0.25">
      <c r="C114" s="323"/>
      <c r="D114" s="25" t="s">
        <v>11</v>
      </c>
      <c r="E114" s="30">
        <f t="shared" si="767"/>
        <v>879670.15055581019</v>
      </c>
      <c r="F114" s="46">
        <f>+F111+F113</f>
        <v>-154.35517644425514</v>
      </c>
      <c r="G114" s="46">
        <f>+G111+G113</f>
        <v>416758.97639948892</v>
      </c>
      <c r="H114" s="46">
        <f>+H111+H113</f>
        <v>463065.52933276549</v>
      </c>
      <c r="I114" s="46">
        <f t="shared" ref="I114:U114" si="778">+I111+I113</f>
        <v>0</v>
      </c>
      <c r="J114" s="46">
        <f t="shared" si="778"/>
        <v>0</v>
      </c>
      <c r="K114" s="46">
        <f t="shared" si="778"/>
        <v>0</v>
      </c>
      <c r="L114" s="46">
        <f t="shared" si="778"/>
        <v>0</v>
      </c>
      <c r="M114" s="46">
        <f t="shared" si="778"/>
        <v>0</v>
      </c>
      <c r="N114" s="46">
        <f t="shared" si="778"/>
        <v>0</v>
      </c>
      <c r="O114" s="46">
        <f t="shared" si="778"/>
        <v>0</v>
      </c>
      <c r="P114" s="46">
        <f t="shared" si="778"/>
        <v>0</v>
      </c>
      <c r="Q114" s="46">
        <f t="shared" si="778"/>
        <v>0</v>
      </c>
      <c r="R114" s="46">
        <f t="shared" si="778"/>
        <v>0</v>
      </c>
      <c r="S114" s="46">
        <f t="shared" si="778"/>
        <v>0</v>
      </c>
      <c r="T114" s="46">
        <f t="shared" si="778"/>
        <v>0</v>
      </c>
      <c r="U114" s="46">
        <f t="shared" si="778"/>
        <v>0</v>
      </c>
      <c r="V114" s="46">
        <f>+V111+V113</f>
        <v>0</v>
      </c>
      <c r="W114" s="46">
        <f>+W111+W113</f>
        <v>0</v>
      </c>
      <c r="X114" s="46">
        <f t="shared" ref="X114:BN114" si="779">+X111+X113</f>
        <v>0</v>
      </c>
      <c r="Y114" s="46">
        <f t="shared" si="779"/>
        <v>0</v>
      </c>
      <c r="Z114" s="46">
        <f t="shared" si="779"/>
        <v>0</v>
      </c>
      <c r="AA114" s="46">
        <f t="shared" si="779"/>
        <v>0</v>
      </c>
      <c r="AB114" s="46">
        <f t="shared" si="779"/>
        <v>0</v>
      </c>
      <c r="AC114" s="46">
        <f t="shared" si="779"/>
        <v>0</v>
      </c>
      <c r="AD114" s="46">
        <f t="shared" si="779"/>
        <v>0</v>
      </c>
      <c r="AE114" s="46">
        <f t="shared" si="779"/>
        <v>0</v>
      </c>
      <c r="AF114" s="46">
        <f t="shared" si="779"/>
        <v>0</v>
      </c>
      <c r="AG114" s="46">
        <f t="shared" si="779"/>
        <v>0</v>
      </c>
      <c r="AH114" s="46">
        <f t="shared" si="779"/>
        <v>0</v>
      </c>
      <c r="AI114" s="46">
        <f t="shared" si="779"/>
        <v>0</v>
      </c>
      <c r="AJ114" s="46">
        <f t="shared" si="779"/>
        <v>0</v>
      </c>
      <c r="AK114" s="46">
        <f t="shared" si="779"/>
        <v>0</v>
      </c>
      <c r="AL114" s="46">
        <f t="shared" si="779"/>
        <v>0</v>
      </c>
      <c r="AM114" s="46">
        <f t="shared" si="779"/>
        <v>0</v>
      </c>
      <c r="AN114" s="46">
        <f t="shared" si="779"/>
        <v>0</v>
      </c>
      <c r="AO114" s="46">
        <f t="shared" si="779"/>
        <v>0</v>
      </c>
      <c r="AP114" s="46">
        <f t="shared" si="779"/>
        <v>0</v>
      </c>
      <c r="AQ114" s="46">
        <f t="shared" si="779"/>
        <v>0</v>
      </c>
      <c r="AR114" s="46">
        <f t="shared" si="779"/>
        <v>0</v>
      </c>
      <c r="AS114" s="46">
        <f t="shared" si="779"/>
        <v>0</v>
      </c>
      <c r="AT114" s="46">
        <f t="shared" si="779"/>
        <v>0</v>
      </c>
      <c r="AU114" s="46">
        <f t="shared" si="779"/>
        <v>0</v>
      </c>
      <c r="AV114" s="46">
        <f t="shared" si="779"/>
        <v>0</v>
      </c>
      <c r="AW114" s="46">
        <f t="shared" si="779"/>
        <v>0</v>
      </c>
      <c r="AX114" s="46">
        <f t="shared" si="779"/>
        <v>0</v>
      </c>
      <c r="AY114" s="46">
        <f t="shared" si="779"/>
        <v>0</v>
      </c>
      <c r="AZ114" s="46">
        <f t="shared" si="779"/>
        <v>0</v>
      </c>
      <c r="BA114" s="46">
        <f t="shared" si="779"/>
        <v>0</v>
      </c>
      <c r="BB114" s="46">
        <f t="shared" si="779"/>
        <v>0</v>
      </c>
      <c r="BC114" s="46">
        <f t="shared" si="779"/>
        <v>0</v>
      </c>
      <c r="BD114" s="46">
        <f t="shared" si="779"/>
        <v>0</v>
      </c>
      <c r="BE114" s="46">
        <f t="shared" si="779"/>
        <v>0</v>
      </c>
      <c r="BF114" s="46">
        <f t="shared" si="779"/>
        <v>0</v>
      </c>
      <c r="BG114" s="46">
        <f t="shared" si="779"/>
        <v>0</v>
      </c>
      <c r="BH114" s="46">
        <f t="shared" si="779"/>
        <v>0</v>
      </c>
      <c r="BI114" s="46">
        <f t="shared" si="779"/>
        <v>0</v>
      </c>
      <c r="BJ114" s="46">
        <f t="shared" si="779"/>
        <v>0</v>
      </c>
      <c r="BK114" s="46">
        <f t="shared" si="779"/>
        <v>0</v>
      </c>
      <c r="BL114" s="46">
        <f t="shared" si="779"/>
        <v>0</v>
      </c>
      <c r="BM114" s="46">
        <f t="shared" si="779"/>
        <v>0</v>
      </c>
      <c r="BN114" s="46">
        <f t="shared" si="779"/>
        <v>0</v>
      </c>
    </row>
    <row r="115" spans="3:66" x14ac:dyDescent="0.2">
      <c r="C115" s="321">
        <v>43952</v>
      </c>
      <c r="D115" s="20" t="s">
        <v>5</v>
      </c>
      <c r="E115" s="50">
        <f t="shared" si="767"/>
        <v>0</v>
      </c>
      <c r="F115" s="279">
        <f>IF(F$6=$C115,F$7,0)</f>
        <v>0</v>
      </c>
      <c r="G115" s="279">
        <f t="shared" ref="G115:BN115" si="780">IF(G$6=$C115,G$7,0)</f>
        <v>0</v>
      </c>
      <c r="H115" s="279">
        <f t="shared" si="780"/>
        <v>0</v>
      </c>
      <c r="I115" s="279">
        <f t="shared" si="780"/>
        <v>0</v>
      </c>
      <c r="J115" s="279">
        <f t="shared" si="780"/>
        <v>0</v>
      </c>
      <c r="K115" s="279">
        <f t="shared" si="780"/>
        <v>0</v>
      </c>
      <c r="L115" s="279">
        <f t="shared" si="780"/>
        <v>0</v>
      </c>
      <c r="M115" s="279">
        <f t="shared" si="780"/>
        <v>0</v>
      </c>
      <c r="N115" s="279">
        <f t="shared" si="780"/>
        <v>0</v>
      </c>
      <c r="O115" s="279">
        <f t="shared" si="780"/>
        <v>0</v>
      </c>
      <c r="P115" s="279">
        <f t="shared" si="780"/>
        <v>0</v>
      </c>
      <c r="Q115" s="279">
        <f t="shared" si="780"/>
        <v>0</v>
      </c>
      <c r="R115" s="279">
        <f t="shared" si="780"/>
        <v>0</v>
      </c>
      <c r="S115" s="279">
        <f t="shared" si="780"/>
        <v>0</v>
      </c>
      <c r="T115" s="279">
        <f t="shared" si="780"/>
        <v>0</v>
      </c>
      <c r="U115" s="279">
        <f t="shared" si="780"/>
        <v>0</v>
      </c>
      <c r="V115" s="279">
        <f t="shared" si="780"/>
        <v>0</v>
      </c>
      <c r="W115" s="279">
        <f t="shared" si="780"/>
        <v>0</v>
      </c>
      <c r="X115" s="279">
        <f t="shared" si="780"/>
        <v>0</v>
      </c>
      <c r="Y115" s="279">
        <f t="shared" si="780"/>
        <v>0</v>
      </c>
      <c r="Z115" s="279">
        <f t="shared" si="780"/>
        <v>0</v>
      </c>
      <c r="AA115" s="279">
        <f t="shared" si="780"/>
        <v>0</v>
      </c>
      <c r="AB115" s="279">
        <f t="shared" si="780"/>
        <v>0</v>
      </c>
      <c r="AC115" s="279">
        <f t="shared" si="780"/>
        <v>0</v>
      </c>
      <c r="AD115" s="279">
        <f t="shared" si="780"/>
        <v>0</v>
      </c>
      <c r="AE115" s="279">
        <f t="shared" si="780"/>
        <v>0</v>
      </c>
      <c r="AF115" s="279">
        <f t="shared" si="780"/>
        <v>0</v>
      </c>
      <c r="AG115" s="279">
        <f t="shared" si="780"/>
        <v>0</v>
      </c>
      <c r="AH115" s="279">
        <f t="shared" si="780"/>
        <v>0</v>
      </c>
      <c r="AI115" s="279">
        <f t="shared" si="780"/>
        <v>0</v>
      </c>
      <c r="AJ115" s="279">
        <f t="shared" si="780"/>
        <v>0</v>
      </c>
      <c r="AK115" s="279">
        <f t="shared" si="780"/>
        <v>0</v>
      </c>
      <c r="AL115" s="279">
        <f t="shared" si="780"/>
        <v>0</v>
      </c>
      <c r="AM115" s="279">
        <f t="shared" si="780"/>
        <v>0</v>
      </c>
      <c r="AN115" s="279">
        <f t="shared" si="780"/>
        <v>0</v>
      </c>
      <c r="AO115" s="279">
        <f t="shared" si="780"/>
        <v>0</v>
      </c>
      <c r="AP115" s="279">
        <f t="shared" si="780"/>
        <v>0</v>
      </c>
      <c r="AQ115" s="279">
        <f t="shared" si="780"/>
        <v>0</v>
      </c>
      <c r="AR115" s="279">
        <f t="shared" si="780"/>
        <v>0</v>
      </c>
      <c r="AS115" s="279">
        <f t="shared" si="780"/>
        <v>0</v>
      </c>
      <c r="AT115" s="279">
        <f t="shared" si="780"/>
        <v>0</v>
      </c>
      <c r="AU115" s="279">
        <f t="shared" si="780"/>
        <v>0</v>
      </c>
      <c r="AV115" s="279">
        <f t="shared" si="780"/>
        <v>0</v>
      </c>
      <c r="AW115" s="279">
        <f t="shared" si="780"/>
        <v>0</v>
      </c>
      <c r="AX115" s="279">
        <f t="shared" si="780"/>
        <v>0</v>
      </c>
      <c r="AY115" s="279">
        <f t="shared" si="780"/>
        <v>0</v>
      </c>
      <c r="AZ115" s="279">
        <f t="shared" si="780"/>
        <v>0</v>
      </c>
      <c r="BA115" s="279">
        <f t="shared" si="780"/>
        <v>0</v>
      </c>
      <c r="BB115" s="279">
        <f t="shared" si="780"/>
        <v>0</v>
      </c>
      <c r="BC115" s="279">
        <f t="shared" si="780"/>
        <v>0</v>
      </c>
      <c r="BD115" s="279">
        <f t="shared" si="780"/>
        <v>0</v>
      </c>
      <c r="BE115" s="279">
        <f t="shared" si="780"/>
        <v>0</v>
      </c>
      <c r="BF115" s="279">
        <f t="shared" si="780"/>
        <v>0</v>
      </c>
      <c r="BG115" s="279">
        <f t="shared" si="780"/>
        <v>0</v>
      </c>
      <c r="BH115" s="279">
        <f t="shared" si="780"/>
        <v>0</v>
      </c>
      <c r="BI115" s="279">
        <f t="shared" si="780"/>
        <v>0</v>
      </c>
      <c r="BJ115" s="279">
        <f t="shared" si="780"/>
        <v>0</v>
      </c>
      <c r="BK115" s="279">
        <f t="shared" si="780"/>
        <v>0</v>
      </c>
      <c r="BL115" s="279">
        <f t="shared" si="780"/>
        <v>0</v>
      </c>
      <c r="BM115" s="279">
        <f t="shared" si="780"/>
        <v>0</v>
      </c>
      <c r="BN115" s="279">
        <f t="shared" si="780"/>
        <v>0</v>
      </c>
    </row>
    <row r="116" spans="3:66" x14ac:dyDescent="0.2">
      <c r="C116" s="322"/>
      <c r="D116" s="23" t="s">
        <v>7</v>
      </c>
      <c r="E116" s="91">
        <f t="shared" si="767"/>
        <v>14.640000000000011</v>
      </c>
      <c r="F116" s="28">
        <f>IF(F115="",VLOOKUP($C115,'CUSTOS REALIZADOS'!$A$11:$E$995,4),(VLOOKUP($C115,'CUSTOS REALIZADOS'!$A$11:$E$995,5)))</f>
        <v>0.24000000000000002</v>
      </c>
      <c r="G116" s="28">
        <f>IF(G115="",VLOOKUP($C115,'CUSTOS REALIZADOS'!$A$11:$E$995,4),(VLOOKUP($C115,'CUSTOS REALIZADOS'!$A$11:$E$995,5)))</f>
        <v>0.24000000000000002</v>
      </c>
      <c r="H116" s="28">
        <f>IF(H115="",VLOOKUP($C115,'CUSTOS REALIZADOS'!$A$11:$E$995,4),(VLOOKUP($C115,'CUSTOS REALIZADOS'!$A$11:$E$995,5)))</f>
        <v>0.24000000000000002</v>
      </c>
      <c r="I116" s="28">
        <f>IF(I115="",VLOOKUP($C115,'CUSTOS REALIZADOS'!$A$11:$E$995,4),(VLOOKUP($C115,'CUSTOS REALIZADOS'!$A$11:$E$995,5)))</f>
        <v>0.24000000000000002</v>
      </c>
      <c r="J116" s="28">
        <f>IF(J115="",VLOOKUP($C115,'CUSTOS REALIZADOS'!$A$11:$E$995,4),(VLOOKUP($C115,'CUSTOS REALIZADOS'!$A$11:$E$995,5)))</f>
        <v>0.24000000000000002</v>
      </c>
      <c r="K116" s="28">
        <f>IF(K115="",VLOOKUP($C115,'CUSTOS REALIZADOS'!$A$11:$E$995,4),(VLOOKUP($C115,'CUSTOS REALIZADOS'!$A$11:$E$995,5)))</f>
        <v>0.24000000000000002</v>
      </c>
      <c r="L116" s="28">
        <f>IF(L115="",VLOOKUP($C115,'CUSTOS REALIZADOS'!$A$11:$E$995,4),(VLOOKUP($C115,'CUSTOS REALIZADOS'!$A$11:$E$995,5)))</f>
        <v>0.24000000000000002</v>
      </c>
      <c r="M116" s="28">
        <f>IF(M115="",VLOOKUP($C115,'CUSTOS REALIZADOS'!$A$11:$E$995,4),(VLOOKUP($C115,'CUSTOS REALIZADOS'!$A$11:$E$995,5)))</f>
        <v>0.24000000000000002</v>
      </c>
      <c r="N116" s="28">
        <f>IF(N115="",VLOOKUP($C115,'CUSTOS REALIZADOS'!$A$11:$E$995,4),(VLOOKUP($C115,'CUSTOS REALIZADOS'!$A$11:$E$995,5)))</f>
        <v>0.24000000000000002</v>
      </c>
      <c r="O116" s="28">
        <f>IF(O115="",VLOOKUP($C115,'CUSTOS REALIZADOS'!$A$11:$E$995,4),(VLOOKUP($C115,'CUSTOS REALIZADOS'!$A$11:$E$995,5)))</f>
        <v>0.24000000000000002</v>
      </c>
      <c r="P116" s="28">
        <f>IF(P115="",VLOOKUP($C115,'CUSTOS REALIZADOS'!$A$11:$E$995,4),(VLOOKUP($C115,'CUSTOS REALIZADOS'!$A$11:$E$995,5)))</f>
        <v>0.24000000000000002</v>
      </c>
      <c r="Q116" s="28">
        <f>IF(Q115="",VLOOKUP($C115,'CUSTOS REALIZADOS'!$A$11:$E$995,4),(VLOOKUP($C115,'CUSTOS REALIZADOS'!$A$11:$E$995,5)))</f>
        <v>0.24000000000000002</v>
      </c>
      <c r="R116" s="28">
        <f>IF(R115="",VLOOKUP($C115,'CUSTOS REALIZADOS'!$A$11:$E$995,4),(VLOOKUP($C115,'CUSTOS REALIZADOS'!$A$11:$E$995,5)))</f>
        <v>0.24000000000000002</v>
      </c>
      <c r="S116" s="28">
        <f>IF(S115="",VLOOKUP($C115,'CUSTOS REALIZADOS'!$A$11:$E$995,4),(VLOOKUP($C115,'CUSTOS REALIZADOS'!$A$11:$E$995,5)))</f>
        <v>0.24000000000000002</v>
      </c>
      <c r="T116" s="28">
        <f>IF(T115="",VLOOKUP($C115,'CUSTOS REALIZADOS'!$A$11:$E$995,4),(VLOOKUP($C115,'CUSTOS REALIZADOS'!$A$11:$E$995,5)))</f>
        <v>0.24000000000000002</v>
      </c>
      <c r="U116" s="28">
        <f>IF(U115="",VLOOKUP($C115,'CUSTOS REALIZADOS'!$A$11:$E$995,4),(VLOOKUP($C115,'CUSTOS REALIZADOS'!$A$11:$E$995,5)))</f>
        <v>0.24000000000000002</v>
      </c>
      <c r="V116" s="28">
        <f>IF(V115="",VLOOKUP($C115,'CUSTOS REALIZADOS'!$A$11:$E$995,4),(VLOOKUP($C115,'CUSTOS REALIZADOS'!$A$11:$E$995,5)))</f>
        <v>0.24000000000000002</v>
      </c>
      <c r="W116" s="28">
        <f>IF(W115="",VLOOKUP($C115,'CUSTOS REALIZADOS'!$A$11:$E$995,4),(VLOOKUP($C115,'CUSTOS REALIZADOS'!$A$11:$E$995,5)))</f>
        <v>0.24000000000000002</v>
      </c>
      <c r="X116" s="28">
        <f>IF(X115="",VLOOKUP($C115,'CUSTOS REALIZADOS'!$A$11:$E$995,4),(VLOOKUP($C115,'CUSTOS REALIZADOS'!$A$11:$E$995,5)))</f>
        <v>0.24000000000000002</v>
      </c>
      <c r="Y116" s="28">
        <f>IF(Y115="",VLOOKUP($C115,'CUSTOS REALIZADOS'!$A$11:$E$995,4),(VLOOKUP($C115,'CUSTOS REALIZADOS'!$A$11:$E$995,5)))</f>
        <v>0.24000000000000002</v>
      </c>
      <c r="Z116" s="28">
        <f>IF(Z115="",VLOOKUP($C115,'CUSTOS REALIZADOS'!$A$11:$E$995,4),(VLOOKUP($C115,'CUSTOS REALIZADOS'!$A$11:$E$995,5)))</f>
        <v>0.24000000000000002</v>
      </c>
      <c r="AA116" s="28">
        <f>IF(AA115="",VLOOKUP($C115,'CUSTOS REALIZADOS'!$A$11:$E$995,4),(VLOOKUP($C115,'CUSTOS REALIZADOS'!$A$11:$E$995,5)))</f>
        <v>0.24000000000000002</v>
      </c>
      <c r="AB116" s="28">
        <f>IF(AB115="",VLOOKUP($C115,'CUSTOS REALIZADOS'!$A$11:$E$995,4),(VLOOKUP($C115,'CUSTOS REALIZADOS'!$A$11:$E$995,5)))</f>
        <v>0.24000000000000002</v>
      </c>
      <c r="AC116" s="28">
        <f>IF(AC115="",VLOOKUP($C115,'CUSTOS REALIZADOS'!$A$11:$E$995,4),(VLOOKUP($C115,'CUSTOS REALIZADOS'!$A$11:$E$995,5)))</f>
        <v>0.24000000000000002</v>
      </c>
      <c r="AD116" s="28">
        <f>IF(AD115="",VLOOKUP($C115,'CUSTOS REALIZADOS'!$A$11:$E$995,4),(VLOOKUP($C115,'CUSTOS REALIZADOS'!$A$11:$E$995,5)))</f>
        <v>0.24000000000000002</v>
      </c>
      <c r="AE116" s="28">
        <f>IF(AE115="",VLOOKUP($C115,'CUSTOS REALIZADOS'!$A$11:$E$995,4),(VLOOKUP($C115,'CUSTOS REALIZADOS'!$A$11:$E$995,5)))</f>
        <v>0.24000000000000002</v>
      </c>
      <c r="AF116" s="28">
        <f>IF(AF115="",VLOOKUP($C115,'CUSTOS REALIZADOS'!$A$11:$E$995,4),(VLOOKUP($C115,'CUSTOS REALIZADOS'!$A$11:$E$995,5)))</f>
        <v>0.24000000000000002</v>
      </c>
      <c r="AG116" s="28">
        <f>IF(AG115="",VLOOKUP($C115,'CUSTOS REALIZADOS'!$A$11:$E$995,4),(VLOOKUP($C115,'CUSTOS REALIZADOS'!$A$11:$E$995,5)))</f>
        <v>0.24000000000000002</v>
      </c>
      <c r="AH116" s="28">
        <f>IF(AH115="",VLOOKUP($C115,'CUSTOS REALIZADOS'!$A$11:$E$995,4),(VLOOKUP($C115,'CUSTOS REALIZADOS'!$A$11:$E$995,5)))</f>
        <v>0.24000000000000002</v>
      </c>
      <c r="AI116" s="28">
        <f>IF(AI115="",VLOOKUP($C115,'CUSTOS REALIZADOS'!$A$11:$E$995,4),(VLOOKUP($C115,'CUSTOS REALIZADOS'!$A$11:$E$995,5)))</f>
        <v>0.24000000000000002</v>
      </c>
      <c r="AJ116" s="28">
        <f>IF(AJ115="",VLOOKUP($C115,'CUSTOS REALIZADOS'!$A$11:$E$995,4),(VLOOKUP($C115,'CUSTOS REALIZADOS'!$A$11:$E$995,5)))</f>
        <v>0.24000000000000002</v>
      </c>
      <c r="AK116" s="28">
        <f>IF(AK115="",VLOOKUP($C115,'CUSTOS REALIZADOS'!$A$11:$E$995,4),(VLOOKUP($C115,'CUSTOS REALIZADOS'!$A$11:$E$995,5)))</f>
        <v>0.24000000000000002</v>
      </c>
      <c r="AL116" s="28">
        <f>IF(AL115="",VLOOKUP($C115,'CUSTOS REALIZADOS'!$A$11:$E$995,4),(VLOOKUP($C115,'CUSTOS REALIZADOS'!$A$11:$E$995,5)))</f>
        <v>0.24000000000000002</v>
      </c>
      <c r="AM116" s="28">
        <f>IF(AM115="",VLOOKUP($C115,'CUSTOS REALIZADOS'!$A$11:$E$995,4),(VLOOKUP($C115,'CUSTOS REALIZADOS'!$A$11:$E$995,5)))</f>
        <v>0.24000000000000002</v>
      </c>
      <c r="AN116" s="28">
        <f>IF(AN115="",VLOOKUP($C115,'CUSTOS REALIZADOS'!$A$11:$E$995,4),(VLOOKUP($C115,'CUSTOS REALIZADOS'!$A$11:$E$995,5)))</f>
        <v>0.24000000000000002</v>
      </c>
      <c r="AO116" s="28">
        <f>IF(AO115="",VLOOKUP($C115,'CUSTOS REALIZADOS'!$A$11:$E$995,4),(VLOOKUP($C115,'CUSTOS REALIZADOS'!$A$11:$E$995,5)))</f>
        <v>0.24000000000000002</v>
      </c>
      <c r="AP116" s="28">
        <f>IF(AP115="",VLOOKUP($C115,'CUSTOS REALIZADOS'!$A$11:$E$995,4),(VLOOKUP($C115,'CUSTOS REALIZADOS'!$A$11:$E$995,5)))</f>
        <v>0.24000000000000002</v>
      </c>
      <c r="AQ116" s="28">
        <f>IF(AQ115="",VLOOKUP($C115,'CUSTOS REALIZADOS'!$A$11:$E$995,4),(VLOOKUP($C115,'CUSTOS REALIZADOS'!$A$11:$E$995,5)))</f>
        <v>0.24000000000000002</v>
      </c>
      <c r="AR116" s="28">
        <f>IF(AR115="",VLOOKUP($C115,'CUSTOS REALIZADOS'!$A$11:$E$995,4),(VLOOKUP($C115,'CUSTOS REALIZADOS'!$A$11:$E$995,5)))</f>
        <v>0.24000000000000002</v>
      </c>
      <c r="AS116" s="28">
        <f>IF(AS115="",VLOOKUP($C115,'CUSTOS REALIZADOS'!$A$11:$E$995,4),(VLOOKUP($C115,'CUSTOS REALIZADOS'!$A$11:$E$995,5)))</f>
        <v>0.24000000000000002</v>
      </c>
      <c r="AT116" s="28">
        <f>IF(AT115="",VLOOKUP($C115,'CUSTOS REALIZADOS'!$A$11:$E$995,4),(VLOOKUP($C115,'CUSTOS REALIZADOS'!$A$11:$E$995,5)))</f>
        <v>0.24000000000000002</v>
      </c>
      <c r="AU116" s="28">
        <f>IF(AU115="",VLOOKUP($C115,'CUSTOS REALIZADOS'!$A$11:$E$995,4),(VLOOKUP($C115,'CUSTOS REALIZADOS'!$A$11:$E$995,5)))</f>
        <v>0.24000000000000002</v>
      </c>
      <c r="AV116" s="28">
        <f>IF(AV115="",VLOOKUP($C115,'CUSTOS REALIZADOS'!$A$11:$E$995,4),(VLOOKUP($C115,'CUSTOS REALIZADOS'!$A$11:$E$995,5)))</f>
        <v>0.24000000000000002</v>
      </c>
      <c r="AW116" s="28">
        <f>IF(AW115="",VLOOKUP($C115,'CUSTOS REALIZADOS'!$A$11:$E$995,4),(VLOOKUP($C115,'CUSTOS REALIZADOS'!$A$11:$E$995,5)))</f>
        <v>0.24000000000000002</v>
      </c>
      <c r="AX116" s="28">
        <f>IF(AX115="",VLOOKUP($C115,'CUSTOS REALIZADOS'!$A$11:$E$995,4),(VLOOKUP($C115,'CUSTOS REALIZADOS'!$A$11:$E$995,5)))</f>
        <v>0.24000000000000002</v>
      </c>
      <c r="AY116" s="28">
        <f>IF(AY115="",VLOOKUP($C115,'CUSTOS REALIZADOS'!$A$11:$E$995,4),(VLOOKUP($C115,'CUSTOS REALIZADOS'!$A$11:$E$995,5)))</f>
        <v>0.24000000000000002</v>
      </c>
      <c r="AZ116" s="28">
        <f>IF(AZ115="",VLOOKUP($C115,'CUSTOS REALIZADOS'!$A$11:$E$995,4),(VLOOKUP($C115,'CUSTOS REALIZADOS'!$A$11:$E$995,5)))</f>
        <v>0.24000000000000002</v>
      </c>
      <c r="BA116" s="28">
        <f>IF(BA115="",VLOOKUP($C115,'CUSTOS REALIZADOS'!$A$11:$E$995,4),(VLOOKUP($C115,'CUSTOS REALIZADOS'!$A$11:$E$995,5)))</f>
        <v>0.24000000000000002</v>
      </c>
      <c r="BB116" s="28">
        <f>IF(BB115="",VLOOKUP($C115,'CUSTOS REALIZADOS'!$A$11:$E$995,4),(VLOOKUP($C115,'CUSTOS REALIZADOS'!$A$11:$E$995,5)))</f>
        <v>0.24000000000000002</v>
      </c>
      <c r="BC116" s="28">
        <f>IF(BC115="",VLOOKUP($C115,'CUSTOS REALIZADOS'!$A$11:$E$995,4),(VLOOKUP($C115,'CUSTOS REALIZADOS'!$A$11:$E$995,5)))</f>
        <v>0.24000000000000002</v>
      </c>
      <c r="BD116" s="28">
        <f>IF(BD115="",VLOOKUP($C115,'CUSTOS REALIZADOS'!$A$11:$E$995,4),(VLOOKUP($C115,'CUSTOS REALIZADOS'!$A$11:$E$995,5)))</f>
        <v>0.24000000000000002</v>
      </c>
      <c r="BE116" s="28">
        <f>IF(BE115="",VLOOKUP($C115,'CUSTOS REALIZADOS'!$A$11:$E$995,4),(VLOOKUP($C115,'CUSTOS REALIZADOS'!$A$11:$E$995,5)))</f>
        <v>0.24000000000000002</v>
      </c>
      <c r="BF116" s="28">
        <f>IF(BF115="",VLOOKUP($C115,'CUSTOS REALIZADOS'!$A$11:$E$995,4),(VLOOKUP($C115,'CUSTOS REALIZADOS'!$A$11:$E$995,5)))</f>
        <v>0.24000000000000002</v>
      </c>
      <c r="BG116" s="28">
        <f>IF(BG115="",VLOOKUP($C115,'CUSTOS REALIZADOS'!$A$11:$E$995,4),(VLOOKUP($C115,'CUSTOS REALIZADOS'!$A$11:$E$995,5)))</f>
        <v>0.24000000000000002</v>
      </c>
      <c r="BH116" s="28">
        <f>IF(BH115="",VLOOKUP($C115,'CUSTOS REALIZADOS'!$A$11:$E$995,4),(VLOOKUP($C115,'CUSTOS REALIZADOS'!$A$11:$E$995,5)))</f>
        <v>0.24000000000000002</v>
      </c>
      <c r="BI116" s="28">
        <f>IF(BI115="",VLOOKUP($C115,'CUSTOS REALIZADOS'!$A$11:$E$995,4),(VLOOKUP($C115,'CUSTOS REALIZADOS'!$A$11:$E$995,5)))</f>
        <v>0.24000000000000002</v>
      </c>
      <c r="BJ116" s="28">
        <f>IF(BJ115="",VLOOKUP($C115,'CUSTOS REALIZADOS'!$A$11:$E$995,4),(VLOOKUP($C115,'CUSTOS REALIZADOS'!$A$11:$E$995,5)))</f>
        <v>0.24000000000000002</v>
      </c>
      <c r="BK116" s="28">
        <f>IF(BK115="",VLOOKUP($C115,'CUSTOS REALIZADOS'!$A$11:$E$995,4),(VLOOKUP($C115,'CUSTOS REALIZADOS'!$A$11:$E$995,5)))</f>
        <v>0.24000000000000002</v>
      </c>
      <c r="BL116" s="28">
        <f>IF(BL115="",VLOOKUP($C115,'CUSTOS REALIZADOS'!$A$11:$E$995,4),(VLOOKUP($C115,'CUSTOS REALIZADOS'!$A$11:$E$995,5)))</f>
        <v>0.24000000000000002</v>
      </c>
      <c r="BM116" s="28">
        <f>IF(BM115="",VLOOKUP($C115,'CUSTOS REALIZADOS'!$A$11:$E$995,4),(VLOOKUP($C115,'CUSTOS REALIZADOS'!$A$11:$E$995,5)))</f>
        <v>0.24000000000000002</v>
      </c>
      <c r="BN116" s="28">
        <f>IF(BN115="",VLOOKUP($C115,'CUSTOS REALIZADOS'!$A$11:$E$995,4),(VLOOKUP($C115,'CUSTOS REALIZADOS'!$A$11:$E$995,5)))</f>
        <v>0.24000000000000002</v>
      </c>
    </row>
    <row r="117" spans="3:66" x14ac:dyDescent="0.2">
      <c r="C117" s="322"/>
      <c r="D117" s="23" t="s">
        <v>6</v>
      </c>
      <c r="E117" s="27">
        <f t="shared" si="767"/>
        <v>95000</v>
      </c>
      <c r="F117" s="23">
        <f>IF(AND($C115&gt;=F$6,OR($C115&lt;F$8,F$8="")),F$7*F$28,0)</f>
        <v>0</v>
      </c>
      <c r="G117" s="23">
        <f t="shared" ref="G117:BN117" si="781">IF(AND($C115&gt;=G$6,OR($C115&lt;G$8,G$8="")),G$7*G$28,0)</f>
        <v>45000</v>
      </c>
      <c r="H117" s="23">
        <f t="shared" si="781"/>
        <v>50000</v>
      </c>
      <c r="I117" s="23">
        <f t="shared" si="781"/>
        <v>0</v>
      </c>
      <c r="J117" s="23">
        <f t="shared" si="781"/>
        <v>0</v>
      </c>
      <c r="K117" s="23">
        <f t="shared" si="781"/>
        <v>0</v>
      </c>
      <c r="L117" s="23">
        <f t="shared" si="781"/>
        <v>0</v>
      </c>
      <c r="M117" s="23">
        <f t="shared" si="781"/>
        <v>0</v>
      </c>
      <c r="N117" s="23">
        <f t="shared" si="781"/>
        <v>0</v>
      </c>
      <c r="O117" s="23">
        <f t="shared" si="781"/>
        <v>0</v>
      </c>
      <c r="P117" s="23">
        <f t="shared" si="781"/>
        <v>0</v>
      </c>
      <c r="Q117" s="23">
        <f t="shared" si="781"/>
        <v>0</v>
      </c>
      <c r="R117" s="23">
        <f t="shared" si="781"/>
        <v>0</v>
      </c>
      <c r="S117" s="23">
        <f t="shared" si="781"/>
        <v>0</v>
      </c>
      <c r="T117" s="23">
        <f t="shared" si="781"/>
        <v>0</v>
      </c>
      <c r="U117" s="23">
        <f t="shared" si="781"/>
        <v>0</v>
      </c>
      <c r="V117" s="23">
        <f t="shared" si="781"/>
        <v>0</v>
      </c>
      <c r="W117" s="23">
        <f t="shared" si="781"/>
        <v>0</v>
      </c>
      <c r="X117" s="23">
        <f t="shared" si="781"/>
        <v>0</v>
      </c>
      <c r="Y117" s="23">
        <f t="shared" si="781"/>
        <v>0</v>
      </c>
      <c r="Z117" s="23">
        <f t="shared" si="781"/>
        <v>0</v>
      </c>
      <c r="AA117" s="23">
        <f t="shared" si="781"/>
        <v>0</v>
      </c>
      <c r="AB117" s="23">
        <f t="shared" si="781"/>
        <v>0</v>
      </c>
      <c r="AC117" s="23">
        <f t="shared" si="781"/>
        <v>0</v>
      </c>
      <c r="AD117" s="23">
        <f t="shared" si="781"/>
        <v>0</v>
      </c>
      <c r="AE117" s="23">
        <f t="shared" si="781"/>
        <v>0</v>
      </c>
      <c r="AF117" s="23">
        <f t="shared" si="781"/>
        <v>0</v>
      </c>
      <c r="AG117" s="23">
        <f t="shared" si="781"/>
        <v>0</v>
      </c>
      <c r="AH117" s="23">
        <f t="shared" si="781"/>
        <v>0</v>
      </c>
      <c r="AI117" s="23">
        <f t="shared" si="781"/>
        <v>0</v>
      </c>
      <c r="AJ117" s="23">
        <f t="shared" si="781"/>
        <v>0</v>
      </c>
      <c r="AK117" s="23">
        <f t="shared" si="781"/>
        <v>0</v>
      </c>
      <c r="AL117" s="23">
        <f t="shared" si="781"/>
        <v>0</v>
      </c>
      <c r="AM117" s="23">
        <f t="shared" si="781"/>
        <v>0</v>
      </c>
      <c r="AN117" s="23">
        <f t="shared" si="781"/>
        <v>0</v>
      </c>
      <c r="AO117" s="23">
        <f t="shared" si="781"/>
        <v>0</v>
      </c>
      <c r="AP117" s="23">
        <f t="shared" si="781"/>
        <v>0</v>
      </c>
      <c r="AQ117" s="23">
        <f t="shared" si="781"/>
        <v>0</v>
      </c>
      <c r="AR117" s="23">
        <f t="shared" si="781"/>
        <v>0</v>
      </c>
      <c r="AS117" s="23">
        <f t="shared" si="781"/>
        <v>0</v>
      </c>
      <c r="AT117" s="23">
        <f t="shared" si="781"/>
        <v>0</v>
      </c>
      <c r="AU117" s="23">
        <f t="shared" si="781"/>
        <v>0</v>
      </c>
      <c r="AV117" s="23">
        <f t="shared" si="781"/>
        <v>0</v>
      </c>
      <c r="AW117" s="23">
        <f t="shared" si="781"/>
        <v>0</v>
      </c>
      <c r="AX117" s="23">
        <f t="shared" si="781"/>
        <v>0</v>
      </c>
      <c r="AY117" s="23">
        <f t="shared" si="781"/>
        <v>0</v>
      </c>
      <c r="AZ117" s="23">
        <f t="shared" si="781"/>
        <v>0</v>
      </c>
      <c r="BA117" s="23">
        <f t="shared" si="781"/>
        <v>0</v>
      </c>
      <c r="BB117" s="23">
        <f t="shared" si="781"/>
        <v>0</v>
      </c>
      <c r="BC117" s="23">
        <f t="shared" si="781"/>
        <v>0</v>
      </c>
      <c r="BD117" s="23">
        <f t="shared" si="781"/>
        <v>0</v>
      </c>
      <c r="BE117" s="23">
        <f t="shared" si="781"/>
        <v>0</v>
      </c>
      <c r="BF117" s="23">
        <f t="shared" si="781"/>
        <v>0</v>
      </c>
      <c r="BG117" s="23">
        <f t="shared" si="781"/>
        <v>0</v>
      </c>
      <c r="BH117" s="23">
        <f t="shared" si="781"/>
        <v>0</v>
      </c>
      <c r="BI117" s="23">
        <f t="shared" si="781"/>
        <v>0</v>
      </c>
      <c r="BJ117" s="23">
        <f t="shared" si="781"/>
        <v>0</v>
      </c>
      <c r="BK117" s="23">
        <f t="shared" si="781"/>
        <v>0</v>
      </c>
      <c r="BL117" s="23">
        <f t="shared" si="781"/>
        <v>0</v>
      </c>
      <c r="BM117" s="23">
        <f t="shared" si="781"/>
        <v>0</v>
      </c>
      <c r="BN117" s="23">
        <f t="shared" si="781"/>
        <v>0</v>
      </c>
    </row>
    <row r="118" spans="3:66" x14ac:dyDescent="0.2">
      <c r="C118" s="322"/>
      <c r="D118" s="23" t="s">
        <v>9</v>
      </c>
      <c r="E118" s="27">
        <f t="shared" si="767"/>
        <v>0</v>
      </c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</row>
    <row r="119" spans="3:66" x14ac:dyDescent="0.2">
      <c r="C119" s="322"/>
      <c r="D119" s="23" t="s">
        <v>14</v>
      </c>
      <c r="E119" s="27">
        <f>SUM(F119:AY119)</f>
        <v>879670.15055581019</v>
      </c>
      <c r="F119" s="23">
        <f>IF(F114=0,F115-F118,F114-F118)</f>
        <v>-154.35517644425514</v>
      </c>
      <c r="G119" s="23">
        <f t="shared" ref="G119" si="782">IF(G114=0,G115-G118,G114-G118)</f>
        <v>416758.97639948892</v>
      </c>
      <c r="H119" s="23">
        <f t="shared" ref="H119" si="783">IF(H114=0,H115-H118,H114-H118)</f>
        <v>463065.52933276549</v>
      </c>
      <c r="I119" s="23">
        <f t="shared" ref="I119" si="784">IF(I114=0,I115-I118,I114-I118)</f>
        <v>0</v>
      </c>
      <c r="J119" s="23">
        <f t="shared" ref="J119" si="785">IF(J114=0,J115-J118,J114-J118)</f>
        <v>0</v>
      </c>
      <c r="K119" s="23">
        <f t="shared" ref="K119" si="786">IF(K114=0,K115-K118,K114-K118)</f>
        <v>0</v>
      </c>
      <c r="L119" s="23">
        <f t="shared" ref="L119" si="787">IF(L114=0,L115-L118,L114-L118)</f>
        <v>0</v>
      </c>
      <c r="M119" s="23">
        <f t="shared" ref="M119" si="788">IF(M114=0,M115-M118,M114-M118)</f>
        <v>0</v>
      </c>
      <c r="N119" s="23">
        <f t="shared" ref="N119" si="789">IF(N114=0,N115-N118,N114-N118)</f>
        <v>0</v>
      </c>
      <c r="O119" s="23">
        <f t="shared" ref="O119" si="790">IF(O114=0,O115-O118,O114-O118)</f>
        <v>0</v>
      </c>
      <c r="P119" s="23">
        <f t="shared" ref="P119" si="791">IF(P114=0,P115-P118,P114-P118)</f>
        <v>0</v>
      </c>
      <c r="Q119" s="23">
        <f t="shared" ref="Q119" si="792">IF(Q114=0,Q115-Q118,Q114-Q118)</f>
        <v>0</v>
      </c>
      <c r="R119" s="23">
        <f t="shared" ref="R119" si="793">IF(R114=0,R115-R118,R114-R118)</f>
        <v>0</v>
      </c>
      <c r="S119" s="23">
        <f t="shared" ref="S119" si="794">IF(S114=0,S115-S118,S114-S118)</f>
        <v>0</v>
      </c>
      <c r="T119" s="23">
        <f t="shared" ref="T119" si="795">IF(T114=0,T115-T118,T114-T118)</f>
        <v>0</v>
      </c>
      <c r="U119" s="23">
        <f t="shared" ref="U119" si="796">IF(U114=0,U115-U118,U114-U118)</f>
        <v>0</v>
      </c>
      <c r="V119" s="23">
        <f t="shared" ref="V119" si="797">IF(V114=0,V115-V118,V114-V118)</f>
        <v>0</v>
      </c>
      <c r="W119" s="23">
        <f t="shared" ref="W119" si="798">IF(W114=0,W115-W118,W114-W118)</f>
        <v>0</v>
      </c>
      <c r="X119" s="23">
        <f t="shared" ref="X119" si="799">IF(X114=0,X115-X118,X114-X118)</f>
        <v>0</v>
      </c>
      <c r="Y119" s="23">
        <f t="shared" ref="Y119" si="800">IF(Y114=0,Y115-Y118,Y114-Y118)</f>
        <v>0</v>
      </c>
      <c r="Z119" s="23">
        <f t="shared" ref="Z119" si="801">IF(Z114=0,Z115-Z118,Z114-Z118)</f>
        <v>0</v>
      </c>
      <c r="AA119" s="23">
        <f t="shared" ref="AA119" si="802">IF(AA114=0,AA115-AA118,AA114-AA118)</f>
        <v>0</v>
      </c>
      <c r="AB119" s="23">
        <f t="shared" ref="AB119" si="803">IF(AB114=0,AB115-AB118,AB114-AB118)</f>
        <v>0</v>
      </c>
      <c r="AC119" s="23">
        <f t="shared" ref="AC119" si="804">IF(AC114=0,AC115-AC118,AC114-AC118)</f>
        <v>0</v>
      </c>
      <c r="AD119" s="23">
        <f t="shared" ref="AD119" si="805">IF(AD114=0,AD115-AD118,AD114-AD118)</f>
        <v>0</v>
      </c>
      <c r="AE119" s="23">
        <f t="shared" ref="AE119" si="806">IF(AE114=0,AE115-AE118,AE114-AE118)</f>
        <v>0</v>
      </c>
      <c r="AF119" s="23">
        <f t="shared" ref="AF119" si="807">IF(AF114=0,AF115-AF118,AF114-AF118)</f>
        <v>0</v>
      </c>
      <c r="AG119" s="23">
        <f t="shared" ref="AG119" si="808">IF(AG114=0,AG115-AG118,AG114-AG118)</f>
        <v>0</v>
      </c>
      <c r="AH119" s="23">
        <f t="shared" ref="AH119" si="809">IF(AH114=0,AH115-AH118,AH114-AH118)</f>
        <v>0</v>
      </c>
      <c r="AI119" s="23">
        <f t="shared" ref="AI119" si="810">IF(AI114=0,AI115-AI118,AI114-AI118)</f>
        <v>0</v>
      </c>
      <c r="AJ119" s="23">
        <f t="shared" ref="AJ119" si="811">IF(AJ114=0,AJ115-AJ118,AJ114-AJ118)</f>
        <v>0</v>
      </c>
      <c r="AK119" s="23">
        <f t="shared" ref="AK119" si="812">IF(AK114=0,AK115-AK118,AK114-AK118)</f>
        <v>0</v>
      </c>
      <c r="AL119" s="23">
        <f t="shared" ref="AL119" si="813">IF(AL114=0,AL115-AL118,AL114-AL118)</f>
        <v>0</v>
      </c>
      <c r="AM119" s="23">
        <f t="shared" ref="AM119" si="814">IF(AM114=0,AM115-AM118,AM114-AM118)</f>
        <v>0</v>
      </c>
      <c r="AN119" s="23">
        <f t="shared" ref="AN119" si="815">IF(AN114=0,AN115-AN118,AN114-AN118)</f>
        <v>0</v>
      </c>
      <c r="AO119" s="23">
        <f t="shared" ref="AO119" si="816">IF(AO114=0,AO115-AO118,AO114-AO118)</f>
        <v>0</v>
      </c>
      <c r="AP119" s="23">
        <f t="shared" ref="AP119" si="817">IF(AP114=0,AP115-AP118,AP114-AP118)</f>
        <v>0</v>
      </c>
      <c r="AQ119" s="23">
        <f t="shared" ref="AQ119" si="818">IF(AQ114=0,AQ115-AQ118,AQ114-AQ118)</f>
        <v>0</v>
      </c>
      <c r="AR119" s="23">
        <f t="shared" ref="AR119" si="819">IF(AR114=0,AR115-AR118,AR114-AR118)</f>
        <v>0</v>
      </c>
      <c r="AS119" s="23">
        <f t="shared" ref="AS119" si="820">IF(AS114=0,AS115-AS118,AS114-AS118)</f>
        <v>0</v>
      </c>
      <c r="AT119" s="23">
        <f t="shared" ref="AT119" si="821">IF(AT114=0,AT115-AT118,AT114-AT118)</f>
        <v>0</v>
      </c>
      <c r="AU119" s="23">
        <f t="shared" ref="AU119" si="822">IF(AU114=0,AU115-AU118,AU114-AU118)</f>
        <v>0</v>
      </c>
      <c r="AV119" s="23">
        <f t="shared" ref="AV119" si="823">IF(AV114=0,AV115-AV118,AV114-AV118)</f>
        <v>0</v>
      </c>
      <c r="AW119" s="23">
        <f t="shared" ref="AW119" si="824">IF(AW114=0,AW115-AW118,AW114-AW118)</f>
        <v>0</v>
      </c>
      <c r="AX119" s="23">
        <f t="shared" ref="AX119" si="825">IF(AX114=0,AX115-AX118,AX114-AX118)</f>
        <v>0</v>
      </c>
      <c r="AY119" s="23">
        <f t="shared" ref="AY119" si="826">IF(AY114=0,AY115-AY118,AY114-AY118)</f>
        <v>0</v>
      </c>
      <c r="AZ119" s="23">
        <f t="shared" ref="AZ119" si="827">IF(AZ114=0,AZ115-AZ118,AZ114-AZ118)</f>
        <v>0</v>
      </c>
      <c r="BA119" s="23">
        <f t="shared" ref="BA119" si="828">IF(BA114=0,BA115-BA118,BA114-BA118)</f>
        <v>0</v>
      </c>
      <c r="BB119" s="23">
        <f t="shared" ref="BB119" si="829">IF(BB114=0,BB115-BB118,BB114-BB118)</f>
        <v>0</v>
      </c>
      <c r="BC119" s="23">
        <f t="shared" ref="BC119" si="830">IF(BC114=0,BC115-BC118,BC114-BC118)</f>
        <v>0</v>
      </c>
      <c r="BD119" s="23">
        <f t="shared" ref="BD119" si="831">IF(BD114=0,BD115-BD118,BD114-BD118)</f>
        <v>0</v>
      </c>
      <c r="BE119" s="23">
        <f t="shared" ref="BE119" si="832">IF(BE114=0,BE115-BE118,BE114-BE118)</f>
        <v>0</v>
      </c>
      <c r="BF119" s="23">
        <f t="shared" ref="BF119" si="833">IF(BF114=0,BF115-BF118,BF114-BF118)</f>
        <v>0</v>
      </c>
      <c r="BG119" s="23">
        <f t="shared" ref="BG119" si="834">IF(BG114=0,BG115-BG118,BG114-BG118)</f>
        <v>0</v>
      </c>
      <c r="BH119" s="23">
        <f t="shared" ref="BH119" si="835">IF(BH114=0,BH115-BH118,BH114-BH118)</f>
        <v>0</v>
      </c>
      <c r="BI119" s="23">
        <f t="shared" ref="BI119" si="836">IF(BI114=0,BI115-BI118,BI114-BI118)</f>
        <v>0</v>
      </c>
      <c r="BJ119" s="23">
        <f t="shared" ref="BJ119" si="837">IF(BJ114=0,BJ115-BJ118,BJ114-BJ118)</f>
        <v>0</v>
      </c>
      <c r="BK119" s="23">
        <f t="shared" ref="BK119" si="838">IF(BK114=0,BK115-BK118,BK114-BK118)</f>
        <v>0</v>
      </c>
      <c r="BL119" s="23">
        <f t="shared" ref="BL119" si="839">IF(BL114=0,BL115-BL118,BL114-BL118)</f>
        <v>0</v>
      </c>
      <c r="BM119" s="23">
        <f t="shared" ref="BM119" si="840">IF(BM114=0,BM115-BM118,BM114-BM118)</f>
        <v>0</v>
      </c>
      <c r="BN119" s="23">
        <f t="shared" ref="BN119" si="841">IF(BN114=0,BN115-BN118,BN114-BN118)</f>
        <v>0</v>
      </c>
    </row>
    <row r="120" spans="3:66" x14ac:dyDescent="0.2">
      <c r="C120" s="322"/>
      <c r="D120" s="23" t="s">
        <v>10</v>
      </c>
      <c r="E120" s="72">
        <v>2.5999999999999999E-3</v>
      </c>
      <c r="F120" s="54">
        <v>2.5999999999999999E-3</v>
      </c>
      <c r="G120" s="54">
        <v>2.5999999999999999E-3</v>
      </c>
      <c r="H120" s="54">
        <v>2.5999999999999999E-3</v>
      </c>
      <c r="I120" s="54">
        <v>2.5999999999999999E-3</v>
      </c>
      <c r="J120" s="54">
        <v>2.5999999999999999E-3</v>
      </c>
      <c r="K120" s="54">
        <v>2.5999999999999999E-3</v>
      </c>
      <c r="L120" s="54">
        <v>2.5999999999999999E-3</v>
      </c>
      <c r="M120" s="54">
        <v>2.5999999999999999E-3</v>
      </c>
      <c r="N120" s="54">
        <v>2.5999999999999999E-3</v>
      </c>
      <c r="O120" s="54">
        <v>2.5999999999999999E-3</v>
      </c>
      <c r="P120" s="54">
        <v>2.5999999999999999E-3</v>
      </c>
      <c r="Q120" s="54">
        <v>2.5999999999999999E-3</v>
      </c>
      <c r="R120" s="54">
        <v>2.5999999999999999E-3</v>
      </c>
      <c r="S120" s="54">
        <v>2.5999999999999999E-3</v>
      </c>
      <c r="T120" s="54">
        <v>2.5999999999999999E-3</v>
      </c>
      <c r="U120" s="54">
        <v>2.5999999999999999E-3</v>
      </c>
      <c r="V120" s="54">
        <v>2.5999999999999999E-3</v>
      </c>
      <c r="W120" s="54">
        <v>2.5999999999999999E-3</v>
      </c>
      <c r="X120" s="54">
        <v>2.5999999999999999E-3</v>
      </c>
      <c r="Y120" s="54">
        <v>2.5999999999999999E-3</v>
      </c>
      <c r="Z120" s="54">
        <v>2.5999999999999999E-3</v>
      </c>
      <c r="AA120" s="54">
        <v>2.5999999999999999E-3</v>
      </c>
      <c r="AB120" s="54">
        <v>2.5999999999999999E-3</v>
      </c>
      <c r="AC120" s="54">
        <v>2.5999999999999999E-3</v>
      </c>
      <c r="AD120" s="54">
        <v>2.5999999999999999E-3</v>
      </c>
      <c r="AE120" s="54">
        <v>2.5999999999999999E-3</v>
      </c>
      <c r="AF120" s="54">
        <v>2.5999999999999999E-3</v>
      </c>
      <c r="AG120" s="54">
        <v>2.5999999999999999E-3</v>
      </c>
      <c r="AH120" s="54">
        <v>2.5999999999999999E-3</v>
      </c>
      <c r="AI120" s="54">
        <v>2.5999999999999999E-3</v>
      </c>
      <c r="AJ120" s="54">
        <v>2.5999999999999999E-3</v>
      </c>
      <c r="AK120" s="54">
        <v>2.5999999999999999E-3</v>
      </c>
      <c r="AL120" s="54">
        <v>2.5999999999999999E-3</v>
      </c>
      <c r="AM120" s="54">
        <v>2.5999999999999999E-3</v>
      </c>
      <c r="AN120" s="54">
        <v>2.5999999999999999E-3</v>
      </c>
      <c r="AO120" s="54">
        <v>2.5999999999999999E-3</v>
      </c>
      <c r="AP120" s="54">
        <v>2.5999999999999999E-3</v>
      </c>
      <c r="AQ120" s="54">
        <v>2.5999999999999999E-3</v>
      </c>
      <c r="AR120" s="54">
        <v>2.5999999999999999E-3</v>
      </c>
      <c r="AS120" s="54">
        <v>2.5999999999999999E-3</v>
      </c>
      <c r="AT120" s="54">
        <v>2.5999999999999999E-3</v>
      </c>
      <c r="AU120" s="54">
        <v>2.5999999999999999E-3</v>
      </c>
      <c r="AV120" s="54">
        <v>2.5999999999999999E-3</v>
      </c>
      <c r="AW120" s="54">
        <v>2.5999999999999999E-3</v>
      </c>
      <c r="AX120" s="54">
        <v>2.5999999999999999E-3</v>
      </c>
      <c r="AY120" s="54">
        <v>2.5999999999999999E-3</v>
      </c>
      <c r="AZ120" s="54">
        <v>2.5999999999999999E-3</v>
      </c>
      <c r="BA120" s="54">
        <v>2.5999999999999999E-3</v>
      </c>
      <c r="BB120" s="54">
        <v>2.5999999999999999E-3</v>
      </c>
      <c r="BC120" s="54">
        <v>2.5999999999999999E-3</v>
      </c>
      <c r="BD120" s="54">
        <v>2.5999999999999999E-3</v>
      </c>
      <c r="BE120" s="54">
        <v>2.5999999999999999E-3</v>
      </c>
      <c r="BF120" s="54">
        <v>2.5999999999999999E-3</v>
      </c>
      <c r="BG120" s="54">
        <v>2.5999999999999999E-3</v>
      </c>
      <c r="BH120" s="54">
        <v>2.5999999999999999E-3</v>
      </c>
      <c r="BI120" s="54">
        <v>2.5999999999999999E-3</v>
      </c>
      <c r="BJ120" s="54">
        <v>2.5999999999999999E-3</v>
      </c>
      <c r="BK120" s="54">
        <v>2.5999999999999999E-3</v>
      </c>
      <c r="BL120" s="54">
        <v>2.5999999999999999E-3</v>
      </c>
      <c r="BM120" s="54">
        <v>2.5999999999999999E-3</v>
      </c>
      <c r="BN120" s="54">
        <v>2.5999999999999999E-3</v>
      </c>
    </row>
    <row r="121" spans="3:66" x14ac:dyDescent="0.2">
      <c r="C121" s="322"/>
      <c r="D121" s="23" t="s">
        <v>12</v>
      </c>
      <c r="E121" s="27">
        <f>SUM(F121:AY121)</f>
        <v>2287.1423914451061</v>
      </c>
      <c r="F121" s="29">
        <f>+F119*F120</f>
        <v>-0.40132345875506331</v>
      </c>
      <c r="G121" s="29">
        <f>+G119*G120</f>
        <v>1083.5733386386712</v>
      </c>
      <c r="H121" s="29">
        <f>+H119*H120</f>
        <v>1203.9703762651902</v>
      </c>
      <c r="I121" s="29">
        <f t="shared" ref="I121:N121" si="842">+I119*I120</f>
        <v>0</v>
      </c>
      <c r="J121" s="29">
        <f t="shared" si="842"/>
        <v>0</v>
      </c>
      <c r="K121" s="29">
        <f t="shared" si="842"/>
        <v>0</v>
      </c>
      <c r="L121" s="29">
        <f t="shared" si="842"/>
        <v>0</v>
      </c>
      <c r="M121" s="29">
        <f t="shared" si="842"/>
        <v>0</v>
      </c>
      <c r="N121" s="29">
        <f t="shared" si="842"/>
        <v>0</v>
      </c>
      <c r="O121" s="29">
        <v>0</v>
      </c>
      <c r="P121" s="29">
        <f>+P119*P120</f>
        <v>0</v>
      </c>
      <c r="Q121" s="29">
        <f t="shared" ref="Q121" si="843">+Q119*Q120</f>
        <v>0</v>
      </c>
      <c r="R121" s="29">
        <f>+R119*R120</f>
        <v>0</v>
      </c>
      <c r="S121" s="29">
        <f>+S119*S120</f>
        <v>0</v>
      </c>
      <c r="T121" s="29">
        <f t="shared" ref="T121" si="844">+T119*T120</f>
        <v>0</v>
      </c>
      <c r="U121" s="29">
        <f>+U119*U120</f>
        <v>0</v>
      </c>
      <c r="V121" s="29">
        <f t="shared" ref="V121:Y121" si="845">+V119*V120</f>
        <v>0</v>
      </c>
      <c r="W121" s="29">
        <f t="shared" si="845"/>
        <v>0</v>
      </c>
      <c r="X121" s="29">
        <f t="shared" si="845"/>
        <v>0</v>
      </c>
      <c r="Y121" s="29">
        <f t="shared" si="845"/>
        <v>0</v>
      </c>
      <c r="Z121" s="29">
        <f>+Z119*Z120</f>
        <v>0</v>
      </c>
      <c r="AA121" s="29">
        <f>+AA119*AA120</f>
        <v>0</v>
      </c>
      <c r="AB121" s="29">
        <f t="shared" ref="AB121:AD121" si="846">+AB119*AB120</f>
        <v>0</v>
      </c>
      <c r="AC121" s="29">
        <f t="shared" si="846"/>
        <v>0</v>
      </c>
      <c r="AD121" s="29">
        <f t="shared" si="846"/>
        <v>0</v>
      </c>
      <c r="AE121" s="29">
        <v>0</v>
      </c>
      <c r="AF121" s="29">
        <f>+AF119*AF120</f>
        <v>0</v>
      </c>
      <c r="AG121" s="29">
        <v>0</v>
      </c>
      <c r="AH121" s="29">
        <f t="shared" ref="AH121:AP121" si="847">+AH119*AH120</f>
        <v>0</v>
      </c>
      <c r="AI121" s="29">
        <f t="shared" si="847"/>
        <v>0</v>
      </c>
      <c r="AJ121" s="29">
        <f t="shared" si="847"/>
        <v>0</v>
      </c>
      <c r="AK121" s="29">
        <f t="shared" si="847"/>
        <v>0</v>
      </c>
      <c r="AL121" s="29">
        <f t="shared" si="847"/>
        <v>0</v>
      </c>
      <c r="AM121" s="29">
        <f t="shared" si="847"/>
        <v>0</v>
      </c>
      <c r="AN121" s="29">
        <f t="shared" si="847"/>
        <v>0</v>
      </c>
      <c r="AO121" s="29">
        <f t="shared" si="847"/>
        <v>0</v>
      </c>
      <c r="AP121" s="29">
        <f t="shared" si="847"/>
        <v>0</v>
      </c>
      <c r="AQ121" s="29">
        <f>+AQ119*AQ120</f>
        <v>0</v>
      </c>
      <c r="AR121" s="29">
        <f>+AR119*AR120</f>
        <v>0</v>
      </c>
      <c r="AS121" s="29">
        <f t="shared" ref="AS121:AU121" si="848">+AS119*AS120</f>
        <v>0</v>
      </c>
      <c r="AT121" s="29">
        <f t="shared" si="848"/>
        <v>0</v>
      </c>
      <c r="AU121" s="29">
        <f t="shared" si="848"/>
        <v>0</v>
      </c>
      <c r="AV121" s="29">
        <v>0</v>
      </c>
      <c r="AW121" s="29">
        <f t="shared" ref="AW121:AX121" si="849">+AW119*AW120</f>
        <v>0</v>
      </c>
      <c r="AX121" s="29">
        <f t="shared" si="849"/>
        <v>0</v>
      </c>
      <c r="AY121" s="29">
        <f>+AY119*AY120</f>
        <v>0</v>
      </c>
      <c r="AZ121" s="29">
        <f t="shared" ref="AZ121:BM121" si="850">+AZ119*AZ120</f>
        <v>0</v>
      </c>
      <c r="BA121" s="29">
        <f t="shared" si="850"/>
        <v>0</v>
      </c>
      <c r="BB121" s="29">
        <v>0</v>
      </c>
      <c r="BC121" s="29">
        <f t="shared" si="850"/>
        <v>0</v>
      </c>
      <c r="BD121" s="29">
        <v>0</v>
      </c>
      <c r="BE121" s="29">
        <f t="shared" si="850"/>
        <v>0</v>
      </c>
      <c r="BF121" s="29">
        <f t="shared" si="850"/>
        <v>0</v>
      </c>
      <c r="BG121" s="29">
        <v>0</v>
      </c>
      <c r="BH121" s="29">
        <f t="shared" si="850"/>
        <v>0</v>
      </c>
      <c r="BI121" s="29">
        <f t="shared" si="850"/>
        <v>0</v>
      </c>
      <c r="BJ121" s="29">
        <f t="shared" si="850"/>
        <v>0</v>
      </c>
      <c r="BK121" s="29">
        <f t="shared" si="850"/>
        <v>0</v>
      </c>
      <c r="BL121" s="29">
        <f t="shared" ref="BL121" si="851">+BL119*BL120</f>
        <v>0</v>
      </c>
      <c r="BM121" s="29">
        <f t="shared" si="850"/>
        <v>0</v>
      </c>
      <c r="BN121" s="29">
        <v>0</v>
      </c>
    </row>
    <row r="122" spans="3:66" ht="13.5" thickBot="1" x14ac:dyDescent="0.25">
      <c r="C122" s="323"/>
      <c r="D122" s="25" t="s">
        <v>11</v>
      </c>
      <c r="E122" s="30">
        <f>SUM(F122:AY122)</f>
        <v>881957.29294725531</v>
      </c>
      <c r="F122" s="46">
        <f>+F119+F121</f>
        <v>-154.75649990301019</v>
      </c>
      <c r="G122" s="46">
        <f>+G119+G121</f>
        <v>417842.54973812762</v>
      </c>
      <c r="H122" s="46">
        <f t="shared" ref="H122:BN122" si="852">+H119+H121</f>
        <v>464269.49970903067</v>
      </c>
      <c r="I122" s="46">
        <f t="shared" si="852"/>
        <v>0</v>
      </c>
      <c r="J122" s="46">
        <f t="shared" si="852"/>
        <v>0</v>
      </c>
      <c r="K122" s="46">
        <f t="shared" si="852"/>
        <v>0</v>
      </c>
      <c r="L122" s="46">
        <f t="shared" si="852"/>
        <v>0</v>
      </c>
      <c r="M122" s="46">
        <f t="shared" si="852"/>
        <v>0</v>
      </c>
      <c r="N122" s="46">
        <f t="shared" si="852"/>
        <v>0</v>
      </c>
      <c r="O122" s="46">
        <f t="shared" si="852"/>
        <v>0</v>
      </c>
      <c r="P122" s="46">
        <f t="shared" si="852"/>
        <v>0</v>
      </c>
      <c r="Q122" s="46">
        <f t="shared" si="852"/>
        <v>0</v>
      </c>
      <c r="R122" s="46">
        <f t="shared" si="852"/>
        <v>0</v>
      </c>
      <c r="S122" s="46">
        <f t="shared" si="852"/>
        <v>0</v>
      </c>
      <c r="T122" s="46">
        <f t="shared" si="852"/>
        <v>0</v>
      </c>
      <c r="U122" s="46">
        <f t="shared" si="852"/>
        <v>0</v>
      </c>
      <c r="V122" s="46">
        <f t="shared" si="852"/>
        <v>0</v>
      </c>
      <c r="W122" s="46">
        <f t="shared" si="852"/>
        <v>0</v>
      </c>
      <c r="X122" s="46">
        <f t="shared" si="852"/>
        <v>0</v>
      </c>
      <c r="Y122" s="46">
        <f t="shared" si="852"/>
        <v>0</v>
      </c>
      <c r="Z122" s="46">
        <f t="shared" si="852"/>
        <v>0</v>
      </c>
      <c r="AA122" s="46">
        <f t="shared" si="852"/>
        <v>0</v>
      </c>
      <c r="AB122" s="46">
        <f t="shared" si="852"/>
        <v>0</v>
      </c>
      <c r="AC122" s="46">
        <f t="shared" si="852"/>
        <v>0</v>
      </c>
      <c r="AD122" s="46">
        <f t="shared" si="852"/>
        <v>0</v>
      </c>
      <c r="AE122" s="46">
        <f t="shared" si="852"/>
        <v>0</v>
      </c>
      <c r="AF122" s="46">
        <f t="shared" si="852"/>
        <v>0</v>
      </c>
      <c r="AG122" s="46">
        <f t="shared" si="852"/>
        <v>0</v>
      </c>
      <c r="AH122" s="46">
        <f t="shared" si="852"/>
        <v>0</v>
      </c>
      <c r="AI122" s="46">
        <f t="shared" si="852"/>
        <v>0</v>
      </c>
      <c r="AJ122" s="46">
        <f t="shared" si="852"/>
        <v>0</v>
      </c>
      <c r="AK122" s="46">
        <f t="shared" si="852"/>
        <v>0</v>
      </c>
      <c r="AL122" s="46">
        <f t="shared" si="852"/>
        <v>0</v>
      </c>
      <c r="AM122" s="46">
        <f t="shared" si="852"/>
        <v>0</v>
      </c>
      <c r="AN122" s="46">
        <f t="shared" si="852"/>
        <v>0</v>
      </c>
      <c r="AO122" s="46">
        <f t="shared" si="852"/>
        <v>0</v>
      </c>
      <c r="AP122" s="46">
        <f t="shared" si="852"/>
        <v>0</v>
      </c>
      <c r="AQ122" s="46">
        <f t="shared" si="852"/>
        <v>0</v>
      </c>
      <c r="AR122" s="46">
        <f t="shared" si="852"/>
        <v>0</v>
      </c>
      <c r="AS122" s="46">
        <f t="shared" si="852"/>
        <v>0</v>
      </c>
      <c r="AT122" s="46">
        <f t="shared" si="852"/>
        <v>0</v>
      </c>
      <c r="AU122" s="46">
        <f t="shared" si="852"/>
        <v>0</v>
      </c>
      <c r="AV122" s="46">
        <f t="shared" si="852"/>
        <v>0</v>
      </c>
      <c r="AW122" s="46">
        <f t="shared" si="852"/>
        <v>0</v>
      </c>
      <c r="AX122" s="46">
        <f t="shared" si="852"/>
        <v>0</v>
      </c>
      <c r="AY122" s="46">
        <f t="shared" si="852"/>
        <v>0</v>
      </c>
      <c r="AZ122" s="46">
        <f t="shared" si="852"/>
        <v>0</v>
      </c>
      <c r="BA122" s="46">
        <f t="shared" si="852"/>
        <v>0</v>
      </c>
      <c r="BB122" s="46">
        <f t="shared" si="852"/>
        <v>0</v>
      </c>
      <c r="BC122" s="46">
        <f t="shared" si="852"/>
        <v>0</v>
      </c>
      <c r="BD122" s="46">
        <f t="shared" si="852"/>
        <v>0</v>
      </c>
      <c r="BE122" s="46">
        <f t="shared" si="852"/>
        <v>0</v>
      </c>
      <c r="BF122" s="46">
        <f t="shared" si="852"/>
        <v>0</v>
      </c>
      <c r="BG122" s="46">
        <f t="shared" si="852"/>
        <v>0</v>
      </c>
      <c r="BH122" s="46">
        <f t="shared" si="852"/>
        <v>0</v>
      </c>
      <c r="BI122" s="46">
        <f t="shared" si="852"/>
        <v>0</v>
      </c>
      <c r="BJ122" s="46">
        <f t="shared" si="852"/>
        <v>0</v>
      </c>
      <c r="BK122" s="46">
        <f t="shared" si="852"/>
        <v>0</v>
      </c>
      <c r="BL122" s="46">
        <f t="shared" si="852"/>
        <v>0</v>
      </c>
      <c r="BM122" s="46">
        <f t="shared" si="852"/>
        <v>0</v>
      </c>
      <c r="BN122" s="46">
        <f t="shared" si="852"/>
        <v>0</v>
      </c>
    </row>
    <row r="123" spans="3:66" x14ac:dyDescent="0.2">
      <c r="C123" s="321">
        <v>43983</v>
      </c>
      <c r="D123" s="20" t="s">
        <v>5</v>
      </c>
      <c r="E123" s="50">
        <f>SUM(F123:BN123)</f>
        <v>0</v>
      </c>
      <c r="F123" s="279">
        <f>IF(F$6=$C123,F$7,0)</f>
        <v>0</v>
      </c>
      <c r="G123" s="279">
        <f t="shared" ref="G123:BN123" si="853">IF(G$6=$C123,G$7,0)</f>
        <v>0</v>
      </c>
      <c r="H123" s="279">
        <f t="shared" si="853"/>
        <v>0</v>
      </c>
      <c r="I123" s="279">
        <f t="shared" si="853"/>
        <v>0</v>
      </c>
      <c r="J123" s="279">
        <f t="shared" si="853"/>
        <v>0</v>
      </c>
      <c r="K123" s="279">
        <f t="shared" si="853"/>
        <v>0</v>
      </c>
      <c r="L123" s="279">
        <f t="shared" si="853"/>
        <v>0</v>
      </c>
      <c r="M123" s="279">
        <f t="shared" si="853"/>
        <v>0</v>
      </c>
      <c r="N123" s="279">
        <f t="shared" si="853"/>
        <v>0</v>
      </c>
      <c r="O123" s="279">
        <f t="shared" si="853"/>
        <v>0</v>
      </c>
      <c r="P123" s="279">
        <f t="shared" si="853"/>
        <v>0</v>
      </c>
      <c r="Q123" s="279">
        <f t="shared" si="853"/>
        <v>0</v>
      </c>
      <c r="R123" s="279">
        <f t="shared" si="853"/>
        <v>0</v>
      </c>
      <c r="S123" s="279">
        <f t="shared" si="853"/>
        <v>0</v>
      </c>
      <c r="T123" s="279">
        <f t="shared" si="853"/>
        <v>0</v>
      </c>
      <c r="U123" s="279">
        <f t="shared" si="853"/>
        <v>0</v>
      </c>
      <c r="V123" s="279">
        <f t="shared" si="853"/>
        <v>0</v>
      </c>
      <c r="W123" s="279">
        <f t="shared" si="853"/>
        <v>0</v>
      </c>
      <c r="X123" s="279">
        <f t="shared" si="853"/>
        <v>0</v>
      </c>
      <c r="Y123" s="279">
        <f t="shared" si="853"/>
        <v>0</v>
      </c>
      <c r="Z123" s="279">
        <f t="shared" si="853"/>
        <v>0</v>
      </c>
      <c r="AA123" s="279">
        <f t="shared" si="853"/>
        <v>0</v>
      </c>
      <c r="AB123" s="279">
        <f t="shared" si="853"/>
        <v>0</v>
      </c>
      <c r="AC123" s="279">
        <f t="shared" si="853"/>
        <v>0</v>
      </c>
      <c r="AD123" s="279">
        <f t="shared" si="853"/>
        <v>0</v>
      </c>
      <c r="AE123" s="279">
        <f t="shared" si="853"/>
        <v>0</v>
      </c>
      <c r="AF123" s="279">
        <f t="shared" si="853"/>
        <v>0</v>
      </c>
      <c r="AG123" s="279">
        <f t="shared" si="853"/>
        <v>0</v>
      </c>
      <c r="AH123" s="279">
        <f t="shared" si="853"/>
        <v>0</v>
      </c>
      <c r="AI123" s="279">
        <f t="shared" si="853"/>
        <v>0</v>
      </c>
      <c r="AJ123" s="279">
        <f t="shared" si="853"/>
        <v>0</v>
      </c>
      <c r="AK123" s="279">
        <f t="shared" si="853"/>
        <v>0</v>
      </c>
      <c r="AL123" s="279">
        <f t="shared" si="853"/>
        <v>0</v>
      </c>
      <c r="AM123" s="279">
        <f t="shared" si="853"/>
        <v>0</v>
      </c>
      <c r="AN123" s="279">
        <f t="shared" si="853"/>
        <v>0</v>
      </c>
      <c r="AO123" s="279">
        <f t="shared" si="853"/>
        <v>0</v>
      </c>
      <c r="AP123" s="279">
        <f t="shared" si="853"/>
        <v>0</v>
      </c>
      <c r="AQ123" s="279">
        <f t="shared" si="853"/>
        <v>0</v>
      </c>
      <c r="AR123" s="279">
        <f t="shared" si="853"/>
        <v>0</v>
      </c>
      <c r="AS123" s="279">
        <f t="shared" si="853"/>
        <v>0</v>
      </c>
      <c r="AT123" s="279">
        <f t="shared" si="853"/>
        <v>0</v>
      </c>
      <c r="AU123" s="279">
        <f t="shared" si="853"/>
        <v>0</v>
      </c>
      <c r="AV123" s="279">
        <f t="shared" si="853"/>
        <v>0</v>
      </c>
      <c r="AW123" s="279">
        <f t="shared" si="853"/>
        <v>0</v>
      </c>
      <c r="AX123" s="279">
        <f t="shared" si="853"/>
        <v>0</v>
      </c>
      <c r="AY123" s="279">
        <f t="shared" si="853"/>
        <v>0</v>
      </c>
      <c r="AZ123" s="279">
        <f t="shared" si="853"/>
        <v>0</v>
      </c>
      <c r="BA123" s="279">
        <f t="shared" si="853"/>
        <v>0</v>
      </c>
      <c r="BB123" s="279">
        <f t="shared" si="853"/>
        <v>0</v>
      </c>
      <c r="BC123" s="279">
        <f t="shared" si="853"/>
        <v>0</v>
      </c>
      <c r="BD123" s="279">
        <f t="shared" si="853"/>
        <v>0</v>
      </c>
      <c r="BE123" s="279">
        <f t="shared" si="853"/>
        <v>0</v>
      </c>
      <c r="BF123" s="279">
        <f t="shared" si="853"/>
        <v>0</v>
      </c>
      <c r="BG123" s="279">
        <f t="shared" si="853"/>
        <v>0</v>
      </c>
      <c r="BH123" s="279">
        <f t="shared" si="853"/>
        <v>0</v>
      </c>
      <c r="BI123" s="279">
        <f t="shared" si="853"/>
        <v>0</v>
      </c>
      <c r="BJ123" s="279">
        <f t="shared" si="853"/>
        <v>0</v>
      </c>
      <c r="BK123" s="279">
        <f t="shared" si="853"/>
        <v>0</v>
      </c>
      <c r="BL123" s="279">
        <f t="shared" si="853"/>
        <v>0</v>
      </c>
      <c r="BM123" s="279">
        <f t="shared" si="853"/>
        <v>0</v>
      </c>
      <c r="BN123" s="279">
        <f t="shared" si="853"/>
        <v>0</v>
      </c>
    </row>
    <row r="124" spans="3:66" x14ac:dyDescent="0.2">
      <c r="C124" s="322"/>
      <c r="D124" s="23" t="s">
        <v>7</v>
      </c>
      <c r="E124" s="91">
        <f>SUM(F124:BN124)</f>
        <v>14.640000000000011</v>
      </c>
      <c r="F124" s="28">
        <f>IF(F123="",VLOOKUP($C123,'CUSTOS REALIZADOS'!$A$11:$E$995,4),(VLOOKUP($C123,'CUSTOS REALIZADOS'!$A$11:$E$995,5)))</f>
        <v>0.24000000000000002</v>
      </c>
      <c r="G124" s="28">
        <f>IF(G123="",VLOOKUP($C123,'CUSTOS REALIZADOS'!$A$11:$E$995,4),(VLOOKUP($C123,'CUSTOS REALIZADOS'!$A$11:$E$995,5)))</f>
        <v>0.24000000000000002</v>
      </c>
      <c r="H124" s="28">
        <f>IF(H123="",VLOOKUP($C123,'CUSTOS REALIZADOS'!$A$11:$E$995,4),(VLOOKUP($C123,'CUSTOS REALIZADOS'!$A$11:$E$995,5)))</f>
        <v>0.24000000000000002</v>
      </c>
      <c r="I124" s="28">
        <f>IF(I123="",VLOOKUP($C123,'CUSTOS REALIZADOS'!$A$11:$E$995,4),(VLOOKUP($C123,'CUSTOS REALIZADOS'!$A$11:$E$995,5)))</f>
        <v>0.24000000000000002</v>
      </c>
      <c r="J124" s="28">
        <f>IF(J123="",VLOOKUP($C123,'CUSTOS REALIZADOS'!$A$11:$E$995,4),(VLOOKUP($C123,'CUSTOS REALIZADOS'!$A$11:$E$995,5)))</f>
        <v>0.24000000000000002</v>
      </c>
      <c r="K124" s="28">
        <f>IF(K123="",VLOOKUP($C123,'CUSTOS REALIZADOS'!$A$11:$E$995,4),(VLOOKUP($C123,'CUSTOS REALIZADOS'!$A$11:$E$995,5)))</f>
        <v>0.24000000000000002</v>
      </c>
      <c r="L124" s="28">
        <f>IF(L123="",VLOOKUP($C123,'CUSTOS REALIZADOS'!$A$11:$E$995,4),(VLOOKUP($C123,'CUSTOS REALIZADOS'!$A$11:$E$995,5)))</f>
        <v>0.24000000000000002</v>
      </c>
      <c r="M124" s="28">
        <f>IF(M123="",VLOOKUP($C123,'CUSTOS REALIZADOS'!$A$11:$E$995,4),(VLOOKUP($C123,'CUSTOS REALIZADOS'!$A$11:$E$995,5)))</f>
        <v>0.24000000000000002</v>
      </c>
      <c r="N124" s="28">
        <f>IF(N123="",VLOOKUP($C123,'CUSTOS REALIZADOS'!$A$11:$E$995,4),(VLOOKUP($C123,'CUSTOS REALIZADOS'!$A$11:$E$995,5)))</f>
        <v>0.24000000000000002</v>
      </c>
      <c r="O124" s="28">
        <f>IF(O123="",VLOOKUP($C123,'CUSTOS REALIZADOS'!$A$11:$E$995,4),(VLOOKUP($C123,'CUSTOS REALIZADOS'!$A$11:$E$995,5)))</f>
        <v>0.24000000000000002</v>
      </c>
      <c r="P124" s="28">
        <f>IF(P123="",VLOOKUP($C123,'CUSTOS REALIZADOS'!$A$11:$E$995,4),(VLOOKUP($C123,'CUSTOS REALIZADOS'!$A$11:$E$995,5)))</f>
        <v>0.24000000000000002</v>
      </c>
      <c r="Q124" s="28">
        <f>IF(Q123="",VLOOKUP($C123,'CUSTOS REALIZADOS'!$A$11:$E$995,4),(VLOOKUP($C123,'CUSTOS REALIZADOS'!$A$11:$E$995,5)))</f>
        <v>0.24000000000000002</v>
      </c>
      <c r="R124" s="28">
        <f>IF(R123="",VLOOKUP($C123,'CUSTOS REALIZADOS'!$A$11:$E$995,4),(VLOOKUP($C123,'CUSTOS REALIZADOS'!$A$11:$E$995,5)))</f>
        <v>0.24000000000000002</v>
      </c>
      <c r="S124" s="28">
        <f>IF(S123="",VLOOKUP($C123,'CUSTOS REALIZADOS'!$A$11:$E$995,4),(VLOOKUP($C123,'CUSTOS REALIZADOS'!$A$11:$E$995,5)))</f>
        <v>0.24000000000000002</v>
      </c>
      <c r="T124" s="28">
        <f>IF(T123="",VLOOKUP($C123,'CUSTOS REALIZADOS'!$A$11:$E$995,4),(VLOOKUP($C123,'CUSTOS REALIZADOS'!$A$11:$E$995,5)))</f>
        <v>0.24000000000000002</v>
      </c>
      <c r="U124" s="28">
        <f>IF(U123="",VLOOKUP($C123,'CUSTOS REALIZADOS'!$A$11:$E$995,4),(VLOOKUP($C123,'CUSTOS REALIZADOS'!$A$11:$E$995,5)))</f>
        <v>0.24000000000000002</v>
      </c>
      <c r="V124" s="28">
        <f>IF(V123="",VLOOKUP($C123,'CUSTOS REALIZADOS'!$A$11:$E$995,4),(VLOOKUP($C123,'CUSTOS REALIZADOS'!$A$11:$E$995,5)))</f>
        <v>0.24000000000000002</v>
      </c>
      <c r="W124" s="28">
        <f>IF(W123="",VLOOKUP($C123,'CUSTOS REALIZADOS'!$A$11:$E$995,4),(VLOOKUP($C123,'CUSTOS REALIZADOS'!$A$11:$E$995,5)))</f>
        <v>0.24000000000000002</v>
      </c>
      <c r="X124" s="28">
        <f>IF(X123="",VLOOKUP($C123,'CUSTOS REALIZADOS'!$A$11:$E$995,4),(VLOOKUP($C123,'CUSTOS REALIZADOS'!$A$11:$E$995,5)))</f>
        <v>0.24000000000000002</v>
      </c>
      <c r="Y124" s="28">
        <f>IF(Y123="",VLOOKUP($C123,'CUSTOS REALIZADOS'!$A$11:$E$995,4),(VLOOKUP($C123,'CUSTOS REALIZADOS'!$A$11:$E$995,5)))</f>
        <v>0.24000000000000002</v>
      </c>
      <c r="Z124" s="28">
        <f>IF(Z123="",VLOOKUP($C123,'CUSTOS REALIZADOS'!$A$11:$E$995,4),(VLOOKUP($C123,'CUSTOS REALIZADOS'!$A$11:$E$995,5)))</f>
        <v>0.24000000000000002</v>
      </c>
      <c r="AA124" s="28">
        <f>IF(AA123="",VLOOKUP($C123,'CUSTOS REALIZADOS'!$A$11:$E$995,4),(VLOOKUP($C123,'CUSTOS REALIZADOS'!$A$11:$E$995,5)))</f>
        <v>0.24000000000000002</v>
      </c>
      <c r="AB124" s="28">
        <f>IF(AB123="",VLOOKUP($C123,'CUSTOS REALIZADOS'!$A$11:$E$995,4),(VLOOKUP($C123,'CUSTOS REALIZADOS'!$A$11:$E$995,5)))</f>
        <v>0.24000000000000002</v>
      </c>
      <c r="AC124" s="28">
        <f>IF(AC123="",VLOOKUP($C123,'CUSTOS REALIZADOS'!$A$11:$E$995,4),(VLOOKUP($C123,'CUSTOS REALIZADOS'!$A$11:$E$995,5)))</f>
        <v>0.24000000000000002</v>
      </c>
      <c r="AD124" s="28">
        <f>IF(AD123="",VLOOKUP($C123,'CUSTOS REALIZADOS'!$A$11:$E$995,4),(VLOOKUP($C123,'CUSTOS REALIZADOS'!$A$11:$E$995,5)))</f>
        <v>0.24000000000000002</v>
      </c>
      <c r="AE124" s="28">
        <f>IF(AE123="",VLOOKUP($C123,'CUSTOS REALIZADOS'!$A$11:$E$995,4),(VLOOKUP($C123,'CUSTOS REALIZADOS'!$A$11:$E$995,5)))</f>
        <v>0.24000000000000002</v>
      </c>
      <c r="AF124" s="28">
        <f>IF(AF123="",VLOOKUP($C123,'CUSTOS REALIZADOS'!$A$11:$E$995,4),(VLOOKUP($C123,'CUSTOS REALIZADOS'!$A$11:$E$995,5)))</f>
        <v>0.24000000000000002</v>
      </c>
      <c r="AG124" s="28">
        <f>IF(AG123="",VLOOKUP($C123,'CUSTOS REALIZADOS'!$A$11:$E$995,4),(VLOOKUP($C123,'CUSTOS REALIZADOS'!$A$11:$E$995,5)))</f>
        <v>0.24000000000000002</v>
      </c>
      <c r="AH124" s="28">
        <f>IF(AH123="",VLOOKUP($C123,'CUSTOS REALIZADOS'!$A$11:$E$995,4),(VLOOKUP($C123,'CUSTOS REALIZADOS'!$A$11:$E$995,5)))</f>
        <v>0.24000000000000002</v>
      </c>
      <c r="AI124" s="28">
        <f>IF(AI123="",VLOOKUP($C123,'CUSTOS REALIZADOS'!$A$11:$E$995,4),(VLOOKUP($C123,'CUSTOS REALIZADOS'!$A$11:$E$995,5)))</f>
        <v>0.24000000000000002</v>
      </c>
      <c r="AJ124" s="28">
        <f>IF(AJ123="",VLOOKUP($C123,'CUSTOS REALIZADOS'!$A$11:$E$995,4),(VLOOKUP($C123,'CUSTOS REALIZADOS'!$A$11:$E$995,5)))</f>
        <v>0.24000000000000002</v>
      </c>
      <c r="AK124" s="28">
        <f>IF(AK123="",VLOOKUP($C123,'CUSTOS REALIZADOS'!$A$11:$E$995,4),(VLOOKUP($C123,'CUSTOS REALIZADOS'!$A$11:$E$995,5)))</f>
        <v>0.24000000000000002</v>
      </c>
      <c r="AL124" s="28">
        <f>IF(AL123="",VLOOKUP($C123,'CUSTOS REALIZADOS'!$A$11:$E$995,4),(VLOOKUP($C123,'CUSTOS REALIZADOS'!$A$11:$E$995,5)))</f>
        <v>0.24000000000000002</v>
      </c>
      <c r="AM124" s="28">
        <f>IF(AM123="",VLOOKUP($C123,'CUSTOS REALIZADOS'!$A$11:$E$995,4),(VLOOKUP($C123,'CUSTOS REALIZADOS'!$A$11:$E$995,5)))</f>
        <v>0.24000000000000002</v>
      </c>
      <c r="AN124" s="28">
        <f>IF(AN123="",VLOOKUP($C123,'CUSTOS REALIZADOS'!$A$11:$E$995,4),(VLOOKUP($C123,'CUSTOS REALIZADOS'!$A$11:$E$995,5)))</f>
        <v>0.24000000000000002</v>
      </c>
      <c r="AO124" s="28">
        <f>IF(AO123="",VLOOKUP($C123,'CUSTOS REALIZADOS'!$A$11:$E$995,4),(VLOOKUP($C123,'CUSTOS REALIZADOS'!$A$11:$E$995,5)))</f>
        <v>0.24000000000000002</v>
      </c>
      <c r="AP124" s="28">
        <f>IF(AP123="",VLOOKUP($C123,'CUSTOS REALIZADOS'!$A$11:$E$995,4),(VLOOKUP($C123,'CUSTOS REALIZADOS'!$A$11:$E$995,5)))</f>
        <v>0.24000000000000002</v>
      </c>
      <c r="AQ124" s="28">
        <f>IF(AQ123="",VLOOKUP($C123,'CUSTOS REALIZADOS'!$A$11:$E$995,4),(VLOOKUP($C123,'CUSTOS REALIZADOS'!$A$11:$E$995,5)))</f>
        <v>0.24000000000000002</v>
      </c>
      <c r="AR124" s="28">
        <f>IF(AR123="",VLOOKUP($C123,'CUSTOS REALIZADOS'!$A$11:$E$995,4),(VLOOKUP($C123,'CUSTOS REALIZADOS'!$A$11:$E$995,5)))</f>
        <v>0.24000000000000002</v>
      </c>
      <c r="AS124" s="28">
        <f>IF(AS123="",VLOOKUP($C123,'CUSTOS REALIZADOS'!$A$11:$E$995,4),(VLOOKUP($C123,'CUSTOS REALIZADOS'!$A$11:$E$995,5)))</f>
        <v>0.24000000000000002</v>
      </c>
      <c r="AT124" s="28">
        <f>IF(AT123="",VLOOKUP($C123,'CUSTOS REALIZADOS'!$A$11:$E$995,4),(VLOOKUP($C123,'CUSTOS REALIZADOS'!$A$11:$E$995,5)))</f>
        <v>0.24000000000000002</v>
      </c>
      <c r="AU124" s="28">
        <f>IF(AU123="",VLOOKUP($C123,'CUSTOS REALIZADOS'!$A$11:$E$995,4),(VLOOKUP($C123,'CUSTOS REALIZADOS'!$A$11:$E$995,5)))</f>
        <v>0.24000000000000002</v>
      </c>
      <c r="AV124" s="28">
        <f>IF(AV123="",VLOOKUP($C123,'CUSTOS REALIZADOS'!$A$11:$E$995,4),(VLOOKUP($C123,'CUSTOS REALIZADOS'!$A$11:$E$995,5)))</f>
        <v>0.24000000000000002</v>
      </c>
      <c r="AW124" s="28">
        <f>IF(AW123="",VLOOKUP($C123,'CUSTOS REALIZADOS'!$A$11:$E$995,4),(VLOOKUP($C123,'CUSTOS REALIZADOS'!$A$11:$E$995,5)))</f>
        <v>0.24000000000000002</v>
      </c>
      <c r="AX124" s="28">
        <f>IF(AX123="",VLOOKUP($C123,'CUSTOS REALIZADOS'!$A$11:$E$995,4),(VLOOKUP($C123,'CUSTOS REALIZADOS'!$A$11:$E$995,5)))</f>
        <v>0.24000000000000002</v>
      </c>
      <c r="AY124" s="28">
        <f>IF(AY123="",VLOOKUP($C123,'CUSTOS REALIZADOS'!$A$11:$E$995,4),(VLOOKUP($C123,'CUSTOS REALIZADOS'!$A$11:$E$995,5)))</f>
        <v>0.24000000000000002</v>
      </c>
      <c r="AZ124" s="28">
        <f>IF(AZ123="",VLOOKUP($C123,'CUSTOS REALIZADOS'!$A$11:$E$995,4),(VLOOKUP($C123,'CUSTOS REALIZADOS'!$A$11:$E$995,5)))</f>
        <v>0.24000000000000002</v>
      </c>
      <c r="BA124" s="28">
        <f>IF(BA123="",VLOOKUP($C123,'CUSTOS REALIZADOS'!$A$11:$E$995,4),(VLOOKUP($C123,'CUSTOS REALIZADOS'!$A$11:$E$995,5)))</f>
        <v>0.24000000000000002</v>
      </c>
      <c r="BB124" s="28">
        <f>IF(BB123="",VLOOKUP($C123,'CUSTOS REALIZADOS'!$A$11:$E$995,4),(VLOOKUP($C123,'CUSTOS REALIZADOS'!$A$11:$E$995,5)))</f>
        <v>0.24000000000000002</v>
      </c>
      <c r="BC124" s="28">
        <f>IF(BC123="",VLOOKUP($C123,'CUSTOS REALIZADOS'!$A$11:$E$995,4),(VLOOKUP($C123,'CUSTOS REALIZADOS'!$A$11:$E$995,5)))</f>
        <v>0.24000000000000002</v>
      </c>
      <c r="BD124" s="28">
        <f>IF(BD123="",VLOOKUP($C123,'CUSTOS REALIZADOS'!$A$11:$E$995,4),(VLOOKUP($C123,'CUSTOS REALIZADOS'!$A$11:$E$995,5)))</f>
        <v>0.24000000000000002</v>
      </c>
      <c r="BE124" s="28">
        <f>IF(BE123="",VLOOKUP($C123,'CUSTOS REALIZADOS'!$A$11:$E$995,4),(VLOOKUP($C123,'CUSTOS REALIZADOS'!$A$11:$E$995,5)))</f>
        <v>0.24000000000000002</v>
      </c>
      <c r="BF124" s="28">
        <f>IF(BF123="",VLOOKUP($C123,'CUSTOS REALIZADOS'!$A$11:$E$995,4),(VLOOKUP($C123,'CUSTOS REALIZADOS'!$A$11:$E$995,5)))</f>
        <v>0.24000000000000002</v>
      </c>
      <c r="BG124" s="28">
        <f>IF(BG123="",VLOOKUP($C123,'CUSTOS REALIZADOS'!$A$11:$E$995,4),(VLOOKUP($C123,'CUSTOS REALIZADOS'!$A$11:$E$995,5)))</f>
        <v>0.24000000000000002</v>
      </c>
      <c r="BH124" s="28">
        <f>IF(BH123="",VLOOKUP($C123,'CUSTOS REALIZADOS'!$A$11:$E$995,4),(VLOOKUP($C123,'CUSTOS REALIZADOS'!$A$11:$E$995,5)))</f>
        <v>0.24000000000000002</v>
      </c>
      <c r="BI124" s="28">
        <f>IF(BI123="",VLOOKUP($C123,'CUSTOS REALIZADOS'!$A$11:$E$995,4),(VLOOKUP($C123,'CUSTOS REALIZADOS'!$A$11:$E$995,5)))</f>
        <v>0.24000000000000002</v>
      </c>
      <c r="BJ124" s="28">
        <f>IF(BJ123="",VLOOKUP($C123,'CUSTOS REALIZADOS'!$A$11:$E$995,4),(VLOOKUP($C123,'CUSTOS REALIZADOS'!$A$11:$E$995,5)))</f>
        <v>0.24000000000000002</v>
      </c>
      <c r="BK124" s="28">
        <f>IF(BK123="",VLOOKUP($C123,'CUSTOS REALIZADOS'!$A$11:$E$995,4),(VLOOKUP($C123,'CUSTOS REALIZADOS'!$A$11:$E$995,5)))</f>
        <v>0.24000000000000002</v>
      </c>
      <c r="BL124" s="28">
        <f>IF(BL123="",VLOOKUP($C123,'CUSTOS REALIZADOS'!$A$11:$E$995,4),(VLOOKUP($C123,'CUSTOS REALIZADOS'!$A$11:$E$995,5)))</f>
        <v>0.24000000000000002</v>
      </c>
      <c r="BM124" s="28">
        <f>IF(BM123="",VLOOKUP($C123,'CUSTOS REALIZADOS'!$A$11:$E$995,4),(VLOOKUP($C123,'CUSTOS REALIZADOS'!$A$11:$E$995,5)))</f>
        <v>0.24000000000000002</v>
      </c>
      <c r="BN124" s="28">
        <f>IF(BN123="",VLOOKUP($C123,'CUSTOS REALIZADOS'!$A$11:$E$995,4),(VLOOKUP($C123,'CUSTOS REALIZADOS'!$A$11:$E$995,5)))</f>
        <v>0.24000000000000002</v>
      </c>
    </row>
    <row r="125" spans="3:66" x14ac:dyDescent="0.2">
      <c r="C125" s="322"/>
      <c r="D125" s="23" t="s">
        <v>6</v>
      </c>
      <c r="E125" s="27">
        <f>SUM(F125:BN125)</f>
        <v>95000</v>
      </c>
      <c r="F125" s="23">
        <f>IF(AND($C123&gt;=F$6,OR($C123&lt;F$8,F$8="")),F$7*F$28,0)</f>
        <v>0</v>
      </c>
      <c r="G125" s="23">
        <f t="shared" ref="G125:BN125" si="854">IF(AND($C123&gt;=G$6,OR($C123&lt;G$8,G$8="")),G$7*G$28,0)</f>
        <v>45000</v>
      </c>
      <c r="H125" s="23">
        <f t="shared" si="854"/>
        <v>50000</v>
      </c>
      <c r="I125" s="23">
        <f t="shared" si="854"/>
        <v>0</v>
      </c>
      <c r="J125" s="23">
        <f t="shared" si="854"/>
        <v>0</v>
      </c>
      <c r="K125" s="23">
        <f t="shared" si="854"/>
        <v>0</v>
      </c>
      <c r="L125" s="23">
        <f t="shared" si="854"/>
        <v>0</v>
      </c>
      <c r="M125" s="23">
        <f t="shared" si="854"/>
        <v>0</v>
      </c>
      <c r="N125" s="23">
        <f t="shared" si="854"/>
        <v>0</v>
      </c>
      <c r="O125" s="23">
        <f t="shared" si="854"/>
        <v>0</v>
      </c>
      <c r="P125" s="23">
        <f t="shared" si="854"/>
        <v>0</v>
      </c>
      <c r="Q125" s="23">
        <f t="shared" si="854"/>
        <v>0</v>
      </c>
      <c r="R125" s="23">
        <f t="shared" si="854"/>
        <v>0</v>
      </c>
      <c r="S125" s="23">
        <f t="shared" si="854"/>
        <v>0</v>
      </c>
      <c r="T125" s="23">
        <f t="shared" si="854"/>
        <v>0</v>
      </c>
      <c r="U125" s="23">
        <f t="shared" si="854"/>
        <v>0</v>
      </c>
      <c r="V125" s="23">
        <f t="shared" si="854"/>
        <v>0</v>
      </c>
      <c r="W125" s="23">
        <f t="shared" si="854"/>
        <v>0</v>
      </c>
      <c r="X125" s="23">
        <f t="shared" si="854"/>
        <v>0</v>
      </c>
      <c r="Y125" s="23">
        <f t="shared" si="854"/>
        <v>0</v>
      </c>
      <c r="Z125" s="23">
        <f t="shared" si="854"/>
        <v>0</v>
      </c>
      <c r="AA125" s="23">
        <f t="shared" si="854"/>
        <v>0</v>
      </c>
      <c r="AB125" s="23">
        <f t="shared" si="854"/>
        <v>0</v>
      </c>
      <c r="AC125" s="23">
        <f t="shared" si="854"/>
        <v>0</v>
      </c>
      <c r="AD125" s="23">
        <f t="shared" si="854"/>
        <v>0</v>
      </c>
      <c r="AE125" s="23">
        <f t="shared" si="854"/>
        <v>0</v>
      </c>
      <c r="AF125" s="23">
        <f t="shared" si="854"/>
        <v>0</v>
      </c>
      <c r="AG125" s="23">
        <f t="shared" si="854"/>
        <v>0</v>
      </c>
      <c r="AH125" s="23">
        <f t="shared" si="854"/>
        <v>0</v>
      </c>
      <c r="AI125" s="23">
        <f t="shared" si="854"/>
        <v>0</v>
      </c>
      <c r="AJ125" s="23">
        <f t="shared" si="854"/>
        <v>0</v>
      </c>
      <c r="AK125" s="23">
        <f t="shared" si="854"/>
        <v>0</v>
      </c>
      <c r="AL125" s="23">
        <f t="shared" si="854"/>
        <v>0</v>
      </c>
      <c r="AM125" s="23">
        <f t="shared" si="854"/>
        <v>0</v>
      </c>
      <c r="AN125" s="23">
        <f t="shared" si="854"/>
        <v>0</v>
      </c>
      <c r="AO125" s="23">
        <f t="shared" si="854"/>
        <v>0</v>
      </c>
      <c r="AP125" s="23">
        <f t="shared" si="854"/>
        <v>0</v>
      </c>
      <c r="AQ125" s="23">
        <f t="shared" si="854"/>
        <v>0</v>
      </c>
      <c r="AR125" s="23">
        <f t="shared" si="854"/>
        <v>0</v>
      </c>
      <c r="AS125" s="23">
        <f t="shared" si="854"/>
        <v>0</v>
      </c>
      <c r="AT125" s="23">
        <f t="shared" si="854"/>
        <v>0</v>
      </c>
      <c r="AU125" s="23">
        <f t="shared" si="854"/>
        <v>0</v>
      </c>
      <c r="AV125" s="23">
        <f t="shared" si="854"/>
        <v>0</v>
      </c>
      <c r="AW125" s="23">
        <f t="shared" si="854"/>
        <v>0</v>
      </c>
      <c r="AX125" s="23">
        <f t="shared" si="854"/>
        <v>0</v>
      </c>
      <c r="AY125" s="23">
        <f t="shared" si="854"/>
        <v>0</v>
      </c>
      <c r="AZ125" s="23">
        <f t="shared" si="854"/>
        <v>0</v>
      </c>
      <c r="BA125" s="23">
        <f t="shared" si="854"/>
        <v>0</v>
      </c>
      <c r="BB125" s="23">
        <f t="shared" si="854"/>
        <v>0</v>
      </c>
      <c r="BC125" s="23">
        <f t="shared" si="854"/>
        <v>0</v>
      </c>
      <c r="BD125" s="23">
        <f t="shared" si="854"/>
        <v>0</v>
      </c>
      <c r="BE125" s="23">
        <f t="shared" si="854"/>
        <v>0</v>
      </c>
      <c r="BF125" s="23">
        <f t="shared" si="854"/>
        <v>0</v>
      </c>
      <c r="BG125" s="23">
        <f t="shared" si="854"/>
        <v>0</v>
      </c>
      <c r="BH125" s="23">
        <f t="shared" si="854"/>
        <v>0</v>
      </c>
      <c r="BI125" s="23">
        <f t="shared" si="854"/>
        <v>0</v>
      </c>
      <c r="BJ125" s="23">
        <f t="shared" si="854"/>
        <v>0</v>
      </c>
      <c r="BK125" s="23">
        <f t="shared" si="854"/>
        <v>0</v>
      </c>
      <c r="BL125" s="23">
        <f t="shared" si="854"/>
        <v>0</v>
      </c>
      <c r="BM125" s="23">
        <f t="shared" si="854"/>
        <v>0</v>
      </c>
      <c r="BN125" s="23">
        <f t="shared" si="854"/>
        <v>0</v>
      </c>
    </row>
    <row r="126" spans="3:66" x14ac:dyDescent="0.2">
      <c r="C126" s="322"/>
      <c r="D126" s="23" t="s">
        <v>9</v>
      </c>
      <c r="E126" s="27">
        <f>SUM(F126:BN126)</f>
        <v>0</v>
      </c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</row>
    <row r="127" spans="3:66" x14ac:dyDescent="0.2">
      <c r="C127" s="322"/>
      <c r="D127" s="23" t="s">
        <v>14</v>
      </c>
      <c r="E127" s="27">
        <f>SUM(F127:AY127)</f>
        <v>881957.29294725531</v>
      </c>
      <c r="F127" s="23">
        <f>IF(F122=0,F123-F126,F122-F126)</f>
        <v>-154.75649990301019</v>
      </c>
      <c r="G127" s="23">
        <f t="shared" ref="G127" si="855">IF(G122=0,G123-G126,G122-G126)</f>
        <v>417842.54973812762</v>
      </c>
      <c r="H127" s="23">
        <f t="shared" ref="H127" si="856">IF(H122=0,H123-H126,H122-H126)</f>
        <v>464269.49970903067</v>
      </c>
      <c r="I127" s="23">
        <f t="shared" ref="I127" si="857">IF(I122=0,I123-I126,I122-I126)</f>
        <v>0</v>
      </c>
      <c r="J127" s="23">
        <f t="shared" ref="J127" si="858">IF(J122=0,J123-J126,J122-J126)</f>
        <v>0</v>
      </c>
      <c r="K127" s="23">
        <f t="shared" ref="K127" si="859">IF(K122=0,K123-K126,K122-K126)</f>
        <v>0</v>
      </c>
      <c r="L127" s="23">
        <f t="shared" ref="L127" si="860">IF(L122=0,L123-L126,L122-L126)</f>
        <v>0</v>
      </c>
      <c r="M127" s="23">
        <f t="shared" ref="M127" si="861">IF(M122=0,M123-M126,M122-M126)</f>
        <v>0</v>
      </c>
      <c r="N127" s="23">
        <f t="shared" ref="N127" si="862">IF(N122=0,N123-N126,N122-N126)</f>
        <v>0</v>
      </c>
      <c r="O127" s="23">
        <f t="shared" ref="O127" si="863">IF(O122=0,O123-O126,O122-O126)</f>
        <v>0</v>
      </c>
      <c r="P127" s="23">
        <f t="shared" ref="P127" si="864">IF(P122=0,P123-P126,P122-P126)</f>
        <v>0</v>
      </c>
      <c r="Q127" s="23">
        <f t="shared" ref="Q127" si="865">IF(Q122=0,Q123-Q126,Q122-Q126)</f>
        <v>0</v>
      </c>
      <c r="R127" s="23">
        <f t="shared" ref="R127" si="866">IF(R122=0,R123-R126,R122-R126)</f>
        <v>0</v>
      </c>
      <c r="S127" s="23">
        <f t="shared" ref="S127" si="867">IF(S122=0,S123-S126,S122-S126)</f>
        <v>0</v>
      </c>
      <c r="T127" s="23">
        <f t="shared" ref="T127" si="868">IF(T122=0,T123-T126,T122-T126)</f>
        <v>0</v>
      </c>
      <c r="U127" s="23">
        <f t="shared" ref="U127" si="869">IF(U122=0,U123-U126,U122-U126)</f>
        <v>0</v>
      </c>
      <c r="V127" s="23">
        <f t="shared" ref="V127" si="870">IF(V122=0,V123-V126,V122-V126)</f>
        <v>0</v>
      </c>
      <c r="W127" s="23">
        <f t="shared" ref="W127" si="871">IF(W122=0,W123-W126,W122-W126)</f>
        <v>0</v>
      </c>
      <c r="X127" s="23">
        <f t="shared" ref="X127" si="872">IF(X122=0,X123-X126,X122-X126)</f>
        <v>0</v>
      </c>
      <c r="Y127" s="23">
        <f t="shared" ref="Y127" si="873">IF(Y122=0,Y123-Y126,Y122-Y126)</f>
        <v>0</v>
      </c>
      <c r="Z127" s="23">
        <f t="shared" ref="Z127" si="874">IF(Z122=0,Z123-Z126,Z122-Z126)</f>
        <v>0</v>
      </c>
      <c r="AA127" s="23">
        <f t="shared" ref="AA127" si="875">IF(AA122=0,AA123-AA126,AA122-AA126)</f>
        <v>0</v>
      </c>
      <c r="AB127" s="23">
        <f t="shared" ref="AB127" si="876">IF(AB122=0,AB123-AB126,AB122-AB126)</f>
        <v>0</v>
      </c>
      <c r="AC127" s="23">
        <f t="shared" ref="AC127" si="877">IF(AC122=0,AC123-AC126,AC122-AC126)</f>
        <v>0</v>
      </c>
      <c r="AD127" s="23">
        <f t="shared" ref="AD127" si="878">IF(AD122=0,AD123-AD126,AD122-AD126)</f>
        <v>0</v>
      </c>
      <c r="AE127" s="23">
        <f t="shared" ref="AE127" si="879">IF(AE122=0,AE123-AE126,AE122-AE126)</f>
        <v>0</v>
      </c>
      <c r="AF127" s="23">
        <f t="shared" ref="AF127" si="880">IF(AF122=0,AF123-AF126,AF122-AF126)</f>
        <v>0</v>
      </c>
      <c r="AG127" s="23">
        <f t="shared" ref="AG127" si="881">IF(AG122=0,AG123-AG126,AG122-AG126)</f>
        <v>0</v>
      </c>
      <c r="AH127" s="23">
        <f t="shared" ref="AH127" si="882">IF(AH122=0,AH123-AH126,AH122-AH126)</f>
        <v>0</v>
      </c>
      <c r="AI127" s="23">
        <f t="shared" ref="AI127" si="883">IF(AI122=0,AI123-AI126,AI122-AI126)</f>
        <v>0</v>
      </c>
      <c r="AJ127" s="23">
        <f t="shared" ref="AJ127" si="884">IF(AJ122=0,AJ123-AJ126,AJ122-AJ126)</f>
        <v>0</v>
      </c>
      <c r="AK127" s="23">
        <f t="shared" ref="AK127" si="885">IF(AK122=0,AK123-AK126,AK122-AK126)</f>
        <v>0</v>
      </c>
      <c r="AL127" s="23">
        <f t="shared" ref="AL127" si="886">IF(AL122=0,AL123-AL126,AL122-AL126)</f>
        <v>0</v>
      </c>
      <c r="AM127" s="23">
        <f t="shared" ref="AM127" si="887">IF(AM122=0,AM123-AM126,AM122-AM126)</f>
        <v>0</v>
      </c>
      <c r="AN127" s="23">
        <f t="shared" ref="AN127" si="888">IF(AN122=0,AN123-AN126,AN122-AN126)</f>
        <v>0</v>
      </c>
      <c r="AO127" s="23">
        <f t="shared" ref="AO127" si="889">IF(AO122=0,AO123-AO126,AO122-AO126)</f>
        <v>0</v>
      </c>
      <c r="AP127" s="23">
        <f t="shared" ref="AP127" si="890">IF(AP122=0,AP123-AP126,AP122-AP126)</f>
        <v>0</v>
      </c>
      <c r="AQ127" s="23">
        <f t="shared" ref="AQ127" si="891">IF(AQ122=0,AQ123-AQ126,AQ122-AQ126)</f>
        <v>0</v>
      </c>
      <c r="AR127" s="23">
        <f t="shared" ref="AR127" si="892">IF(AR122=0,AR123-AR126,AR122-AR126)</f>
        <v>0</v>
      </c>
      <c r="AS127" s="23">
        <f t="shared" ref="AS127" si="893">IF(AS122=0,AS123-AS126,AS122-AS126)</f>
        <v>0</v>
      </c>
      <c r="AT127" s="23">
        <f t="shared" ref="AT127" si="894">IF(AT122=0,AT123-AT126,AT122-AT126)</f>
        <v>0</v>
      </c>
      <c r="AU127" s="23">
        <f t="shared" ref="AU127" si="895">IF(AU122=0,AU123-AU126,AU122-AU126)</f>
        <v>0</v>
      </c>
      <c r="AV127" s="23">
        <f t="shared" ref="AV127" si="896">IF(AV122=0,AV123-AV126,AV122-AV126)</f>
        <v>0</v>
      </c>
      <c r="AW127" s="23">
        <f t="shared" ref="AW127" si="897">IF(AW122=0,AW123-AW126,AW122-AW126)</f>
        <v>0</v>
      </c>
      <c r="AX127" s="23">
        <f t="shared" ref="AX127" si="898">IF(AX122=0,AX123-AX126,AX122-AX126)</f>
        <v>0</v>
      </c>
      <c r="AY127" s="23">
        <f t="shared" ref="AY127" si="899">IF(AY122=0,AY123-AY126,AY122-AY126)</f>
        <v>0</v>
      </c>
      <c r="AZ127" s="23">
        <f t="shared" ref="AZ127" si="900">IF(AZ122=0,AZ123-AZ126,AZ122-AZ126)</f>
        <v>0</v>
      </c>
      <c r="BA127" s="23">
        <f t="shared" ref="BA127" si="901">IF(BA122=0,BA123-BA126,BA122-BA126)</f>
        <v>0</v>
      </c>
      <c r="BB127" s="23">
        <f t="shared" ref="BB127" si="902">IF(BB122=0,BB123-BB126,BB122-BB126)</f>
        <v>0</v>
      </c>
      <c r="BC127" s="23">
        <f t="shared" ref="BC127" si="903">IF(BC122=0,BC123-BC126,BC122-BC126)</f>
        <v>0</v>
      </c>
      <c r="BD127" s="23">
        <f t="shared" ref="BD127" si="904">IF(BD122=0,BD123-BD126,BD122-BD126)</f>
        <v>0</v>
      </c>
      <c r="BE127" s="23">
        <f t="shared" ref="BE127" si="905">IF(BE122=0,BE123-BE126,BE122-BE126)</f>
        <v>0</v>
      </c>
      <c r="BF127" s="23">
        <f t="shared" ref="BF127" si="906">IF(BF122=0,BF123-BF126,BF122-BF126)</f>
        <v>0</v>
      </c>
      <c r="BG127" s="23">
        <f t="shared" ref="BG127" si="907">IF(BG122=0,BG123-BG126,BG122-BG126)</f>
        <v>0</v>
      </c>
      <c r="BH127" s="23">
        <f t="shared" ref="BH127" si="908">IF(BH122=0,BH123-BH126,BH122-BH126)</f>
        <v>0</v>
      </c>
      <c r="BI127" s="23">
        <f t="shared" ref="BI127" si="909">IF(BI122=0,BI123-BI126,BI122-BI126)</f>
        <v>0</v>
      </c>
      <c r="BJ127" s="23">
        <f t="shared" ref="BJ127" si="910">IF(BJ122=0,BJ123-BJ126,BJ122-BJ126)</f>
        <v>0</v>
      </c>
      <c r="BK127" s="23">
        <f t="shared" ref="BK127" si="911">IF(BK122=0,BK123-BK126,BK122-BK126)</f>
        <v>0</v>
      </c>
      <c r="BL127" s="23">
        <f t="shared" ref="BL127" si="912">IF(BL122=0,BL123-BL126,BL122-BL126)</f>
        <v>0</v>
      </c>
      <c r="BM127" s="23">
        <f t="shared" ref="BM127" si="913">IF(BM122=0,BM123-BM126,BM122-BM126)</f>
        <v>0</v>
      </c>
      <c r="BN127" s="23">
        <f t="shared" ref="BN127" si="914">IF(BN122=0,BN123-BN126,BN122-BN126)</f>
        <v>0</v>
      </c>
    </row>
    <row r="128" spans="3:66" x14ac:dyDescent="0.2">
      <c r="C128" s="322"/>
      <c r="D128" s="23" t="s">
        <v>10</v>
      </c>
      <c r="E128" s="72">
        <v>2.2000000000000001E-3</v>
      </c>
      <c r="F128" s="54">
        <v>2.2000000000000001E-3</v>
      </c>
      <c r="G128" s="54">
        <v>2.2000000000000001E-3</v>
      </c>
      <c r="H128" s="54">
        <v>2.2000000000000001E-3</v>
      </c>
      <c r="I128" s="54">
        <v>2.2000000000000001E-3</v>
      </c>
      <c r="J128" s="54">
        <v>2.2000000000000001E-3</v>
      </c>
      <c r="K128" s="54">
        <v>2.2000000000000001E-3</v>
      </c>
      <c r="L128" s="54">
        <v>2.2000000000000001E-3</v>
      </c>
      <c r="M128" s="54">
        <v>2.2000000000000001E-3</v>
      </c>
      <c r="N128" s="54">
        <v>2.2000000000000001E-3</v>
      </c>
      <c r="O128" s="54">
        <v>2.2000000000000001E-3</v>
      </c>
      <c r="P128" s="54">
        <v>2.2000000000000001E-3</v>
      </c>
      <c r="Q128" s="54">
        <v>2.2000000000000001E-3</v>
      </c>
      <c r="R128" s="54">
        <v>2.2000000000000001E-3</v>
      </c>
      <c r="S128" s="54">
        <v>2.2000000000000001E-3</v>
      </c>
      <c r="T128" s="54">
        <v>2.2000000000000001E-3</v>
      </c>
      <c r="U128" s="54">
        <v>2.2000000000000001E-3</v>
      </c>
      <c r="V128" s="54">
        <v>2.2000000000000001E-3</v>
      </c>
      <c r="W128" s="54">
        <v>2.2000000000000001E-3</v>
      </c>
      <c r="X128" s="54">
        <v>2.2000000000000001E-3</v>
      </c>
      <c r="Y128" s="54">
        <v>2.2000000000000001E-3</v>
      </c>
      <c r="Z128" s="54">
        <v>2.2000000000000001E-3</v>
      </c>
      <c r="AA128" s="54">
        <v>2.2000000000000001E-3</v>
      </c>
      <c r="AB128" s="54">
        <v>2.2000000000000001E-3</v>
      </c>
      <c r="AC128" s="54">
        <v>2.2000000000000001E-3</v>
      </c>
      <c r="AD128" s="54">
        <v>2.2000000000000001E-3</v>
      </c>
      <c r="AE128" s="54">
        <v>2.2000000000000001E-3</v>
      </c>
      <c r="AF128" s="54">
        <v>2.2000000000000001E-3</v>
      </c>
      <c r="AG128" s="54">
        <v>2.2000000000000001E-3</v>
      </c>
      <c r="AH128" s="54">
        <v>2.2000000000000001E-3</v>
      </c>
      <c r="AI128" s="54">
        <v>2.2000000000000001E-3</v>
      </c>
      <c r="AJ128" s="54">
        <v>2.2000000000000001E-3</v>
      </c>
      <c r="AK128" s="54">
        <v>2.2000000000000001E-3</v>
      </c>
      <c r="AL128" s="54">
        <v>2.2000000000000001E-3</v>
      </c>
      <c r="AM128" s="54">
        <v>2.2000000000000001E-3</v>
      </c>
      <c r="AN128" s="54">
        <v>2.2000000000000001E-3</v>
      </c>
      <c r="AO128" s="54">
        <v>2.2000000000000001E-3</v>
      </c>
      <c r="AP128" s="54">
        <v>2.2000000000000001E-3</v>
      </c>
      <c r="AQ128" s="54">
        <v>2.2000000000000001E-3</v>
      </c>
      <c r="AR128" s="54">
        <v>2.2000000000000001E-3</v>
      </c>
      <c r="AS128" s="54">
        <v>2.2000000000000001E-3</v>
      </c>
      <c r="AT128" s="54">
        <v>2.2000000000000001E-3</v>
      </c>
      <c r="AU128" s="54">
        <v>2.2000000000000001E-3</v>
      </c>
      <c r="AV128" s="54">
        <v>2.2000000000000001E-3</v>
      </c>
      <c r="AW128" s="54">
        <v>2.2000000000000001E-3</v>
      </c>
      <c r="AX128" s="54">
        <v>2.2000000000000001E-3</v>
      </c>
      <c r="AY128" s="54">
        <v>2.2000000000000001E-3</v>
      </c>
      <c r="AZ128" s="54">
        <v>2.2000000000000001E-3</v>
      </c>
      <c r="BA128" s="54">
        <v>2.2000000000000001E-3</v>
      </c>
      <c r="BB128" s="54">
        <v>2.2000000000000001E-3</v>
      </c>
      <c r="BC128" s="54">
        <v>2.2000000000000001E-3</v>
      </c>
      <c r="BD128" s="54">
        <v>2.2000000000000001E-3</v>
      </c>
      <c r="BE128" s="54">
        <v>2.2000000000000001E-3</v>
      </c>
      <c r="BF128" s="54">
        <v>2.2000000000000001E-3</v>
      </c>
      <c r="BG128" s="54">
        <v>2.2000000000000001E-3</v>
      </c>
      <c r="BH128" s="54">
        <v>2.2000000000000001E-3</v>
      </c>
      <c r="BI128" s="54">
        <v>2.2000000000000001E-3</v>
      </c>
      <c r="BJ128" s="54">
        <v>2.2000000000000001E-3</v>
      </c>
      <c r="BK128" s="54">
        <v>2.2000000000000001E-3</v>
      </c>
      <c r="BL128" s="54">
        <v>2.2000000000000001E-3</v>
      </c>
      <c r="BM128" s="54">
        <v>2.2000000000000001E-3</v>
      </c>
      <c r="BN128" s="54">
        <v>2.2000000000000001E-3</v>
      </c>
    </row>
    <row r="129" spans="3:66" x14ac:dyDescent="0.2">
      <c r="C129" s="322"/>
      <c r="D129" s="23" t="s">
        <v>12</v>
      </c>
      <c r="E129" s="27">
        <f>SUM(F129:AY129)</f>
        <v>1940.3060444839616</v>
      </c>
      <c r="F129" s="29">
        <f>+F127*F128</f>
        <v>-0.34046429978662246</v>
      </c>
      <c r="G129" s="29">
        <f>+G127*G128</f>
        <v>919.25360942388079</v>
      </c>
      <c r="H129" s="29">
        <f>+H127*H128</f>
        <v>1021.3928993598676</v>
      </c>
      <c r="I129" s="29">
        <f t="shared" ref="I129:BM129" si="915">+I127*I128</f>
        <v>0</v>
      </c>
      <c r="J129" s="29">
        <f t="shared" si="915"/>
        <v>0</v>
      </c>
      <c r="K129" s="29">
        <f t="shared" si="915"/>
        <v>0</v>
      </c>
      <c r="L129" s="29">
        <f t="shared" si="915"/>
        <v>0</v>
      </c>
      <c r="M129" s="29">
        <f t="shared" si="915"/>
        <v>0</v>
      </c>
      <c r="N129" s="29">
        <f t="shared" si="915"/>
        <v>0</v>
      </c>
      <c r="O129" s="29">
        <v>0</v>
      </c>
      <c r="P129" s="29">
        <f t="shared" si="915"/>
        <v>0</v>
      </c>
      <c r="Q129" s="29">
        <f t="shared" si="915"/>
        <v>0</v>
      </c>
      <c r="R129" s="29">
        <f t="shared" si="915"/>
        <v>0</v>
      </c>
      <c r="S129" s="29">
        <f t="shared" si="915"/>
        <v>0</v>
      </c>
      <c r="T129" s="29">
        <f t="shared" si="915"/>
        <v>0</v>
      </c>
      <c r="U129" s="29">
        <f t="shared" si="915"/>
        <v>0</v>
      </c>
      <c r="V129" s="29">
        <f t="shared" si="915"/>
        <v>0</v>
      </c>
      <c r="W129" s="29">
        <f t="shared" si="915"/>
        <v>0</v>
      </c>
      <c r="X129" s="29">
        <f t="shared" si="915"/>
        <v>0</v>
      </c>
      <c r="Y129" s="29">
        <f t="shared" si="915"/>
        <v>0</v>
      </c>
      <c r="Z129" s="29">
        <f t="shared" si="915"/>
        <v>0</v>
      </c>
      <c r="AA129" s="29">
        <f t="shared" si="915"/>
        <v>0</v>
      </c>
      <c r="AB129" s="29">
        <f t="shared" si="915"/>
        <v>0</v>
      </c>
      <c r="AC129" s="29">
        <f t="shared" si="915"/>
        <v>0</v>
      </c>
      <c r="AD129" s="29">
        <f t="shared" si="915"/>
        <v>0</v>
      </c>
      <c r="AE129" s="29">
        <v>0</v>
      </c>
      <c r="AF129" s="29">
        <f t="shared" si="915"/>
        <v>0</v>
      </c>
      <c r="AG129" s="29">
        <f t="shared" si="915"/>
        <v>0</v>
      </c>
      <c r="AH129" s="29">
        <f t="shared" si="915"/>
        <v>0</v>
      </c>
      <c r="AI129" s="29">
        <f t="shared" si="915"/>
        <v>0</v>
      </c>
      <c r="AJ129" s="29">
        <f t="shared" si="915"/>
        <v>0</v>
      </c>
      <c r="AK129" s="29">
        <f t="shared" si="915"/>
        <v>0</v>
      </c>
      <c r="AL129" s="29">
        <f t="shared" si="915"/>
        <v>0</v>
      </c>
      <c r="AM129" s="29">
        <f t="shared" si="915"/>
        <v>0</v>
      </c>
      <c r="AN129" s="29">
        <f t="shared" si="915"/>
        <v>0</v>
      </c>
      <c r="AO129" s="29">
        <f t="shared" si="915"/>
        <v>0</v>
      </c>
      <c r="AP129" s="29">
        <v>0</v>
      </c>
      <c r="AQ129" s="29">
        <f t="shared" si="915"/>
        <v>0</v>
      </c>
      <c r="AR129" s="29">
        <f t="shared" si="915"/>
        <v>0</v>
      </c>
      <c r="AS129" s="29">
        <v>0</v>
      </c>
      <c r="AT129" s="29">
        <f t="shared" si="915"/>
        <v>0</v>
      </c>
      <c r="AU129" s="29">
        <f t="shared" si="915"/>
        <v>0</v>
      </c>
      <c r="AV129" s="29">
        <f t="shared" si="915"/>
        <v>0</v>
      </c>
      <c r="AW129" s="29">
        <f t="shared" si="915"/>
        <v>0</v>
      </c>
      <c r="AX129" s="29">
        <f t="shared" si="915"/>
        <v>0</v>
      </c>
      <c r="AY129" s="29">
        <f t="shared" si="915"/>
        <v>0</v>
      </c>
      <c r="AZ129" s="29">
        <f t="shared" si="915"/>
        <v>0</v>
      </c>
      <c r="BA129" s="29">
        <f t="shared" si="915"/>
        <v>0</v>
      </c>
      <c r="BB129" s="29">
        <v>0</v>
      </c>
      <c r="BC129" s="29">
        <f t="shared" si="915"/>
        <v>0</v>
      </c>
      <c r="BD129" s="29">
        <f t="shared" si="915"/>
        <v>0</v>
      </c>
      <c r="BE129" s="29">
        <f t="shared" si="915"/>
        <v>0</v>
      </c>
      <c r="BF129" s="29">
        <f t="shared" si="915"/>
        <v>0</v>
      </c>
      <c r="BG129" s="29">
        <v>0</v>
      </c>
      <c r="BH129" s="29">
        <f t="shared" si="915"/>
        <v>0</v>
      </c>
      <c r="BI129" s="29">
        <f t="shared" si="915"/>
        <v>0</v>
      </c>
      <c r="BJ129" s="29">
        <f t="shared" si="915"/>
        <v>0</v>
      </c>
      <c r="BK129" s="29">
        <f t="shared" si="915"/>
        <v>0</v>
      </c>
      <c r="BL129" s="29">
        <f t="shared" ref="BL129" si="916">+BL127*BL128</f>
        <v>0</v>
      </c>
      <c r="BM129" s="29">
        <f t="shared" si="915"/>
        <v>0</v>
      </c>
      <c r="BN129" s="29">
        <v>0</v>
      </c>
    </row>
    <row r="130" spans="3:66" ht="13.5" thickBot="1" x14ac:dyDescent="0.25">
      <c r="C130" s="323"/>
      <c r="D130" s="25" t="s">
        <v>11</v>
      </c>
      <c r="E130" s="30">
        <f>SUM(F130:BN130)</f>
        <v>883897.59899173921</v>
      </c>
      <c r="F130" s="46">
        <f>+F127+F129</f>
        <v>-155.09696420279681</v>
      </c>
      <c r="G130" s="46">
        <f>+G127+G129</f>
        <v>418761.8033475515</v>
      </c>
      <c r="H130" s="46">
        <f t="shared" ref="H130:BN130" si="917">+H127+H129</f>
        <v>465290.89260839054</v>
      </c>
      <c r="I130" s="46">
        <f t="shared" si="917"/>
        <v>0</v>
      </c>
      <c r="J130" s="46">
        <f t="shared" si="917"/>
        <v>0</v>
      </c>
      <c r="K130" s="46">
        <f t="shared" si="917"/>
        <v>0</v>
      </c>
      <c r="L130" s="46">
        <f t="shared" si="917"/>
        <v>0</v>
      </c>
      <c r="M130" s="46">
        <f t="shared" si="917"/>
        <v>0</v>
      </c>
      <c r="N130" s="46">
        <f t="shared" si="917"/>
        <v>0</v>
      </c>
      <c r="O130" s="46">
        <f t="shared" si="917"/>
        <v>0</v>
      </c>
      <c r="P130" s="46">
        <f t="shared" si="917"/>
        <v>0</v>
      </c>
      <c r="Q130" s="46">
        <f t="shared" si="917"/>
        <v>0</v>
      </c>
      <c r="R130" s="46">
        <f t="shared" si="917"/>
        <v>0</v>
      </c>
      <c r="S130" s="46">
        <f t="shared" si="917"/>
        <v>0</v>
      </c>
      <c r="T130" s="46">
        <f t="shared" si="917"/>
        <v>0</v>
      </c>
      <c r="U130" s="46">
        <f t="shared" si="917"/>
        <v>0</v>
      </c>
      <c r="V130" s="46">
        <f t="shared" si="917"/>
        <v>0</v>
      </c>
      <c r="W130" s="46">
        <f t="shared" si="917"/>
        <v>0</v>
      </c>
      <c r="X130" s="46">
        <f t="shared" si="917"/>
        <v>0</v>
      </c>
      <c r="Y130" s="46">
        <f t="shared" si="917"/>
        <v>0</v>
      </c>
      <c r="Z130" s="46">
        <f t="shared" si="917"/>
        <v>0</v>
      </c>
      <c r="AA130" s="46">
        <f t="shared" si="917"/>
        <v>0</v>
      </c>
      <c r="AB130" s="46">
        <f t="shared" si="917"/>
        <v>0</v>
      </c>
      <c r="AC130" s="46">
        <f t="shared" si="917"/>
        <v>0</v>
      </c>
      <c r="AD130" s="46">
        <f t="shared" si="917"/>
        <v>0</v>
      </c>
      <c r="AE130" s="46">
        <f t="shared" si="917"/>
        <v>0</v>
      </c>
      <c r="AF130" s="46">
        <f t="shared" si="917"/>
        <v>0</v>
      </c>
      <c r="AG130" s="46">
        <f t="shared" si="917"/>
        <v>0</v>
      </c>
      <c r="AH130" s="46">
        <f t="shared" si="917"/>
        <v>0</v>
      </c>
      <c r="AI130" s="46">
        <f t="shared" si="917"/>
        <v>0</v>
      </c>
      <c r="AJ130" s="46">
        <f t="shared" si="917"/>
        <v>0</v>
      </c>
      <c r="AK130" s="46">
        <f t="shared" si="917"/>
        <v>0</v>
      </c>
      <c r="AL130" s="46">
        <f t="shared" si="917"/>
        <v>0</v>
      </c>
      <c r="AM130" s="46">
        <f t="shared" si="917"/>
        <v>0</v>
      </c>
      <c r="AN130" s="46">
        <f t="shared" si="917"/>
        <v>0</v>
      </c>
      <c r="AO130" s="46">
        <f t="shared" si="917"/>
        <v>0</v>
      </c>
      <c r="AP130" s="46">
        <f t="shared" si="917"/>
        <v>0</v>
      </c>
      <c r="AQ130" s="46">
        <f t="shared" si="917"/>
        <v>0</v>
      </c>
      <c r="AR130" s="46">
        <f t="shared" si="917"/>
        <v>0</v>
      </c>
      <c r="AS130" s="46">
        <f t="shared" si="917"/>
        <v>0</v>
      </c>
      <c r="AT130" s="46">
        <f>+AT127+AT129</f>
        <v>0</v>
      </c>
      <c r="AU130" s="46">
        <f t="shared" si="917"/>
        <v>0</v>
      </c>
      <c r="AV130" s="46">
        <f t="shared" si="917"/>
        <v>0</v>
      </c>
      <c r="AW130" s="46">
        <f t="shared" si="917"/>
        <v>0</v>
      </c>
      <c r="AX130" s="46">
        <f>+AX127+AX129</f>
        <v>0</v>
      </c>
      <c r="AY130" s="46">
        <f t="shared" si="917"/>
        <v>0</v>
      </c>
      <c r="AZ130" s="46">
        <f t="shared" si="917"/>
        <v>0</v>
      </c>
      <c r="BA130" s="46">
        <f t="shared" si="917"/>
        <v>0</v>
      </c>
      <c r="BB130" s="46">
        <f t="shared" si="917"/>
        <v>0</v>
      </c>
      <c r="BC130" s="46">
        <f t="shared" si="917"/>
        <v>0</v>
      </c>
      <c r="BD130" s="46">
        <f t="shared" si="917"/>
        <v>0</v>
      </c>
      <c r="BE130" s="46">
        <f t="shared" si="917"/>
        <v>0</v>
      </c>
      <c r="BF130" s="46">
        <f t="shared" si="917"/>
        <v>0</v>
      </c>
      <c r="BG130" s="46">
        <f t="shared" si="917"/>
        <v>0</v>
      </c>
      <c r="BH130" s="46">
        <f t="shared" si="917"/>
        <v>0</v>
      </c>
      <c r="BI130" s="46">
        <f t="shared" si="917"/>
        <v>0</v>
      </c>
      <c r="BJ130" s="46">
        <f t="shared" si="917"/>
        <v>0</v>
      </c>
      <c r="BK130" s="46">
        <f t="shared" si="917"/>
        <v>0</v>
      </c>
      <c r="BL130" s="46">
        <f>+BL127+BL129</f>
        <v>0</v>
      </c>
      <c r="BM130" s="46">
        <f t="shared" si="917"/>
        <v>0</v>
      </c>
      <c r="BN130" s="46">
        <f t="shared" si="917"/>
        <v>0</v>
      </c>
    </row>
    <row r="131" spans="3:66" x14ac:dyDescent="0.2">
      <c r="C131" s="321">
        <v>44013</v>
      </c>
      <c r="D131" s="20" t="s">
        <v>5</v>
      </c>
      <c r="E131" s="50">
        <f>SUM(F131:BN131)</f>
        <v>0</v>
      </c>
      <c r="F131" s="279">
        <f>IF(F$6=$C131,F$7,0)</f>
        <v>0</v>
      </c>
      <c r="G131" s="279">
        <f t="shared" ref="G131:BN131" si="918">IF(G$6=$C131,G$7,0)</f>
        <v>0</v>
      </c>
      <c r="H131" s="279">
        <f t="shared" si="918"/>
        <v>0</v>
      </c>
      <c r="I131" s="279">
        <f t="shared" si="918"/>
        <v>0</v>
      </c>
      <c r="J131" s="279">
        <f t="shared" si="918"/>
        <v>0</v>
      </c>
      <c r="K131" s="279">
        <f t="shared" si="918"/>
        <v>0</v>
      </c>
      <c r="L131" s="279">
        <f t="shared" si="918"/>
        <v>0</v>
      </c>
      <c r="M131" s="279">
        <f t="shared" si="918"/>
        <v>0</v>
      </c>
      <c r="N131" s="279">
        <f t="shared" si="918"/>
        <v>0</v>
      </c>
      <c r="O131" s="279">
        <f t="shared" si="918"/>
        <v>0</v>
      </c>
      <c r="P131" s="279">
        <f t="shared" si="918"/>
        <v>0</v>
      </c>
      <c r="Q131" s="279">
        <f t="shared" si="918"/>
        <v>0</v>
      </c>
      <c r="R131" s="279">
        <f t="shared" si="918"/>
        <v>0</v>
      </c>
      <c r="S131" s="279">
        <f t="shared" si="918"/>
        <v>0</v>
      </c>
      <c r="T131" s="279">
        <f t="shared" si="918"/>
        <v>0</v>
      </c>
      <c r="U131" s="279">
        <f t="shared" si="918"/>
        <v>0</v>
      </c>
      <c r="V131" s="279">
        <f t="shared" si="918"/>
        <v>0</v>
      </c>
      <c r="W131" s="279">
        <f t="shared" si="918"/>
        <v>0</v>
      </c>
      <c r="X131" s="279">
        <f t="shared" si="918"/>
        <v>0</v>
      </c>
      <c r="Y131" s="279">
        <f t="shared" si="918"/>
        <v>0</v>
      </c>
      <c r="Z131" s="279">
        <f t="shared" si="918"/>
        <v>0</v>
      </c>
      <c r="AA131" s="279">
        <f t="shared" si="918"/>
        <v>0</v>
      </c>
      <c r="AB131" s="279">
        <f t="shared" si="918"/>
        <v>0</v>
      </c>
      <c r="AC131" s="279">
        <f t="shared" si="918"/>
        <v>0</v>
      </c>
      <c r="AD131" s="279">
        <f t="shared" si="918"/>
        <v>0</v>
      </c>
      <c r="AE131" s="279">
        <f t="shared" si="918"/>
        <v>0</v>
      </c>
      <c r="AF131" s="279">
        <f t="shared" si="918"/>
        <v>0</v>
      </c>
      <c r="AG131" s="279">
        <f t="shared" si="918"/>
        <v>0</v>
      </c>
      <c r="AH131" s="279">
        <f t="shared" si="918"/>
        <v>0</v>
      </c>
      <c r="AI131" s="279">
        <f t="shared" si="918"/>
        <v>0</v>
      </c>
      <c r="AJ131" s="279">
        <f t="shared" si="918"/>
        <v>0</v>
      </c>
      <c r="AK131" s="279">
        <f t="shared" si="918"/>
        <v>0</v>
      </c>
      <c r="AL131" s="279">
        <f t="shared" si="918"/>
        <v>0</v>
      </c>
      <c r="AM131" s="279">
        <f t="shared" si="918"/>
        <v>0</v>
      </c>
      <c r="AN131" s="279">
        <f t="shared" si="918"/>
        <v>0</v>
      </c>
      <c r="AO131" s="279">
        <f t="shared" si="918"/>
        <v>0</v>
      </c>
      <c r="AP131" s="279">
        <f t="shared" si="918"/>
        <v>0</v>
      </c>
      <c r="AQ131" s="279">
        <f t="shared" si="918"/>
        <v>0</v>
      </c>
      <c r="AR131" s="279">
        <f t="shared" si="918"/>
        <v>0</v>
      </c>
      <c r="AS131" s="279">
        <f t="shared" si="918"/>
        <v>0</v>
      </c>
      <c r="AT131" s="279">
        <f t="shared" si="918"/>
        <v>0</v>
      </c>
      <c r="AU131" s="279">
        <f t="shared" si="918"/>
        <v>0</v>
      </c>
      <c r="AV131" s="279">
        <f t="shared" si="918"/>
        <v>0</v>
      </c>
      <c r="AW131" s="279">
        <f t="shared" si="918"/>
        <v>0</v>
      </c>
      <c r="AX131" s="279">
        <f t="shared" si="918"/>
        <v>0</v>
      </c>
      <c r="AY131" s="279">
        <f t="shared" si="918"/>
        <v>0</v>
      </c>
      <c r="AZ131" s="279">
        <f t="shared" si="918"/>
        <v>0</v>
      </c>
      <c r="BA131" s="279">
        <f t="shared" si="918"/>
        <v>0</v>
      </c>
      <c r="BB131" s="279">
        <f t="shared" si="918"/>
        <v>0</v>
      </c>
      <c r="BC131" s="279">
        <f t="shared" si="918"/>
        <v>0</v>
      </c>
      <c r="BD131" s="279">
        <f t="shared" si="918"/>
        <v>0</v>
      </c>
      <c r="BE131" s="279">
        <f t="shared" si="918"/>
        <v>0</v>
      </c>
      <c r="BF131" s="279">
        <f t="shared" si="918"/>
        <v>0</v>
      </c>
      <c r="BG131" s="279">
        <f t="shared" si="918"/>
        <v>0</v>
      </c>
      <c r="BH131" s="279">
        <f t="shared" si="918"/>
        <v>0</v>
      </c>
      <c r="BI131" s="279">
        <f t="shared" si="918"/>
        <v>0</v>
      </c>
      <c r="BJ131" s="279">
        <f t="shared" si="918"/>
        <v>0</v>
      </c>
      <c r="BK131" s="279">
        <f t="shared" si="918"/>
        <v>0</v>
      </c>
      <c r="BL131" s="279">
        <f t="shared" si="918"/>
        <v>0</v>
      </c>
      <c r="BM131" s="279">
        <f t="shared" si="918"/>
        <v>0</v>
      </c>
      <c r="BN131" s="279">
        <f t="shared" si="918"/>
        <v>0</v>
      </c>
    </row>
    <row r="132" spans="3:66" x14ac:dyDescent="0.2">
      <c r="C132" s="322"/>
      <c r="D132" s="23" t="s">
        <v>7</v>
      </c>
      <c r="E132" s="91">
        <f>SUM(F132:BN132)</f>
        <v>14.640000000000011</v>
      </c>
      <c r="F132" s="28">
        <f>IF(F131="",VLOOKUP($C131,'CUSTOS REALIZADOS'!$A$11:$E$995,4),(VLOOKUP($C131,'CUSTOS REALIZADOS'!$A$11:$E$995,5)))</f>
        <v>0.24000000000000002</v>
      </c>
      <c r="G132" s="28">
        <f>IF(G131="",VLOOKUP($C131,'CUSTOS REALIZADOS'!$A$11:$E$995,4),(VLOOKUP($C131,'CUSTOS REALIZADOS'!$A$11:$E$995,5)))</f>
        <v>0.24000000000000002</v>
      </c>
      <c r="H132" s="28">
        <f>IF(H131="",VLOOKUP($C131,'CUSTOS REALIZADOS'!$A$11:$E$995,4),(VLOOKUP($C131,'CUSTOS REALIZADOS'!$A$11:$E$995,5)))</f>
        <v>0.24000000000000002</v>
      </c>
      <c r="I132" s="28">
        <f>IF(I131="",VLOOKUP($C131,'CUSTOS REALIZADOS'!$A$11:$E$995,4),(VLOOKUP($C131,'CUSTOS REALIZADOS'!$A$11:$E$995,5)))</f>
        <v>0.24000000000000002</v>
      </c>
      <c r="J132" s="28">
        <f>IF(J131="",VLOOKUP($C131,'CUSTOS REALIZADOS'!$A$11:$E$995,4),(VLOOKUP($C131,'CUSTOS REALIZADOS'!$A$11:$E$995,5)))</f>
        <v>0.24000000000000002</v>
      </c>
      <c r="K132" s="28">
        <f>IF(K131="",VLOOKUP($C131,'CUSTOS REALIZADOS'!$A$11:$E$995,4),(VLOOKUP($C131,'CUSTOS REALIZADOS'!$A$11:$E$995,5)))</f>
        <v>0.24000000000000002</v>
      </c>
      <c r="L132" s="28">
        <f>IF(L131="",VLOOKUP($C131,'CUSTOS REALIZADOS'!$A$11:$E$995,4),(VLOOKUP($C131,'CUSTOS REALIZADOS'!$A$11:$E$995,5)))</f>
        <v>0.24000000000000002</v>
      </c>
      <c r="M132" s="28">
        <f>IF(M131="",VLOOKUP($C131,'CUSTOS REALIZADOS'!$A$11:$E$995,4),(VLOOKUP($C131,'CUSTOS REALIZADOS'!$A$11:$E$995,5)))</f>
        <v>0.24000000000000002</v>
      </c>
      <c r="N132" s="28">
        <f>IF(N131="",VLOOKUP($C131,'CUSTOS REALIZADOS'!$A$11:$E$995,4),(VLOOKUP($C131,'CUSTOS REALIZADOS'!$A$11:$E$995,5)))</f>
        <v>0.24000000000000002</v>
      </c>
      <c r="O132" s="28">
        <f>IF(O131="",VLOOKUP($C131,'CUSTOS REALIZADOS'!$A$11:$E$995,4),(VLOOKUP($C131,'CUSTOS REALIZADOS'!$A$11:$E$995,5)))</f>
        <v>0.24000000000000002</v>
      </c>
      <c r="P132" s="28">
        <f>IF(P131="",VLOOKUP($C131,'CUSTOS REALIZADOS'!$A$11:$E$995,4),(VLOOKUP($C131,'CUSTOS REALIZADOS'!$A$11:$E$995,5)))</f>
        <v>0.24000000000000002</v>
      </c>
      <c r="Q132" s="28">
        <f>IF(Q131="",VLOOKUP($C131,'CUSTOS REALIZADOS'!$A$11:$E$995,4),(VLOOKUP($C131,'CUSTOS REALIZADOS'!$A$11:$E$995,5)))</f>
        <v>0.24000000000000002</v>
      </c>
      <c r="R132" s="28">
        <f>IF(R131="",VLOOKUP($C131,'CUSTOS REALIZADOS'!$A$11:$E$995,4),(VLOOKUP($C131,'CUSTOS REALIZADOS'!$A$11:$E$995,5)))</f>
        <v>0.24000000000000002</v>
      </c>
      <c r="S132" s="28">
        <f>IF(S131="",VLOOKUP($C131,'CUSTOS REALIZADOS'!$A$11:$E$995,4),(VLOOKUP($C131,'CUSTOS REALIZADOS'!$A$11:$E$995,5)))</f>
        <v>0.24000000000000002</v>
      </c>
      <c r="T132" s="28">
        <f>IF(T131="",VLOOKUP($C131,'CUSTOS REALIZADOS'!$A$11:$E$995,4),(VLOOKUP($C131,'CUSTOS REALIZADOS'!$A$11:$E$995,5)))</f>
        <v>0.24000000000000002</v>
      </c>
      <c r="U132" s="28">
        <f>IF(U131="",VLOOKUP($C131,'CUSTOS REALIZADOS'!$A$11:$E$995,4),(VLOOKUP($C131,'CUSTOS REALIZADOS'!$A$11:$E$995,5)))</f>
        <v>0.24000000000000002</v>
      </c>
      <c r="V132" s="28">
        <f>IF(V131="",VLOOKUP($C131,'CUSTOS REALIZADOS'!$A$11:$E$995,4),(VLOOKUP($C131,'CUSTOS REALIZADOS'!$A$11:$E$995,5)))</f>
        <v>0.24000000000000002</v>
      </c>
      <c r="W132" s="28">
        <f>IF(W131="",VLOOKUP($C131,'CUSTOS REALIZADOS'!$A$11:$E$995,4),(VLOOKUP($C131,'CUSTOS REALIZADOS'!$A$11:$E$995,5)))</f>
        <v>0.24000000000000002</v>
      </c>
      <c r="X132" s="28">
        <f>IF(X131="",VLOOKUP($C131,'CUSTOS REALIZADOS'!$A$11:$E$995,4),(VLOOKUP($C131,'CUSTOS REALIZADOS'!$A$11:$E$995,5)))</f>
        <v>0.24000000000000002</v>
      </c>
      <c r="Y132" s="28">
        <f>IF(Y131="",VLOOKUP($C131,'CUSTOS REALIZADOS'!$A$11:$E$995,4),(VLOOKUP($C131,'CUSTOS REALIZADOS'!$A$11:$E$995,5)))</f>
        <v>0.24000000000000002</v>
      </c>
      <c r="Z132" s="28">
        <f>IF(Z131="",VLOOKUP($C131,'CUSTOS REALIZADOS'!$A$11:$E$995,4),(VLOOKUP($C131,'CUSTOS REALIZADOS'!$A$11:$E$995,5)))</f>
        <v>0.24000000000000002</v>
      </c>
      <c r="AA132" s="28">
        <f>IF(AA131="",VLOOKUP($C131,'CUSTOS REALIZADOS'!$A$11:$E$995,4),(VLOOKUP($C131,'CUSTOS REALIZADOS'!$A$11:$E$995,5)))</f>
        <v>0.24000000000000002</v>
      </c>
      <c r="AB132" s="28">
        <f>IF(AB131="",VLOOKUP($C131,'CUSTOS REALIZADOS'!$A$11:$E$995,4),(VLOOKUP($C131,'CUSTOS REALIZADOS'!$A$11:$E$995,5)))</f>
        <v>0.24000000000000002</v>
      </c>
      <c r="AC132" s="28">
        <f>IF(AC131="",VLOOKUP($C131,'CUSTOS REALIZADOS'!$A$11:$E$995,4),(VLOOKUP($C131,'CUSTOS REALIZADOS'!$A$11:$E$995,5)))</f>
        <v>0.24000000000000002</v>
      </c>
      <c r="AD132" s="28">
        <f>IF(AD131="",VLOOKUP($C131,'CUSTOS REALIZADOS'!$A$11:$E$995,4),(VLOOKUP($C131,'CUSTOS REALIZADOS'!$A$11:$E$995,5)))</f>
        <v>0.24000000000000002</v>
      </c>
      <c r="AE132" s="28">
        <f>IF(AE131="",VLOOKUP($C131,'CUSTOS REALIZADOS'!$A$11:$E$995,4),(VLOOKUP($C131,'CUSTOS REALIZADOS'!$A$11:$E$995,5)))</f>
        <v>0.24000000000000002</v>
      </c>
      <c r="AF132" s="28">
        <f>IF(AF131="",VLOOKUP($C131,'CUSTOS REALIZADOS'!$A$11:$E$995,4),(VLOOKUP($C131,'CUSTOS REALIZADOS'!$A$11:$E$995,5)))</f>
        <v>0.24000000000000002</v>
      </c>
      <c r="AG132" s="28">
        <f>IF(AG131="",VLOOKUP($C131,'CUSTOS REALIZADOS'!$A$11:$E$995,4),(VLOOKUP($C131,'CUSTOS REALIZADOS'!$A$11:$E$995,5)))</f>
        <v>0.24000000000000002</v>
      </c>
      <c r="AH132" s="28">
        <f>IF(AH131="",VLOOKUP($C131,'CUSTOS REALIZADOS'!$A$11:$E$995,4),(VLOOKUP($C131,'CUSTOS REALIZADOS'!$A$11:$E$995,5)))</f>
        <v>0.24000000000000002</v>
      </c>
      <c r="AI132" s="28">
        <f>IF(AI131="",VLOOKUP($C131,'CUSTOS REALIZADOS'!$A$11:$E$995,4),(VLOOKUP($C131,'CUSTOS REALIZADOS'!$A$11:$E$995,5)))</f>
        <v>0.24000000000000002</v>
      </c>
      <c r="AJ132" s="28">
        <f>IF(AJ131="",VLOOKUP($C131,'CUSTOS REALIZADOS'!$A$11:$E$995,4),(VLOOKUP($C131,'CUSTOS REALIZADOS'!$A$11:$E$995,5)))</f>
        <v>0.24000000000000002</v>
      </c>
      <c r="AK132" s="28">
        <f>IF(AK131="",VLOOKUP($C131,'CUSTOS REALIZADOS'!$A$11:$E$995,4),(VLOOKUP($C131,'CUSTOS REALIZADOS'!$A$11:$E$995,5)))</f>
        <v>0.24000000000000002</v>
      </c>
      <c r="AL132" s="28">
        <f>IF(AL131="",VLOOKUP($C131,'CUSTOS REALIZADOS'!$A$11:$E$995,4),(VLOOKUP($C131,'CUSTOS REALIZADOS'!$A$11:$E$995,5)))</f>
        <v>0.24000000000000002</v>
      </c>
      <c r="AM132" s="28">
        <f>IF(AM131="",VLOOKUP($C131,'CUSTOS REALIZADOS'!$A$11:$E$995,4),(VLOOKUP($C131,'CUSTOS REALIZADOS'!$A$11:$E$995,5)))</f>
        <v>0.24000000000000002</v>
      </c>
      <c r="AN132" s="28">
        <f>IF(AN131="",VLOOKUP($C131,'CUSTOS REALIZADOS'!$A$11:$E$995,4),(VLOOKUP($C131,'CUSTOS REALIZADOS'!$A$11:$E$995,5)))</f>
        <v>0.24000000000000002</v>
      </c>
      <c r="AO132" s="28">
        <f>IF(AO131="",VLOOKUP($C131,'CUSTOS REALIZADOS'!$A$11:$E$995,4),(VLOOKUP($C131,'CUSTOS REALIZADOS'!$A$11:$E$995,5)))</f>
        <v>0.24000000000000002</v>
      </c>
      <c r="AP132" s="28">
        <f>IF(AP131="",VLOOKUP($C131,'CUSTOS REALIZADOS'!$A$11:$E$995,4),(VLOOKUP($C131,'CUSTOS REALIZADOS'!$A$11:$E$995,5)))</f>
        <v>0.24000000000000002</v>
      </c>
      <c r="AQ132" s="28">
        <f>IF(AQ131="",VLOOKUP($C131,'CUSTOS REALIZADOS'!$A$11:$E$995,4),(VLOOKUP($C131,'CUSTOS REALIZADOS'!$A$11:$E$995,5)))</f>
        <v>0.24000000000000002</v>
      </c>
      <c r="AR132" s="28">
        <f>IF(AR131="",VLOOKUP($C131,'CUSTOS REALIZADOS'!$A$11:$E$995,4),(VLOOKUP($C131,'CUSTOS REALIZADOS'!$A$11:$E$995,5)))</f>
        <v>0.24000000000000002</v>
      </c>
      <c r="AS132" s="28">
        <f>IF(AS131="",VLOOKUP($C131,'CUSTOS REALIZADOS'!$A$11:$E$995,4),(VLOOKUP($C131,'CUSTOS REALIZADOS'!$A$11:$E$995,5)))</f>
        <v>0.24000000000000002</v>
      </c>
      <c r="AT132" s="28">
        <f>IF(AT131="",VLOOKUP($C131,'CUSTOS REALIZADOS'!$A$11:$E$995,4),(VLOOKUP($C131,'CUSTOS REALIZADOS'!$A$11:$E$995,5)))</f>
        <v>0.24000000000000002</v>
      </c>
      <c r="AU132" s="28">
        <f>IF(AU131="",VLOOKUP($C131,'CUSTOS REALIZADOS'!$A$11:$E$995,4),(VLOOKUP($C131,'CUSTOS REALIZADOS'!$A$11:$E$995,5)))</f>
        <v>0.24000000000000002</v>
      </c>
      <c r="AV132" s="28">
        <f>IF(AV131="",VLOOKUP($C131,'CUSTOS REALIZADOS'!$A$11:$E$995,4),(VLOOKUP($C131,'CUSTOS REALIZADOS'!$A$11:$E$995,5)))</f>
        <v>0.24000000000000002</v>
      </c>
      <c r="AW132" s="28">
        <f>IF(AW131="",VLOOKUP($C131,'CUSTOS REALIZADOS'!$A$11:$E$995,4),(VLOOKUP($C131,'CUSTOS REALIZADOS'!$A$11:$E$995,5)))</f>
        <v>0.24000000000000002</v>
      </c>
      <c r="AX132" s="28">
        <f>IF(AX131="",VLOOKUP($C131,'CUSTOS REALIZADOS'!$A$11:$E$995,4),(VLOOKUP($C131,'CUSTOS REALIZADOS'!$A$11:$E$995,5)))</f>
        <v>0.24000000000000002</v>
      </c>
      <c r="AY132" s="28">
        <f>IF(AY131="",VLOOKUP($C131,'CUSTOS REALIZADOS'!$A$11:$E$995,4),(VLOOKUP($C131,'CUSTOS REALIZADOS'!$A$11:$E$995,5)))</f>
        <v>0.24000000000000002</v>
      </c>
      <c r="AZ132" s="28">
        <f>IF(AZ131="",VLOOKUP($C131,'CUSTOS REALIZADOS'!$A$11:$E$995,4),(VLOOKUP($C131,'CUSTOS REALIZADOS'!$A$11:$E$995,5)))</f>
        <v>0.24000000000000002</v>
      </c>
      <c r="BA132" s="28">
        <f>IF(BA131="",VLOOKUP($C131,'CUSTOS REALIZADOS'!$A$11:$E$995,4),(VLOOKUP($C131,'CUSTOS REALIZADOS'!$A$11:$E$995,5)))</f>
        <v>0.24000000000000002</v>
      </c>
      <c r="BB132" s="28">
        <f>IF(BB131="",VLOOKUP($C131,'CUSTOS REALIZADOS'!$A$11:$E$995,4),(VLOOKUP($C131,'CUSTOS REALIZADOS'!$A$11:$E$995,5)))</f>
        <v>0.24000000000000002</v>
      </c>
      <c r="BC132" s="28">
        <f>IF(BC131="",VLOOKUP($C131,'CUSTOS REALIZADOS'!$A$11:$E$995,4),(VLOOKUP($C131,'CUSTOS REALIZADOS'!$A$11:$E$995,5)))</f>
        <v>0.24000000000000002</v>
      </c>
      <c r="BD132" s="28">
        <f>IF(BD131="",VLOOKUP($C131,'CUSTOS REALIZADOS'!$A$11:$E$995,4),(VLOOKUP($C131,'CUSTOS REALIZADOS'!$A$11:$E$995,5)))</f>
        <v>0.24000000000000002</v>
      </c>
      <c r="BE132" s="28">
        <f>IF(BE131="",VLOOKUP($C131,'CUSTOS REALIZADOS'!$A$11:$E$995,4),(VLOOKUP($C131,'CUSTOS REALIZADOS'!$A$11:$E$995,5)))</f>
        <v>0.24000000000000002</v>
      </c>
      <c r="BF132" s="28">
        <f>IF(BF131="",VLOOKUP($C131,'CUSTOS REALIZADOS'!$A$11:$E$995,4),(VLOOKUP($C131,'CUSTOS REALIZADOS'!$A$11:$E$995,5)))</f>
        <v>0.24000000000000002</v>
      </c>
      <c r="BG132" s="28">
        <f>IF(BG131="",VLOOKUP($C131,'CUSTOS REALIZADOS'!$A$11:$E$995,4),(VLOOKUP($C131,'CUSTOS REALIZADOS'!$A$11:$E$995,5)))</f>
        <v>0.24000000000000002</v>
      </c>
      <c r="BH132" s="28">
        <f>IF(BH131="",VLOOKUP($C131,'CUSTOS REALIZADOS'!$A$11:$E$995,4),(VLOOKUP($C131,'CUSTOS REALIZADOS'!$A$11:$E$995,5)))</f>
        <v>0.24000000000000002</v>
      </c>
      <c r="BI132" s="28">
        <f>IF(BI131="",VLOOKUP($C131,'CUSTOS REALIZADOS'!$A$11:$E$995,4),(VLOOKUP($C131,'CUSTOS REALIZADOS'!$A$11:$E$995,5)))</f>
        <v>0.24000000000000002</v>
      </c>
      <c r="BJ132" s="28">
        <f>IF(BJ131="",VLOOKUP($C131,'CUSTOS REALIZADOS'!$A$11:$E$995,4),(VLOOKUP($C131,'CUSTOS REALIZADOS'!$A$11:$E$995,5)))</f>
        <v>0.24000000000000002</v>
      </c>
      <c r="BK132" s="28">
        <f>IF(BK131="",VLOOKUP($C131,'CUSTOS REALIZADOS'!$A$11:$E$995,4),(VLOOKUP($C131,'CUSTOS REALIZADOS'!$A$11:$E$995,5)))</f>
        <v>0.24000000000000002</v>
      </c>
      <c r="BL132" s="28">
        <f>IF(BL131="",VLOOKUP($C131,'CUSTOS REALIZADOS'!$A$11:$E$995,4),(VLOOKUP($C131,'CUSTOS REALIZADOS'!$A$11:$E$995,5)))</f>
        <v>0.24000000000000002</v>
      </c>
      <c r="BM132" s="28">
        <f>IF(BM131="",VLOOKUP($C131,'CUSTOS REALIZADOS'!$A$11:$E$995,4),(VLOOKUP($C131,'CUSTOS REALIZADOS'!$A$11:$E$995,5)))</f>
        <v>0.24000000000000002</v>
      </c>
      <c r="BN132" s="28">
        <f>IF(BN131="",VLOOKUP($C131,'CUSTOS REALIZADOS'!$A$11:$E$995,4),(VLOOKUP($C131,'CUSTOS REALIZADOS'!$A$11:$E$995,5)))</f>
        <v>0.24000000000000002</v>
      </c>
    </row>
    <row r="133" spans="3:66" x14ac:dyDescent="0.2">
      <c r="C133" s="322"/>
      <c r="D133" s="23" t="s">
        <v>6</v>
      </c>
      <c r="E133" s="27">
        <f>SUM(F133:BN133)</f>
        <v>95000</v>
      </c>
      <c r="F133" s="23">
        <f>IF(AND($C131&gt;=F$6,OR($C131&lt;F$8,F$8="")),F$7*F$28,0)</f>
        <v>0</v>
      </c>
      <c r="G133" s="23">
        <f t="shared" ref="G133:BN133" si="919">IF(AND($C131&gt;=G$6,OR($C131&lt;G$8,G$8="")),G$7*G$28,0)</f>
        <v>45000</v>
      </c>
      <c r="H133" s="23">
        <f t="shared" si="919"/>
        <v>50000</v>
      </c>
      <c r="I133" s="23">
        <f t="shared" si="919"/>
        <v>0</v>
      </c>
      <c r="J133" s="23">
        <f t="shared" si="919"/>
        <v>0</v>
      </c>
      <c r="K133" s="23">
        <f t="shared" si="919"/>
        <v>0</v>
      </c>
      <c r="L133" s="23">
        <f t="shared" si="919"/>
        <v>0</v>
      </c>
      <c r="M133" s="23">
        <f t="shared" si="919"/>
        <v>0</v>
      </c>
      <c r="N133" s="23">
        <f t="shared" si="919"/>
        <v>0</v>
      </c>
      <c r="O133" s="23">
        <f t="shared" si="919"/>
        <v>0</v>
      </c>
      <c r="P133" s="23">
        <f t="shared" si="919"/>
        <v>0</v>
      </c>
      <c r="Q133" s="23">
        <f t="shared" si="919"/>
        <v>0</v>
      </c>
      <c r="R133" s="23">
        <f t="shared" si="919"/>
        <v>0</v>
      </c>
      <c r="S133" s="23">
        <f t="shared" si="919"/>
        <v>0</v>
      </c>
      <c r="T133" s="23">
        <f t="shared" si="919"/>
        <v>0</v>
      </c>
      <c r="U133" s="23">
        <f t="shared" si="919"/>
        <v>0</v>
      </c>
      <c r="V133" s="23">
        <f t="shared" si="919"/>
        <v>0</v>
      </c>
      <c r="W133" s="23">
        <f t="shared" si="919"/>
        <v>0</v>
      </c>
      <c r="X133" s="23">
        <f t="shared" si="919"/>
        <v>0</v>
      </c>
      <c r="Y133" s="23">
        <f t="shared" si="919"/>
        <v>0</v>
      </c>
      <c r="Z133" s="23">
        <f t="shared" si="919"/>
        <v>0</v>
      </c>
      <c r="AA133" s="23">
        <f t="shared" si="919"/>
        <v>0</v>
      </c>
      <c r="AB133" s="23">
        <f t="shared" si="919"/>
        <v>0</v>
      </c>
      <c r="AC133" s="23">
        <f t="shared" si="919"/>
        <v>0</v>
      </c>
      <c r="AD133" s="23">
        <f t="shared" si="919"/>
        <v>0</v>
      </c>
      <c r="AE133" s="23">
        <f t="shared" si="919"/>
        <v>0</v>
      </c>
      <c r="AF133" s="23">
        <f t="shared" si="919"/>
        <v>0</v>
      </c>
      <c r="AG133" s="23">
        <f t="shared" si="919"/>
        <v>0</v>
      </c>
      <c r="AH133" s="23">
        <f t="shared" si="919"/>
        <v>0</v>
      </c>
      <c r="AI133" s="23">
        <f t="shared" si="919"/>
        <v>0</v>
      </c>
      <c r="AJ133" s="23">
        <f t="shared" si="919"/>
        <v>0</v>
      </c>
      <c r="AK133" s="23">
        <f t="shared" si="919"/>
        <v>0</v>
      </c>
      <c r="AL133" s="23">
        <f t="shared" si="919"/>
        <v>0</v>
      </c>
      <c r="AM133" s="23">
        <f t="shared" si="919"/>
        <v>0</v>
      </c>
      <c r="AN133" s="23">
        <f t="shared" si="919"/>
        <v>0</v>
      </c>
      <c r="AO133" s="23">
        <f t="shared" si="919"/>
        <v>0</v>
      </c>
      <c r="AP133" s="23">
        <f t="shared" si="919"/>
        <v>0</v>
      </c>
      <c r="AQ133" s="23">
        <f t="shared" si="919"/>
        <v>0</v>
      </c>
      <c r="AR133" s="23">
        <f t="shared" si="919"/>
        <v>0</v>
      </c>
      <c r="AS133" s="23">
        <f t="shared" si="919"/>
        <v>0</v>
      </c>
      <c r="AT133" s="23">
        <f t="shared" si="919"/>
        <v>0</v>
      </c>
      <c r="AU133" s="23">
        <f t="shared" si="919"/>
        <v>0</v>
      </c>
      <c r="AV133" s="23">
        <f t="shared" si="919"/>
        <v>0</v>
      </c>
      <c r="AW133" s="23">
        <f t="shared" si="919"/>
        <v>0</v>
      </c>
      <c r="AX133" s="23">
        <f t="shared" si="919"/>
        <v>0</v>
      </c>
      <c r="AY133" s="23">
        <f t="shared" si="919"/>
        <v>0</v>
      </c>
      <c r="AZ133" s="23">
        <f t="shared" si="919"/>
        <v>0</v>
      </c>
      <c r="BA133" s="23">
        <f t="shared" si="919"/>
        <v>0</v>
      </c>
      <c r="BB133" s="23">
        <f t="shared" si="919"/>
        <v>0</v>
      </c>
      <c r="BC133" s="23">
        <f t="shared" si="919"/>
        <v>0</v>
      </c>
      <c r="BD133" s="23">
        <f t="shared" si="919"/>
        <v>0</v>
      </c>
      <c r="BE133" s="23">
        <f t="shared" si="919"/>
        <v>0</v>
      </c>
      <c r="BF133" s="23">
        <f t="shared" si="919"/>
        <v>0</v>
      </c>
      <c r="BG133" s="23">
        <f t="shared" si="919"/>
        <v>0</v>
      </c>
      <c r="BH133" s="23">
        <f t="shared" si="919"/>
        <v>0</v>
      </c>
      <c r="BI133" s="23">
        <f t="shared" si="919"/>
        <v>0</v>
      </c>
      <c r="BJ133" s="23">
        <f t="shared" si="919"/>
        <v>0</v>
      </c>
      <c r="BK133" s="23">
        <f t="shared" si="919"/>
        <v>0</v>
      </c>
      <c r="BL133" s="23">
        <f t="shared" si="919"/>
        <v>0</v>
      </c>
      <c r="BM133" s="23">
        <f t="shared" si="919"/>
        <v>0</v>
      </c>
      <c r="BN133" s="23">
        <f t="shared" si="919"/>
        <v>0</v>
      </c>
    </row>
    <row r="134" spans="3:66" x14ac:dyDescent="0.2">
      <c r="C134" s="322"/>
      <c r="D134" s="23" t="s">
        <v>9</v>
      </c>
      <c r="E134" s="27">
        <f>SUM(F134:BN134)</f>
        <v>0</v>
      </c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</row>
    <row r="135" spans="3:66" x14ac:dyDescent="0.2">
      <c r="C135" s="322"/>
      <c r="D135" s="23" t="s">
        <v>14</v>
      </c>
      <c r="E135" s="27">
        <f>SUM(F135:AY135)</f>
        <v>883897.59899173921</v>
      </c>
      <c r="F135" s="23">
        <f>IF(F130=0,F131-F134,F130-F134)</f>
        <v>-155.09696420279681</v>
      </c>
      <c r="G135" s="23">
        <f t="shared" ref="G135" si="920">IF(G130=0,G131-G134,G130-G134)</f>
        <v>418761.8033475515</v>
      </c>
      <c r="H135" s="23">
        <f t="shared" ref="H135" si="921">IF(H130=0,H131-H134,H130-H134)</f>
        <v>465290.89260839054</v>
      </c>
      <c r="I135" s="23">
        <f t="shared" ref="I135" si="922">IF(I130=0,I131-I134,I130-I134)</f>
        <v>0</v>
      </c>
      <c r="J135" s="23">
        <f t="shared" ref="J135" si="923">IF(J130=0,J131-J134,J130-J134)</f>
        <v>0</v>
      </c>
      <c r="K135" s="23">
        <f t="shared" ref="K135" si="924">IF(K130=0,K131-K134,K130-K134)</f>
        <v>0</v>
      </c>
      <c r="L135" s="23">
        <f t="shared" ref="L135" si="925">IF(L130=0,L131-L134,L130-L134)</f>
        <v>0</v>
      </c>
      <c r="M135" s="23">
        <f t="shared" ref="M135" si="926">IF(M130=0,M131-M134,M130-M134)</f>
        <v>0</v>
      </c>
      <c r="N135" s="23">
        <f t="shared" ref="N135" si="927">IF(N130=0,N131-N134,N130-N134)</f>
        <v>0</v>
      </c>
      <c r="O135" s="23">
        <f t="shared" ref="O135" si="928">IF(O130=0,O131-O134,O130-O134)</f>
        <v>0</v>
      </c>
      <c r="P135" s="23">
        <f t="shared" ref="P135" si="929">IF(P130=0,P131-P134,P130-P134)</f>
        <v>0</v>
      </c>
      <c r="Q135" s="23">
        <f t="shared" ref="Q135" si="930">IF(Q130=0,Q131-Q134,Q130-Q134)</f>
        <v>0</v>
      </c>
      <c r="R135" s="23">
        <f t="shared" ref="R135" si="931">IF(R130=0,R131-R134,R130-R134)</f>
        <v>0</v>
      </c>
      <c r="S135" s="23">
        <f t="shared" ref="S135" si="932">IF(S130=0,S131-S134,S130-S134)</f>
        <v>0</v>
      </c>
      <c r="T135" s="23">
        <f t="shared" ref="T135" si="933">IF(T130=0,T131-T134,T130-T134)</f>
        <v>0</v>
      </c>
      <c r="U135" s="23">
        <f t="shared" ref="U135" si="934">IF(U130=0,U131-U134,U130-U134)</f>
        <v>0</v>
      </c>
      <c r="V135" s="23">
        <f t="shared" ref="V135" si="935">IF(V130=0,V131-V134,V130-V134)</f>
        <v>0</v>
      </c>
      <c r="W135" s="23">
        <f t="shared" ref="W135" si="936">IF(W130=0,W131-W134,W130-W134)</f>
        <v>0</v>
      </c>
      <c r="X135" s="23">
        <f t="shared" ref="X135" si="937">IF(X130=0,X131-X134,X130-X134)</f>
        <v>0</v>
      </c>
      <c r="Y135" s="23">
        <f t="shared" ref="Y135" si="938">IF(Y130=0,Y131-Y134,Y130-Y134)</f>
        <v>0</v>
      </c>
      <c r="Z135" s="23">
        <f t="shared" ref="Z135" si="939">IF(Z130=0,Z131-Z134,Z130-Z134)</f>
        <v>0</v>
      </c>
      <c r="AA135" s="23">
        <f t="shared" ref="AA135" si="940">IF(AA130=0,AA131-AA134,AA130-AA134)</f>
        <v>0</v>
      </c>
      <c r="AB135" s="23">
        <f t="shared" ref="AB135" si="941">IF(AB130=0,AB131-AB134,AB130-AB134)</f>
        <v>0</v>
      </c>
      <c r="AC135" s="23">
        <f t="shared" ref="AC135" si="942">IF(AC130=0,AC131-AC134,AC130-AC134)</f>
        <v>0</v>
      </c>
      <c r="AD135" s="23">
        <f t="shared" ref="AD135" si="943">IF(AD130=0,AD131-AD134,AD130-AD134)</f>
        <v>0</v>
      </c>
      <c r="AE135" s="23">
        <f t="shared" ref="AE135" si="944">IF(AE130=0,AE131-AE134,AE130-AE134)</f>
        <v>0</v>
      </c>
      <c r="AF135" s="23">
        <f t="shared" ref="AF135" si="945">IF(AF130=0,AF131-AF134,AF130-AF134)</f>
        <v>0</v>
      </c>
      <c r="AG135" s="23">
        <f t="shared" ref="AG135" si="946">IF(AG130=0,AG131-AG134,AG130-AG134)</f>
        <v>0</v>
      </c>
      <c r="AH135" s="23">
        <f t="shared" ref="AH135" si="947">IF(AH130=0,AH131-AH134,AH130-AH134)</f>
        <v>0</v>
      </c>
      <c r="AI135" s="23">
        <f t="shared" ref="AI135" si="948">IF(AI130=0,AI131-AI134,AI130-AI134)</f>
        <v>0</v>
      </c>
      <c r="AJ135" s="23">
        <f t="shared" ref="AJ135" si="949">IF(AJ130=0,AJ131-AJ134,AJ130-AJ134)</f>
        <v>0</v>
      </c>
      <c r="AK135" s="23">
        <f t="shared" ref="AK135" si="950">IF(AK130=0,AK131-AK134,AK130-AK134)</f>
        <v>0</v>
      </c>
      <c r="AL135" s="23">
        <f t="shared" ref="AL135" si="951">IF(AL130=0,AL131-AL134,AL130-AL134)</f>
        <v>0</v>
      </c>
      <c r="AM135" s="23">
        <f t="shared" ref="AM135" si="952">IF(AM130=0,AM131-AM134,AM130-AM134)</f>
        <v>0</v>
      </c>
      <c r="AN135" s="23">
        <f t="shared" ref="AN135" si="953">IF(AN130=0,AN131-AN134,AN130-AN134)</f>
        <v>0</v>
      </c>
      <c r="AO135" s="23">
        <f t="shared" ref="AO135" si="954">IF(AO130=0,AO131-AO134,AO130-AO134)</f>
        <v>0</v>
      </c>
      <c r="AP135" s="23">
        <f t="shared" ref="AP135" si="955">IF(AP130=0,AP131-AP134,AP130-AP134)</f>
        <v>0</v>
      </c>
      <c r="AQ135" s="23">
        <f t="shared" ref="AQ135" si="956">IF(AQ130=0,AQ131-AQ134,AQ130-AQ134)</f>
        <v>0</v>
      </c>
      <c r="AR135" s="23">
        <f t="shared" ref="AR135" si="957">IF(AR130=0,AR131-AR134,AR130-AR134)</f>
        <v>0</v>
      </c>
      <c r="AS135" s="23">
        <f t="shared" ref="AS135" si="958">IF(AS130=0,AS131-AS134,AS130-AS134)</f>
        <v>0</v>
      </c>
      <c r="AT135" s="23">
        <f t="shared" ref="AT135" si="959">IF(AT130=0,AT131-AT134,AT130-AT134)</f>
        <v>0</v>
      </c>
      <c r="AU135" s="23">
        <f t="shared" ref="AU135" si="960">IF(AU130=0,AU131-AU134,AU130-AU134)</f>
        <v>0</v>
      </c>
      <c r="AV135" s="23">
        <f t="shared" ref="AV135" si="961">IF(AV130=0,AV131-AV134,AV130-AV134)</f>
        <v>0</v>
      </c>
      <c r="AW135" s="23">
        <f t="shared" ref="AW135" si="962">IF(AW130=0,AW131-AW134,AW130-AW134)</f>
        <v>0</v>
      </c>
      <c r="AX135" s="23">
        <f t="shared" ref="AX135" si="963">IF(AX130=0,AX131-AX134,AX130-AX134)</f>
        <v>0</v>
      </c>
      <c r="AY135" s="23">
        <f t="shared" ref="AY135" si="964">IF(AY130=0,AY131-AY134,AY130-AY134)</f>
        <v>0</v>
      </c>
      <c r="AZ135" s="23">
        <f t="shared" ref="AZ135" si="965">IF(AZ130=0,AZ131-AZ134,AZ130-AZ134)</f>
        <v>0</v>
      </c>
      <c r="BA135" s="23">
        <f t="shared" ref="BA135" si="966">IF(BA130=0,BA131-BA134,BA130-BA134)</f>
        <v>0</v>
      </c>
      <c r="BB135" s="23">
        <f t="shared" ref="BB135" si="967">IF(BB130=0,BB131-BB134,BB130-BB134)</f>
        <v>0</v>
      </c>
      <c r="BC135" s="23">
        <f t="shared" ref="BC135" si="968">IF(BC130=0,BC131-BC134,BC130-BC134)</f>
        <v>0</v>
      </c>
      <c r="BD135" s="23">
        <f t="shared" ref="BD135" si="969">IF(BD130=0,BD131-BD134,BD130-BD134)</f>
        <v>0</v>
      </c>
      <c r="BE135" s="23">
        <f t="shared" ref="BE135" si="970">IF(BE130=0,BE131-BE134,BE130-BE134)</f>
        <v>0</v>
      </c>
      <c r="BF135" s="23">
        <f t="shared" ref="BF135" si="971">IF(BF130=0,BF131-BF134,BF130-BF134)</f>
        <v>0</v>
      </c>
      <c r="BG135" s="23">
        <f t="shared" ref="BG135" si="972">IF(BG130=0,BG131-BG134,BG130-BG134)</f>
        <v>0</v>
      </c>
      <c r="BH135" s="23">
        <f t="shared" ref="BH135" si="973">IF(BH130=0,BH131-BH134,BH130-BH134)</f>
        <v>0</v>
      </c>
      <c r="BI135" s="23">
        <f t="shared" ref="BI135" si="974">IF(BI130=0,BI131-BI134,BI130-BI134)</f>
        <v>0</v>
      </c>
      <c r="BJ135" s="23">
        <f t="shared" ref="BJ135" si="975">IF(BJ130=0,BJ131-BJ134,BJ130-BJ134)</f>
        <v>0</v>
      </c>
      <c r="BK135" s="23">
        <f t="shared" ref="BK135" si="976">IF(BK130=0,BK131-BK134,BK130-BK134)</f>
        <v>0</v>
      </c>
      <c r="BL135" s="23">
        <f t="shared" ref="BL135" si="977">IF(BL130=0,BL131-BL134,BL130-BL134)</f>
        <v>0</v>
      </c>
      <c r="BM135" s="23">
        <f t="shared" ref="BM135" si="978">IF(BM130=0,BM131-BM134,BM130-BM134)</f>
        <v>0</v>
      </c>
      <c r="BN135" s="23">
        <f t="shared" ref="BN135" si="979">IF(BN130=0,BN131-BN134,BN130-BN134)</f>
        <v>0</v>
      </c>
    </row>
    <row r="136" spans="3:66" x14ac:dyDescent="0.2">
      <c r="C136" s="322"/>
      <c r="D136" s="23" t="s">
        <v>10</v>
      </c>
      <c r="E136" s="72">
        <v>2E-3</v>
      </c>
      <c r="F136" s="54">
        <v>2E-3</v>
      </c>
      <c r="G136" s="54">
        <v>2E-3</v>
      </c>
      <c r="H136" s="54">
        <v>2E-3</v>
      </c>
      <c r="I136" s="54">
        <v>2E-3</v>
      </c>
      <c r="J136" s="54">
        <v>2E-3</v>
      </c>
      <c r="K136" s="54">
        <v>2E-3</v>
      </c>
      <c r="L136" s="54">
        <v>2E-3</v>
      </c>
      <c r="M136" s="54">
        <v>2E-3</v>
      </c>
      <c r="N136" s="54">
        <v>2E-3</v>
      </c>
      <c r="O136" s="54">
        <v>2E-3</v>
      </c>
      <c r="P136" s="54">
        <v>2E-3</v>
      </c>
      <c r="Q136" s="54">
        <v>2E-3</v>
      </c>
      <c r="R136" s="54">
        <v>2E-3</v>
      </c>
      <c r="S136" s="54">
        <v>2E-3</v>
      </c>
      <c r="T136" s="54">
        <v>2E-3</v>
      </c>
      <c r="U136" s="54">
        <v>2E-3</v>
      </c>
      <c r="V136" s="54">
        <v>2E-3</v>
      </c>
      <c r="W136" s="54">
        <v>2E-3</v>
      </c>
      <c r="X136" s="54">
        <v>2E-3</v>
      </c>
      <c r="Y136" s="54">
        <v>2E-3</v>
      </c>
      <c r="Z136" s="54">
        <v>2E-3</v>
      </c>
      <c r="AA136" s="54">
        <v>2E-3</v>
      </c>
      <c r="AB136" s="54">
        <v>2E-3</v>
      </c>
      <c r="AC136" s="54">
        <v>2E-3</v>
      </c>
      <c r="AD136" s="54">
        <v>2E-3</v>
      </c>
      <c r="AE136" s="54">
        <v>2E-3</v>
      </c>
      <c r="AF136" s="54">
        <v>2E-3</v>
      </c>
      <c r="AG136" s="54">
        <v>2E-3</v>
      </c>
      <c r="AH136" s="54">
        <v>2E-3</v>
      </c>
      <c r="AI136" s="54">
        <v>2E-3</v>
      </c>
      <c r="AJ136" s="54">
        <v>2E-3</v>
      </c>
      <c r="AK136" s="54">
        <v>2E-3</v>
      </c>
      <c r="AL136" s="54">
        <v>2E-3</v>
      </c>
      <c r="AM136" s="54">
        <v>2E-3</v>
      </c>
      <c r="AN136" s="54">
        <v>2E-3</v>
      </c>
      <c r="AO136" s="54">
        <v>2E-3</v>
      </c>
      <c r="AP136" s="54">
        <v>2E-3</v>
      </c>
      <c r="AQ136" s="54">
        <v>2E-3</v>
      </c>
      <c r="AR136" s="54">
        <v>2E-3</v>
      </c>
      <c r="AS136" s="54">
        <v>2E-3</v>
      </c>
      <c r="AT136" s="54">
        <v>2E-3</v>
      </c>
      <c r="AU136" s="54">
        <v>2E-3</v>
      </c>
      <c r="AV136" s="54">
        <v>2E-3</v>
      </c>
      <c r="AW136" s="54">
        <v>2E-3</v>
      </c>
      <c r="AX136" s="54">
        <v>2E-3</v>
      </c>
      <c r="AY136" s="54">
        <v>2E-3</v>
      </c>
      <c r="AZ136" s="54">
        <v>2E-3</v>
      </c>
      <c r="BA136" s="54">
        <v>2E-3</v>
      </c>
      <c r="BB136" s="54">
        <v>2E-3</v>
      </c>
      <c r="BC136" s="54">
        <v>2E-3</v>
      </c>
      <c r="BD136" s="54">
        <v>2E-3</v>
      </c>
      <c r="BE136" s="54">
        <v>2E-3</v>
      </c>
      <c r="BF136" s="54">
        <v>2E-3</v>
      </c>
      <c r="BG136" s="54">
        <v>2E-3</v>
      </c>
      <c r="BH136" s="54">
        <v>2E-3</v>
      </c>
      <c r="BI136" s="54">
        <v>2E-3</v>
      </c>
      <c r="BJ136" s="54">
        <v>2E-3</v>
      </c>
      <c r="BK136" s="54">
        <v>2E-3</v>
      </c>
      <c r="BL136" s="54">
        <v>2E-3</v>
      </c>
      <c r="BM136" s="54">
        <v>2E-3</v>
      </c>
      <c r="BN136" s="54">
        <v>2E-3</v>
      </c>
    </row>
    <row r="137" spans="3:66" x14ac:dyDescent="0.2">
      <c r="C137" s="322"/>
      <c r="D137" s="23" t="s">
        <v>12</v>
      </c>
      <c r="E137" s="27">
        <f>SUM(F137:AY137)</f>
        <v>1767.7951979834784</v>
      </c>
      <c r="F137" s="29">
        <f>+F135*F136</f>
        <v>-0.31019392840559362</v>
      </c>
      <c r="G137" s="29">
        <f>+G135*G136</f>
        <v>837.52360669510301</v>
      </c>
      <c r="H137" s="29">
        <f>+H135*H136</f>
        <v>930.5817852167811</v>
      </c>
      <c r="I137" s="29">
        <f t="shared" ref="I137:N137" si="980">+I135*I136</f>
        <v>0</v>
      </c>
      <c r="J137" s="29">
        <f t="shared" si="980"/>
        <v>0</v>
      </c>
      <c r="K137" s="29">
        <v>0</v>
      </c>
      <c r="L137" s="29">
        <f t="shared" si="980"/>
        <v>0</v>
      </c>
      <c r="M137" s="29">
        <f t="shared" si="980"/>
        <v>0</v>
      </c>
      <c r="N137" s="29">
        <f t="shared" si="980"/>
        <v>0</v>
      </c>
      <c r="O137" s="29">
        <v>0</v>
      </c>
      <c r="P137" s="29">
        <v>0</v>
      </c>
      <c r="Q137" s="29">
        <f t="shared" ref="Q137" si="981">+Q135*Q136</f>
        <v>0</v>
      </c>
      <c r="R137" s="29">
        <v>0</v>
      </c>
      <c r="S137" s="29">
        <f>+S135*S136</f>
        <v>0</v>
      </c>
      <c r="T137" s="29">
        <f t="shared" ref="T137" si="982">+T135*T136</f>
        <v>0</v>
      </c>
      <c r="U137" s="29">
        <f>+U135*U136</f>
        <v>0</v>
      </c>
      <c r="V137" s="29">
        <f t="shared" ref="V137:Y137" si="983">+V135*V136</f>
        <v>0</v>
      </c>
      <c r="W137" s="29">
        <f t="shared" si="983"/>
        <v>0</v>
      </c>
      <c r="X137" s="29">
        <f t="shared" si="983"/>
        <v>0</v>
      </c>
      <c r="Y137" s="29">
        <f t="shared" si="983"/>
        <v>0</v>
      </c>
      <c r="Z137" s="29">
        <f>+Z135*Z136</f>
        <v>0</v>
      </c>
      <c r="AA137" s="29">
        <f>+AA135*AA136</f>
        <v>0</v>
      </c>
      <c r="AB137" s="29">
        <f t="shared" ref="AB137:AD137" si="984">+AB135*AB136</f>
        <v>0</v>
      </c>
      <c r="AC137" s="29">
        <f t="shared" si="984"/>
        <v>0</v>
      </c>
      <c r="AD137" s="29">
        <f t="shared" si="984"/>
        <v>0</v>
      </c>
      <c r="AE137" s="29">
        <v>0</v>
      </c>
      <c r="AF137" s="29">
        <f>+AF135*AF136</f>
        <v>0</v>
      </c>
      <c r="AG137" s="29">
        <f t="shared" ref="AG137:AP137" si="985">+AG135*AG136</f>
        <v>0</v>
      </c>
      <c r="AH137" s="29">
        <f t="shared" si="985"/>
        <v>0</v>
      </c>
      <c r="AI137" s="29">
        <f t="shared" si="985"/>
        <v>0</v>
      </c>
      <c r="AJ137" s="29">
        <f t="shared" si="985"/>
        <v>0</v>
      </c>
      <c r="AK137" s="29">
        <f t="shared" si="985"/>
        <v>0</v>
      </c>
      <c r="AL137" s="29">
        <v>0</v>
      </c>
      <c r="AM137" s="29">
        <f t="shared" si="985"/>
        <v>0</v>
      </c>
      <c r="AN137" s="29">
        <f t="shared" si="985"/>
        <v>0</v>
      </c>
      <c r="AO137" s="29">
        <f t="shared" si="985"/>
        <v>0</v>
      </c>
      <c r="AP137" s="29">
        <f t="shared" si="985"/>
        <v>0</v>
      </c>
      <c r="AQ137" s="29">
        <f>+AQ135*AQ136</f>
        <v>0</v>
      </c>
      <c r="AR137" s="29">
        <f>+AR135*AR136</f>
        <v>0</v>
      </c>
      <c r="AS137" s="29">
        <v>0</v>
      </c>
      <c r="AT137" s="29">
        <f t="shared" ref="AT137:AU137" si="986">+AT135*AT136</f>
        <v>0</v>
      </c>
      <c r="AU137" s="29">
        <f t="shared" si="986"/>
        <v>0</v>
      </c>
      <c r="AV137" s="29">
        <v>0</v>
      </c>
      <c r="AW137" s="29">
        <f t="shared" ref="AW137:AX137" si="987">+AW135*AW136</f>
        <v>0</v>
      </c>
      <c r="AX137" s="29">
        <f t="shared" si="987"/>
        <v>0</v>
      </c>
      <c r="AY137" s="29">
        <f>+AY135*AY136</f>
        <v>0</v>
      </c>
      <c r="AZ137" s="29">
        <f t="shared" ref="AZ137:BA137" si="988">+AZ135*AZ136</f>
        <v>0</v>
      </c>
      <c r="BA137" s="29">
        <f t="shared" si="988"/>
        <v>0</v>
      </c>
      <c r="BB137" s="29">
        <v>0</v>
      </c>
      <c r="BC137" s="29">
        <f t="shared" ref="BC137:BN137" si="989">+BC135*BC136</f>
        <v>0</v>
      </c>
      <c r="BD137" s="29">
        <f t="shared" si="989"/>
        <v>0</v>
      </c>
      <c r="BE137" s="29">
        <f t="shared" si="989"/>
        <v>0</v>
      </c>
      <c r="BF137" s="29">
        <f t="shared" si="989"/>
        <v>0</v>
      </c>
      <c r="BG137" s="29">
        <v>0</v>
      </c>
      <c r="BH137" s="29">
        <f t="shared" si="989"/>
        <v>0</v>
      </c>
      <c r="BI137" s="29">
        <f t="shared" si="989"/>
        <v>0</v>
      </c>
      <c r="BJ137" s="29">
        <f t="shared" si="989"/>
        <v>0</v>
      </c>
      <c r="BK137" s="29">
        <f t="shared" si="989"/>
        <v>0</v>
      </c>
      <c r="BL137" s="29">
        <f t="shared" ref="BL137" si="990">+BL135*BL136</f>
        <v>0</v>
      </c>
      <c r="BM137" s="29">
        <f t="shared" si="989"/>
        <v>0</v>
      </c>
      <c r="BN137" s="29">
        <f t="shared" si="989"/>
        <v>0</v>
      </c>
    </row>
    <row r="138" spans="3:66" ht="13.5" thickBot="1" x14ac:dyDescent="0.25">
      <c r="C138" s="323"/>
      <c r="D138" s="25" t="s">
        <v>11</v>
      </c>
      <c r="E138" s="30">
        <f>SUM(F138:BN138)</f>
        <v>885665.39418972272</v>
      </c>
      <c r="F138" s="46">
        <f>+F135+F137</f>
        <v>-155.40715813120241</v>
      </c>
      <c r="G138" s="46">
        <f>+G135+G137</f>
        <v>419599.32695424662</v>
      </c>
      <c r="H138" s="46">
        <f>+H135+H137</f>
        <v>466221.47439360729</v>
      </c>
      <c r="I138" s="46">
        <f t="shared" ref="I138:AU138" si="991">+I135+I137</f>
        <v>0</v>
      </c>
      <c r="J138" s="46">
        <f t="shared" si="991"/>
        <v>0</v>
      </c>
      <c r="K138" s="46">
        <f t="shared" si="991"/>
        <v>0</v>
      </c>
      <c r="L138" s="46">
        <f t="shared" si="991"/>
        <v>0</v>
      </c>
      <c r="M138" s="46">
        <f t="shared" si="991"/>
        <v>0</v>
      </c>
      <c r="N138" s="46">
        <f t="shared" si="991"/>
        <v>0</v>
      </c>
      <c r="O138" s="46">
        <f t="shared" si="991"/>
        <v>0</v>
      </c>
      <c r="P138" s="46">
        <f t="shared" si="991"/>
        <v>0</v>
      </c>
      <c r="Q138" s="46">
        <f t="shared" si="991"/>
        <v>0</v>
      </c>
      <c r="R138" s="46">
        <f>+R135+R137</f>
        <v>0</v>
      </c>
      <c r="S138" s="46">
        <f t="shared" si="991"/>
        <v>0</v>
      </c>
      <c r="T138" s="46">
        <f t="shared" si="991"/>
        <v>0</v>
      </c>
      <c r="U138" s="46">
        <f t="shared" si="991"/>
        <v>0</v>
      </c>
      <c r="V138" s="46">
        <f t="shared" si="991"/>
        <v>0</v>
      </c>
      <c r="W138" s="46">
        <f t="shared" si="991"/>
        <v>0</v>
      </c>
      <c r="X138" s="46">
        <f t="shared" si="991"/>
        <v>0</v>
      </c>
      <c r="Y138" s="46">
        <f t="shared" si="991"/>
        <v>0</v>
      </c>
      <c r="Z138" s="46">
        <f t="shared" si="991"/>
        <v>0</v>
      </c>
      <c r="AA138" s="46">
        <f t="shared" si="991"/>
        <v>0</v>
      </c>
      <c r="AB138" s="46">
        <f t="shared" si="991"/>
        <v>0</v>
      </c>
      <c r="AC138" s="46">
        <f t="shared" si="991"/>
        <v>0</v>
      </c>
      <c r="AD138" s="46">
        <f t="shared" si="991"/>
        <v>0</v>
      </c>
      <c r="AE138" s="46">
        <f t="shared" si="991"/>
        <v>0</v>
      </c>
      <c r="AF138" s="46">
        <f t="shared" si="991"/>
        <v>0</v>
      </c>
      <c r="AG138" s="46">
        <f t="shared" si="991"/>
        <v>0</v>
      </c>
      <c r="AH138" s="46">
        <f t="shared" si="991"/>
        <v>0</v>
      </c>
      <c r="AI138" s="46">
        <f t="shared" si="991"/>
        <v>0</v>
      </c>
      <c r="AJ138" s="46">
        <f t="shared" si="991"/>
        <v>0</v>
      </c>
      <c r="AK138" s="46">
        <f t="shared" si="991"/>
        <v>0</v>
      </c>
      <c r="AL138" s="46">
        <f t="shared" si="991"/>
        <v>0</v>
      </c>
      <c r="AM138" s="46">
        <f t="shared" si="991"/>
        <v>0</v>
      </c>
      <c r="AN138" s="46">
        <f t="shared" si="991"/>
        <v>0</v>
      </c>
      <c r="AO138" s="46">
        <f t="shared" si="991"/>
        <v>0</v>
      </c>
      <c r="AP138" s="46">
        <f t="shared" si="991"/>
        <v>0</v>
      </c>
      <c r="AQ138" s="46">
        <f t="shared" si="991"/>
        <v>0</v>
      </c>
      <c r="AR138" s="46">
        <f t="shared" si="991"/>
        <v>0</v>
      </c>
      <c r="AS138" s="46">
        <f t="shared" si="991"/>
        <v>0</v>
      </c>
      <c r="AT138" s="46">
        <f t="shared" si="991"/>
        <v>0</v>
      </c>
      <c r="AU138" s="46">
        <f t="shared" si="991"/>
        <v>0</v>
      </c>
      <c r="AV138" s="46">
        <f>+AV135+AV137</f>
        <v>0</v>
      </c>
      <c r="AW138" s="46">
        <f t="shared" ref="AW138:BN138" si="992">+AW135+AW137</f>
        <v>0</v>
      </c>
      <c r="AX138" s="46">
        <f t="shared" si="992"/>
        <v>0</v>
      </c>
      <c r="AY138" s="46">
        <f t="shared" si="992"/>
        <v>0</v>
      </c>
      <c r="AZ138" s="46">
        <f t="shared" si="992"/>
        <v>0</v>
      </c>
      <c r="BA138" s="46">
        <f t="shared" si="992"/>
        <v>0</v>
      </c>
      <c r="BB138" s="46">
        <f t="shared" si="992"/>
        <v>0</v>
      </c>
      <c r="BC138" s="46">
        <f t="shared" si="992"/>
        <v>0</v>
      </c>
      <c r="BD138" s="46">
        <f t="shared" si="992"/>
        <v>0</v>
      </c>
      <c r="BE138" s="46">
        <f t="shared" si="992"/>
        <v>0</v>
      </c>
      <c r="BF138" s="46">
        <f t="shared" si="992"/>
        <v>0</v>
      </c>
      <c r="BG138" s="46">
        <f t="shared" si="992"/>
        <v>0</v>
      </c>
      <c r="BH138" s="46">
        <f t="shared" si="992"/>
        <v>0</v>
      </c>
      <c r="BI138" s="46">
        <f t="shared" si="992"/>
        <v>0</v>
      </c>
      <c r="BJ138" s="46">
        <f t="shared" si="992"/>
        <v>0</v>
      </c>
      <c r="BK138" s="46">
        <f t="shared" si="992"/>
        <v>0</v>
      </c>
      <c r="BL138" s="46">
        <f t="shared" si="992"/>
        <v>0</v>
      </c>
      <c r="BM138" s="46">
        <f t="shared" si="992"/>
        <v>0</v>
      </c>
      <c r="BN138" s="46">
        <f t="shared" si="992"/>
        <v>0</v>
      </c>
    </row>
    <row r="139" spans="3:66" x14ac:dyDescent="0.2">
      <c r="C139" s="321">
        <v>44044</v>
      </c>
      <c r="D139" s="20" t="s">
        <v>5</v>
      </c>
      <c r="E139" s="50">
        <f>SUM(F139:BN139)</f>
        <v>0</v>
      </c>
      <c r="F139" s="279">
        <f>IF(F$6=$C139,F$7,0)</f>
        <v>0</v>
      </c>
      <c r="G139" s="279">
        <f t="shared" ref="G139:BN139" si="993">IF(G$6=$C139,G$7,0)</f>
        <v>0</v>
      </c>
      <c r="H139" s="279">
        <f t="shared" si="993"/>
        <v>0</v>
      </c>
      <c r="I139" s="279">
        <f t="shared" si="993"/>
        <v>0</v>
      </c>
      <c r="J139" s="279">
        <f t="shared" si="993"/>
        <v>0</v>
      </c>
      <c r="K139" s="279">
        <f t="shared" si="993"/>
        <v>0</v>
      </c>
      <c r="L139" s="279">
        <f t="shared" si="993"/>
        <v>0</v>
      </c>
      <c r="M139" s="279">
        <f t="shared" si="993"/>
        <v>0</v>
      </c>
      <c r="N139" s="279">
        <f t="shared" si="993"/>
        <v>0</v>
      </c>
      <c r="O139" s="279">
        <f t="shared" si="993"/>
        <v>0</v>
      </c>
      <c r="P139" s="279">
        <f t="shared" si="993"/>
        <v>0</v>
      </c>
      <c r="Q139" s="279">
        <f t="shared" si="993"/>
        <v>0</v>
      </c>
      <c r="R139" s="279">
        <f t="shared" si="993"/>
        <v>0</v>
      </c>
      <c r="S139" s="279">
        <f t="shared" si="993"/>
        <v>0</v>
      </c>
      <c r="T139" s="279">
        <f t="shared" si="993"/>
        <v>0</v>
      </c>
      <c r="U139" s="279">
        <f t="shared" si="993"/>
        <v>0</v>
      </c>
      <c r="V139" s="279">
        <f t="shared" si="993"/>
        <v>0</v>
      </c>
      <c r="W139" s="279">
        <f t="shared" si="993"/>
        <v>0</v>
      </c>
      <c r="X139" s="279">
        <f t="shared" si="993"/>
        <v>0</v>
      </c>
      <c r="Y139" s="279">
        <f t="shared" si="993"/>
        <v>0</v>
      </c>
      <c r="Z139" s="279">
        <f t="shared" si="993"/>
        <v>0</v>
      </c>
      <c r="AA139" s="279">
        <f t="shared" si="993"/>
        <v>0</v>
      </c>
      <c r="AB139" s="279">
        <f t="shared" si="993"/>
        <v>0</v>
      </c>
      <c r="AC139" s="279">
        <f t="shared" si="993"/>
        <v>0</v>
      </c>
      <c r="AD139" s="279">
        <f t="shared" si="993"/>
        <v>0</v>
      </c>
      <c r="AE139" s="279">
        <f t="shared" si="993"/>
        <v>0</v>
      </c>
      <c r="AF139" s="279">
        <f t="shared" si="993"/>
        <v>0</v>
      </c>
      <c r="AG139" s="279">
        <f t="shared" si="993"/>
        <v>0</v>
      </c>
      <c r="AH139" s="279">
        <f t="shared" si="993"/>
        <v>0</v>
      </c>
      <c r="AI139" s="279">
        <f t="shared" si="993"/>
        <v>0</v>
      </c>
      <c r="AJ139" s="279">
        <f t="shared" si="993"/>
        <v>0</v>
      </c>
      <c r="AK139" s="279">
        <f t="shared" si="993"/>
        <v>0</v>
      </c>
      <c r="AL139" s="279">
        <f t="shared" si="993"/>
        <v>0</v>
      </c>
      <c r="AM139" s="279">
        <f t="shared" si="993"/>
        <v>0</v>
      </c>
      <c r="AN139" s="279">
        <f t="shared" si="993"/>
        <v>0</v>
      </c>
      <c r="AO139" s="279">
        <f t="shared" si="993"/>
        <v>0</v>
      </c>
      <c r="AP139" s="279">
        <f t="shared" si="993"/>
        <v>0</v>
      </c>
      <c r="AQ139" s="279">
        <f t="shared" si="993"/>
        <v>0</v>
      </c>
      <c r="AR139" s="279">
        <f t="shared" si="993"/>
        <v>0</v>
      </c>
      <c r="AS139" s="279">
        <f t="shared" si="993"/>
        <v>0</v>
      </c>
      <c r="AT139" s="279">
        <f t="shared" si="993"/>
        <v>0</v>
      </c>
      <c r="AU139" s="279">
        <f t="shared" si="993"/>
        <v>0</v>
      </c>
      <c r="AV139" s="279">
        <f t="shared" si="993"/>
        <v>0</v>
      </c>
      <c r="AW139" s="279">
        <f t="shared" si="993"/>
        <v>0</v>
      </c>
      <c r="AX139" s="279">
        <f t="shared" si="993"/>
        <v>0</v>
      </c>
      <c r="AY139" s="279">
        <f t="shared" si="993"/>
        <v>0</v>
      </c>
      <c r="AZ139" s="279">
        <f t="shared" si="993"/>
        <v>0</v>
      </c>
      <c r="BA139" s="279">
        <f t="shared" si="993"/>
        <v>0</v>
      </c>
      <c r="BB139" s="279">
        <f t="shared" si="993"/>
        <v>0</v>
      </c>
      <c r="BC139" s="279">
        <f t="shared" si="993"/>
        <v>0</v>
      </c>
      <c r="BD139" s="279">
        <f t="shared" si="993"/>
        <v>0</v>
      </c>
      <c r="BE139" s="279">
        <f t="shared" si="993"/>
        <v>0</v>
      </c>
      <c r="BF139" s="279">
        <f t="shared" si="993"/>
        <v>0</v>
      </c>
      <c r="BG139" s="279">
        <f t="shared" si="993"/>
        <v>0</v>
      </c>
      <c r="BH139" s="279">
        <f t="shared" si="993"/>
        <v>0</v>
      </c>
      <c r="BI139" s="279">
        <f t="shared" si="993"/>
        <v>0</v>
      </c>
      <c r="BJ139" s="279">
        <f t="shared" si="993"/>
        <v>0</v>
      </c>
      <c r="BK139" s="279">
        <f t="shared" si="993"/>
        <v>0</v>
      </c>
      <c r="BL139" s="279">
        <f t="shared" si="993"/>
        <v>0</v>
      </c>
      <c r="BM139" s="279">
        <f t="shared" si="993"/>
        <v>0</v>
      </c>
      <c r="BN139" s="279">
        <f t="shared" si="993"/>
        <v>0</v>
      </c>
    </row>
    <row r="140" spans="3:66" x14ac:dyDescent="0.2">
      <c r="C140" s="322"/>
      <c r="D140" s="23" t="s">
        <v>7</v>
      </c>
      <c r="E140" s="91">
        <f>SUM(F140:BN140)</f>
        <v>14.640000000000011</v>
      </c>
      <c r="F140" s="28">
        <f>IF(F139="",VLOOKUP($C139,'CUSTOS REALIZADOS'!$A$11:$E$995,4),(VLOOKUP($C139,'CUSTOS REALIZADOS'!$A$11:$E$995,5)))</f>
        <v>0.24000000000000002</v>
      </c>
      <c r="G140" s="28">
        <f>IF(G139="",VLOOKUP($C139,'CUSTOS REALIZADOS'!$A$11:$E$995,4),(VLOOKUP($C139,'CUSTOS REALIZADOS'!$A$11:$E$995,5)))</f>
        <v>0.24000000000000002</v>
      </c>
      <c r="H140" s="28">
        <f>IF(H139="",VLOOKUP($C139,'CUSTOS REALIZADOS'!$A$11:$E$995,4),(VLOOKUP($C139,'CUSTOS REALIZADOS'!$A$11:$E$995,5)))</f>
        <v>0.24000000000000002</v>
      </c>
      <c r="I140" s="28">
        <f>IF(I139="",VLOOKUP($C139,'CUSTOS REALIZADOS'!$A$11:$E$995,4),(VLOOKUP($C139,'CUSTOS REALIZADOS'!$A$11:$E$995,5)))</f>
        <v>0.24000000000000002</v>
      </c>
      <c r="J140" s="28">
        <f>IF(J139="",VLOOKUP($C139,'CUSTOS REALIZADOS'!$A$11:$E$995,4),(VLOOKUP($C139,'CUSTOS REALIZADOS'!$A$11:$E$995,5)))</f>
        <v>0.24000000000000002</v>
      </c>
      <c r="K140" s="28">
        <f>IF(K139="",VLOOKUP($C139,'CUSTOS REALIZADOS'!$A$11:$E$995,4),(VLOOKUP($C139,'CUSTOS REALIZADOS'!$A$11:$E$995,5)))</f>
        <v>0.24000000000000002</v>
      </c>
      <c r="L140" s="28">
        <f>IF(L139="",VLOOKUP($C139,'CUSTOS REALIZADOS'!$A$11:$E$995,4),(VLOOKUP($C139,'CUSTOS REALIZADOS'!$A$11:$E$995,5)))</f>
        <v>0.24000000000000002</v>
      </c>
      <c r="M140" s="28">
        <f>IF(M139="",VLOOKUP($C139,'CUSTOS REALIZADOS'!$A$11:$E$995,4),(VLOOKUP($C139,'CUSTOS REALIZADOS'!$A$11:$E$995,5)))</f>
        <v>0.24000000000000002</v>
      </c>
      <c r="N140" s="28">
        <f>IF(N139="",VLOOKUP($C139,'CUSTOS REALIZADOS'!$A$11:$E$995,4),(VLOOKUP($C139,'CUSTOS REALIZADOS'!$A$11:$E$995,5)))</f>
        <v>0.24000000000000002</v>
      </c>
      <c r="O140" s="28">
        <f>IF(O139="",VLOOKUP($C139,'CUSTOS REALIZADOS'!$A$11:$E$995,4),(VLOOKUP($C139,'CUSTOS REALIZADOS'!$A$11:$E$995,5)))</f>
        <v>0.24000000000000002</v>
      </c>
      <c r="P140" s="28">
        <f>IF(P139="",VLOOKUP($C139,'CUSTOS REALIZADOS'!$A$11:$E$995,4),(VLOOKUP($C139,'CUSTOS REALIZADOS'!$A$11:$E$995,5)))</f>
        <v>0.24000000000000002</v>
      </c>
      <c r="Q140" s="28">
        <f>IF(Q139="",VLOOKUP($C139,'CUSTOS REALIZADOS'!$A$11:$E$995,4),(VLOOKUP($C139,'CUSTOS REALIZADOS'!$A$11:$E$995,5)))</f>
        <v>0.24000000000000002</v>
      </c>
      <c r="R140" s="28">
        <f>IF(R139="",VLOOKUP($C139,'CUSTOS REALIZADOS'!$A$11:$E$995,4),(VLOOKUP($C139,'CUSTOS REALIZADOS'!$A$11:$E$995,5)))</f>
        <v>0.24000000000000002</v>
      </c>
      <c r="S140" s="28">
        <f>IF(S139="",VLOOKUP($C139,'CUSTOS REALIZADOS'!$A$11:$E$995,4),(VLOOKUP($C139,'CUSTOS REALIZADOS'!$A$11:$E$995,5)))</f>
        <v>0.24000000000000002</v>
      </c>
      <c r="T140" s="28">
        <f>IF(T139="",VLOOKUP($C139,'CUSTOS REALIZADOS'!$A$11:$E$995,4),(VLOOKUP($C139,'CUSTOS REALIZADOS'!$A$11:$E$995,5)))</f>
        <v>0.24000000000000002</v>
      </c>
      <c r="U140" s="28">
        <f>IF(U139="",VLOOKUP($C139,'CUSTOS REALIZADOS'!$A$11:$E$995,4),(VLOOKUP($C139,'CUSTOS REALIZADOS'!$A$11:$E$995,5)))</f>
        <v>0.24000000000000002</v>
      </c>
      <c r="V140" s="28">
        <f>IF(V139="",VLOOKUP($C139,'CUSTOS REALIZADOS'!$A$11:$E$995,4),(VLOOKUP($C139,'CUSTOS REALIZADOS'!$A$11:$E$995,5)))</f>
        <v>0.24000000000000002</v>
      </c>
      <c r="W140" s="28">
        <f>IF(W139="",VLOOKUP($C139,'CUSTOS REALIZADOS'!$A$11:$E$995,4),(VLOOKUP($C139,'CUSTOS REALIZADOS'!$A$11:$E$995,5)))</f>
        <v>0.24000000000000002</v>
      </c>
      <c r="X140" s="28">
        <f>IF(X139="",VLOOKUP($C139,'CUSTOS REALIZADOS'!$A$11:$E$995,4),(VLOOKUP($C139,'CUSTOS REALIZADOS'!$A$11:$E$995,5)))</f>
        <v>0.24000000000000002</v>
      </c>
      <c r="Y140" s="28">
        <f>IF(Y139="",VLOOKUP($C139,'CUSTOS REALIZADOS'!$A$11:$E$995,4),(VLOOKUP($C139,'CUSTOS REALIZADOS'!$A$11:$E$995,5)))</f>
        <v>0.24000000000000002</v>
      </c>
      <c r="Z140" s="28">
        <f>IF(Z139="",VLOOKUP($C139,'CUSTOS REALIZADOS'!$A$11:$E$995,4),(VLOOKUP($C139,'CUSTOS REALIZADOS'!$A$11:$E$995,5)))</f>
        <v>0.24000000000000002</v>
      </c>
      <c r="AA140" s="28">
        <f>IF(AA139="",VLOOKUP($C139,'CUSTOS REALIZADOS'!$A$11:$E$995,4),(VLOOKUP($C139,'CUSTOS REALIZADOS'!$A$11:$E$995,5)))</f>
        <v>0.24000000000000002</v>
      </c>
      <c r="AB140" s="28">
        <f>IF(AB139="",VLOOKUP($C139,'CUSTOS REALIZADOS'!$A$11:$E$995,4),(VLOOKUP($C139,'CUSTOS REALIZADOS'!$A$11:$E$995,5)))</f>
        <v>0.24000000000000002</v>
      </c>
      <c r="AC140" s="28">
        <f>IF(AC139="",VLOOKUP($C139,'CUSTOS REALIZADOS'!$A$11:$E$995,4),(VLOOKUP($C139,'CUSTOS REALIZADOS'!$A$11:$E$995,5)))</f>
        <v>0.24000000000000002</v>
      </c>
      <c r="AD140" s="28">
        <f>IF(AD139="",VLOOKUP($C139,'CUSTOS REALIZADOS'!$A$11:$E$995,4),(VLOOKUP($C139,'CUSTOS REALIZADOS'!$A$11:$E$995,5)))</f>
        <v>0.24000000000000002</v>
      </c>
      <c r="AE140" s="28">
        <f>IF(AE139="",VLOOKUP($C139,'CUSTOS REALIZADOS'!$A$11:$E$995,4),(VLOOKUP($C139,'CUSTOS REALIZADOS'!$A$11:$E$995,5)))</f>
        <v>0.24000000000000002</v>
      </c>
      <c r="AF140" s="28">
        <f>IF(AF139="",VLOOKUP($C139,'CUSTOS REALIZADOS'!$A$11:$E$995,4),(VLOOKUP($C139,'CUSTOS REALIZADOS'!$A$11:$E$995,5)))</f>
        <v>0.24000000000000002</v>
      </c>
      <c r="AG140" s="28">
        <f>IF(AG139="",VLOOKUP($C139,'CUSTOS REALIZADOS'!$A$11:$E$995,4),(VLOOKUP($C139,'CUSTOS REALIZADOS'!$A$11:$E$995,5)))</f>
        <v>0.24000000000000002</v>
      </c>
      <c r="AH140" s="28">
        <f>IF(AH139="",VLOOKUP($C139,'CUSTOS REALIZADOS'!$A$11:$E$995,4),(VLOOKUP($C139,'CUSTOS REALIZADOS'!$A$11:$E$995,5)))</f>
        <v>0.24000000000000002</v>
      </c>
      <c r="AI140" s="28">
        <f>IF(AI139="",VLOOKUP($C139,'CUSTOS REALIZADOS'!$A$11:$E$995,4),(VLOOKUP($C139,'CUSTOS REALIZADOS'!$A$11:$E$995,5)))</f>
        <v>0.24000000000000002</v>
      </c>
      <c r="AJ140" s="28">
        <f>IF(AJ139="",VLOOKUP($C139,'CUSTOS REALIZADOS'!$A$11:$E$995,4),(VLOOKUP($C139,'CUSTOS REALIZADOS'!$A$11:$E$995,5)))</f>
        <v>0.24000000000000002</v>
      </c>
      <c r="AK140" s="28">
        <f>IF(AK139="",VLOOKUP($C139,'CUSTOS REALIZADOS'!$A$11:$E$995,4),(VLOOKUP($C139,'CUSTOS REALIZADOS'!$A$11:$E$995,5)))</f>
        <v>0.24000000000000002</v>
      </c>
      <c r="AL140" s="28">
        <f>IF(AL139="",VLOOKUP($C139,'CUSTOS REALIZADOS'!$A$11:$E$995,4),(VLOOKUP($C139,'CUSTOS REALIZADOS'!$A$11:$E$995,5)))</f>
        <v>0.24000000000000002</v>
      </c>
      <c r="AM140" s="28">
        <f>IF(AM139="",VLOOKUP($C139,'CUSTOS REALIZADOS'!$A$11:$E$995,4),(VLOOKUP($C139,'CUSTOS REALIZADOS'!$A$11:$E$995,5)))</f>
        <v>0.24000000000000002</v>
      </c>
      <c r="AN140" s="28">
        <f>IF(AN139="",VLOOKUP($C139,'CUSTOS REALIZADOS'!$A$11:$E$995,4),(VLOOKUP($C139,'CUSTOS REALIZADOS'!$A$11:$E$995,5)))</f>
        <v>0.24000000000000002</v>
      </c>
      <c r="AO140" s="28">
        <f>IF(AO139="",VLOOKUP($C139,'CUSTOS REALIZADOS'!$A$11:$E$995,4),(VLOOKUP($C139,'CUSTOS REALIZADOS'!$A$11:$E$995,5)))</f>
        <v>0.24000000000000002</v>
      </c>
      <c r="AP140" s="28">
        <f>IF(AP139="",VLOOKUP($C139,'CUSTOS REALIZADOS'!$A$11:$E$995,4),(VLOOKUP($C139,'CUSTOS REALIZADOS'!$A$11:$E$995,5)))</f>
        <v>0.24000000000000002</v>
      </c>
      <c r="AQ140" s="28">
        <f>IF(AQ139="",VLOOKUP($C139,'CUSTOS REALIZADOS'!$A$11:$E$995,4),(VLOOKUP($C139,'CUSTOS REALIZADOS'!$A$11:$E$995,5)))</f>
        <v>0.24000000000000002</v>
      </c>
      <c r="AR140" s="28">
        <f>IF(AR139="",VLOOKUP($C139,'CUSTOS REALIZADOS'!$A$11:$E$995,4),(VLOOKUP($C139,'CUSTOS REALIZADOS'!$A$11:$E$995,5)))</f>
        <v>0.24000000000000002</v>
      </c>
      <c r="AS140" s="28">
        <f>IF(AS139="",VLOOKUP($C139,'CUSTOS REALIZADOS'!$A$11:$E$995,4),(VLOOKUP($C139,'CUSTOS REALIZADOS'!$A$11:$E$995,5)))</f>
        <v>0.24000000000000002</v>
      </c>
      <c r="AT140" s="28">
        <f>IF(AT139="",VLOOKUP($C139,'CUSTOS REALIZADOS'!$A$11:$E$995,4),(VLOOKUP($C139,'CUSTOS REALIZADOS'!$A$11:$E$995,5)))</f>
        <v>0.24000000000000002</v>
      </c>
      <c r="AU140" s="28">
        <f>IF(AU139="",VLOOKUP($C139,'CUSTOS REALIZADOS'!$A$11:$E$995,4),(VLOOKUP($C139,'CUSTOS REALIZADOS'!$A$11:$E$995,5)))</f>
        <v>0.24000000000000002</v>
      </c>
      <c r="AV140" s="28">
        <f>IF(AV139="",VLOOKUP($C139,'CUSTOS REALIZADOS'!$A$11:$E$995,4),(VLOOKUP($C139,'CUSTOS REALIZADOS'!$A$11:$E$995,5)))</f>
        <v>0.24000000000000002</v>
      </c>
      <c r="AW140" s="28">
        <f>IF(AW139="",VLOOKUP($C139,'CUSTOS REALIZADOS'!$A$11:$E$995,4),(VLOOKUP($C139,'CUSTOS REALIZADOS'!$A$11:$E$995,5)))</f>
        <v>0.24000000000000002</v>
      </c>
      <c r="AX140" s="28">
        <f>IF(AX139="",VLOOKUP($C139,'CUSTOS REALIZADOS'!$A$11:$E$995,4),(VLOOKUP($C139,'CUSTOS REALIZADOS'!$A$11:$E$995,5)))</f>
        <v>0.24000000000000002</v>
      </c>
      <c r="AY140" s="28">
        <f>IF(AY139="",VLOOKUP($C139,'CUSTOS REALIZADOS'!$A$11:$E$995,4),(VLOOKUP($C139,'CUSTOS REALIZADOS'!$A$11:$E$995,5)))</f>
        <v>0.24000000000000002</v>
      </c>
      <c r="AZ140" s="28">
        <f>IF(AZ139="",VLOOKUP($C139,'CUSTOS REALIZADOS'!$A$11:$E$995,4),(VLOOKUP($C139,'CUSTOS REALIZADOS'!$A$11:$E$995,5)))</f>
        <v>0.24000000000000002</v>
      </c>
      <c r="BA140" s="28">
        <f>IF(BA139="",VLOOKUP($C139,'CUSTOS REALIZADOS'!$A$11:$E$995,4),(VLOOKUP($C139,'CUSTOS REALIZADOS'!$A$11:$E$995,5)))</f>
        <v>0.24000000000000002</v>
      </c>
      <c r="BB140" s="28">
        <f>IF(BB139="",VLOOKUP($C139,'CUSTOS REALIZADOS'!$A$11:$E$995,4),(VLOOKUP($C139,'CUSTOS REALIZADOS'!$A$11:$E$995,5)))</f>
        <v>0.24000000000000002</v>
      </c>
      <c r="BC140" s="28">
        <f>IF(BC139="",VLOOKUP($C139,'CUSTOS REALIZADOS'!$A$11:$E$995,4),(VLOOKUP($C139,'CUSTOS REALIZADOS'!$A$11:$E$995,5)))</f>
        <v>0.24000000000000002</v>
      </c>
      <c r="BD140" s="28">
        <f>IF(BD139="",VLOOKUP($C139,'CUSTOS REALIZADOS'!$A$11:$E$995,4),(VLOOKUP($C139,'CUSTOS REALIZADOS'!$A$11:$E$995,5)))</f>
        <v>0.24000000000000002</v>
      </c>
      <c r="BE140" s="28">
        <f>IF(BE139="",VLOOKUP($C139,'CUSTOS REALIZADOS'!$A$11:$E$995,4),(VLOOKUP($C139,'CUSTOS REALIZADOS'!$A$11:$E$995,5)))</f>
        <v>0.24000000000000002</v>
      </c>
      <c r="BF140" s="28">
        <f>IF(BF139="",VLOOKUP($C139,'CUSTOS REALIZADOS'!$A$11:$E$995,4),(VLOOKUP($C139,'CUSTOS REALIZADOS'!$A$11:$E$995,5)))</f>
        <v>0.24000000000000002</v>
      </c>
      <c r="BG140" s="28">
        <f>IF(BG139="",VLOOKUP($C139,'CUSTOS REALIZADOS'!$A$11:$E$995,4),(VLOOKUP($C139,'CUSTOS REALIZADOS'!$A$11:$E$995,5)))</f>
        <v>0.24000000000000002</v>
      </c>
      <c r="BH140" s="28">
        <f>IF(BH139="",VLOOKUP($C139,'CUSTOS REALIZADOS'!$A$11:$E$995,4),(VLOOKUP($C139,'CUSTOS REALIZADOS'!$A$11:$E$995,5)))</f>
        <v>0.24000000000000002</v>
      </c>
      <c r="BI140" s="28">
        <f>IF(BI139="",VLOOKUP($C139,'CUSTOS REALIZADOS'!$A$11:$E$995,4),(VLOOKUP($C139,'CUSTOS REALIZADOS'!$A$11:$E$995,5)))</f>
        <v>0.24000000000000002</v>
      </c>
      <c r="BJ140" s="28">
        <f>IF(BJ139="",VLOOKUP($C139,'CUSTOS REALIZADOS'!$A$11:$E$995,4),(VLOOKUP($C139,'CUSTOS REALIZADOS'!$A$11:$E$995,5)))</f>
        <v>0.24000000000000002</v>
      </c>
      <c r="BK140" s="28">
        <f>IF(BK139="",VLOOKUP($C139,'CUSTOS REALIZADOS'!$A$11:$E$995,4),(VLOOKUP($C139,'CUSTOS REALIZADOS'!$A$11:$E$995,5)))</f>
        <v>0.24000000000000002</v>
      </c>
      <c r="BL140" s="28">
        <f>IF(BL139="",VLOOKUP($C139,'CUSTOS REALIZADOS'!$A$11:$E$995,4),(VLOOKUP($C139,'CUSTOS REALIZADOS'!$A$11:$E$995,5)))</f>
        <v>0.24000000000000002</v>
      </c>
      <c r="BM140" s="28">
        <f>IF(BM139="",VLOOKUP($C139,'CUSTOS REALIZADOS'!$A$11:$E$995,4),(VLOOKUP($C139,'CUSTOS REALIZADOS'!$A$11:$E$995,5)))</f>
        <v>0.24000000000000002</v>
      </c>
      <c r="BN140" s="28">
        <f>IF(BN139="",VLOOKUP($C139,'CUSTOS REALIZADOS'!$A$11:$E$995,4),(VLOOKUP($C139,'CUSTOS REALIZADOS'!$A$11:$E$995,5)))</f>
        <v>0.24000000000000002</v>
      </c>
    </row>
    <row r="141" spans="3:66" x14ac:dyDescent="0.2">
      <c r="C141" s="322"/>
      <c r="D141" s="23" t="s">
        <v>6</v>
      </c>
      <c r="E141" s="27">
        <f>SUM(F141:BN141)</f>
        <v>95000</v>
      </c>
      <c r="F141" s="23">
        <f>IF(AND($C139&gt;=F$6,OR($C139&lt;F$8,F$8="")),F$7*F$28,0)</f>
        <v>0</v>
      </c>
      <c r="G141" s="23">
        <f t="shared" ref="G141:BN141" si="994">IF(AND($C139&gt;=G$6,OR($C139&lt;G$8,G$8="")),G$7*G$28,0)</f>
        <v>45000</v>
      </c>
      <c r="H141" s="23">
        <f t="shared" si="994"/>
        <v>50000</v>
      </c>
      <c r="I141" s="23">
        <f t="shared" si="994"/>
        <v>0</v>
      </c>
      <c r="J141" s="23">
        <f t="shared" si="994"/>
        <v>0</v>
      </c>
      <c r="K141" s="23">
        <f t="shared" si="994"/>
        <v>0</v>
      </c>
      <c r="L141" s="23">
        <f t="shared" si="994"/>
        <v>0</v>
      </c>
      <c r="M141" s="23">
        <f t="shared" si="994"/>
        <v>0</v>
      </c>
      <c r="N141" s="23">
        <f t="shared" si="994"/>
        <v>0</v>
      </c>
      <c r="O141" s="23">
        <f t="shared" si="994"/>
        <v>0</v>
      </c>
      <c r="P141" s="23">
        <f t="shared" si="994"/>
        <v>0</v>
      </c>
      <c r="Q141" s="23">
        <f t="shared" si="994"/>
        <v>0</v>
      </c>
      <c r="R141" s="23">
        <f t="shared" si="994"/>
        <v>0</v>
      </c>
      <c r="S141" s="23">
        <f t="shared" si="994"/>
        <v>0</v>
      </c>
      <c r="T141" s="23">
        <f t="shared" si="994"/>
        <v>0</v>
      </c>
      <c r="U141" s="23">
        <f t="shared" si="994"/>
        <v>0</v>
      </c>
      <c r="V141" s="23">
        <f t="shared" si="994"/>
        <v>0</v>
      </c>
      <c r="W141" s="23">
        <f t="shared" si="994"/>
        <v>0</v>
      </c>
      <c r="X141" s="23">
        <f t="shared" si="994"/>
        <v>0</v>
      </c>
      <c r="Y141" s="23">
        <f t="shared" si="994"/>
        <v>0</v>
      </c>
      <c r="Z141" s="23">
        <f t="shared" si="994"/>
        <v>0</v>
      </c>
      <c r="AA141" s="23">
        <f t="shared" si="994"/>
        <v>0</v>
      </c>
      <c r="AB141" s="23">
        <f t="shared" si="994"/>
        <v>0</v>
      </c>
      <c r="AC141" s="23">
        <f t="shared" si="994"/>
        <v>0</v>
      </c>
      <c r="AD141" s="23">
        <f t="shared" si="994"/>
        <v>0</v>
      </c>
      <c r="AE141" s="23">
        <f t="shared" si="994"/>
        <v>0</v>
      </c>
      <c r="AF141" s="23">
        <f t="shared" si="994"/>
        <v>0</v>
      </c>
      <c r="AG141" s="23">
        <f t="shared" si="994"/>
        <v>0</v>
      </c>
      <c r="AH141" s="23">
        <f t="shared" si="994"/>
        <v>0</v>
      </c>
      <c r="AI141" s="23">
        <f t="shared" si="994"/>
        <v>0</v>
      </c>
      <c r="AJ141" s="23">
        <f t="shared" si="994"/>
        <v>0</v>
      </c>
      <c r="AK141" s="23">
        <f t="shared" si="994"/>
        <v>0</v>
      </c>
      <c r="AL141" s="23">
        <f t="shared" si="994"/>
        <v>0</v>
      </c>
      <c r="AM141" s="23">
        <f t="shared" si="994"/>
        <v>0</v>
      </c>
      <c r="AN141" s="23">
        <f t="shared" si="994"/>
        <v>0</v>
      </c>
      <c r="AO141" s="23">
        <f t="shared" si="994"/>
        <v>0</v>
      </c>
      <c r="AP141" s="23">
        <f t="shared" si="994"/>
        <v>0</v>
      </c>
      <c r="AQ141" s="23">
        <f t="shared" si="994"/>
        <v>0</v>
      </c>
      <c r="AR141" s="23">
        <f t="shared" si="994"/>
        <v>0</v>
      </c>
      <c r="AS141" s="23">
        <f t="shared" si="994"/>
        <v>0</v>
      </c>
      <c r="AT141" s="23">
        <f t="shared" si="994"/>
        <v>0</v>
      </c>
      <c r="AU141" s="23">
        <f t="shared" si="994"/>
        <v>0</v>
      </c>
      <c r="AV141" s="23">
        <f t="shared" si="994"/>
        <v>0</v>
      </c>
      <c r="AW141" s="23">
        <f t="shared" si="994"/>
        <v>0</v>
      </c>
      <c r="AX141" s="23">
        <f t="shared" si="994"/>
        <v>0</v>
      </c>
      <c r="AY141" s="23">
        <f t="shared" si="994"/>
        <v>0</v>
      </c>
      <c r="AZ141" s="23">
        <f t="shared" si="994"/>
        <v>0</v>
      </c>
      <c r="BA141" s="23">
        <f t="shared" si="994"/>
        <v>0</v>
      </c>
      <c r="BB141" s="23">
        <f t="shared" si="994"/>
        <v>0</v>
      </c>
      <c r="BC141" s="23">
        <f t="shared" si="994"/>
        <v>0</v>
      </c>
      <c r="BD141" s="23">
        <f t="shared" si="994"/>
        <v>0</v>
      </c>
      <c r="BE141" s="23">
        <f t="shared" si="994"/>
        <v>0</v>
      </c>
      <c r="BF141" s="23">
        <f t="shared" si="994"/>
        <v>0</v>
      </c>
      <c r="BG141" s="23">
        <f t="shared" si="994"/>
        <v>0</v>
      </c>
      <c r="BH141" s="23">
        <f t="shared" si="994"/>
        <v>0</v>
      </c>
      <c r="BI141" s="23">
        <f t="shared" si="994"/>
        <v>0</v>
      </c>
      <c r="BJ141" s="23">
        <f t="shared" si="994"/>
        <v>0</v>
      </c>
      <c r="BK141" s="23">
        <f t="shared" si="994"/>
        <v>0</v>
      </c>
      <c r="BL141" s="23">
        <f t="shared" si="994"/>
        <v>0</v>
      </c>
      <c r="BM141" s="23">
        <f t="shared" si="994"/>
        <v>0</v>
      </c>
      <c r="BN141" s="23">
        <f t="shared" si="994"/>
        <v>0</v>
      </c>
    </row>
    <row r="142" spans="3:66" x14ac:dyDescent="0.2">
      <c r="C142" s="322"/>
      <c r="D142" s="23" t="s">
        <v>9</v>
      </c>
      <c r="E142" s="27">
        <f>SUM(F142:BN142)</f>
        <v>0</v>
      </c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</row>
    <row r="143" spans="3:66" x14ac:dyDescent="0.2">
      <c r="C143" s="322"/>
      <c r="D143" s="23" t="s">
        <v>14</v>
      </c>
      <c r="E143" s="27">
        <f>SUM(F143:AY143)</f>
        <v>885665.39418972272</v>
      </c>
      <c r="F143" s="23">
        <f>IF(F138=0,F139-F142,F138-F142)</f>
        <v>-155.40715813120241</v>
      </c>
      <c r="G143" s="23">
        <f t="shared" ref="G143" si="995">IF(G138=0,G139-G142,G138-G142)</f>
        <v>419599.32695424662</v>
      </c>
      <c r="H143" s="23">
        <f t="shared" ref="H143" si="996">IF(H138=0,H139-H142,H138-H142)</f>
        <v>466221.47439360729</v>
      </c>
      <c r="I143" s="23">
        <f t="shared" ref="I143" si="997">IF(I138=0,I139-I142,I138-I142)</f>
        <v>0</v>
      </c>
      <c r="J143" s="23">
        <f t="shared" ref="J143" si="998">IF(J138=0,J139-J142,J138-J142)</f>
        <v>0</v>
      </c>
      <c r="K143" s="23">
        <f t="shared" ref="K143" si="999">IF(K138=0,K139-K142,K138-K142)</f>
        <v>0</v>
      </c>
      <c r="L143" s="23">
        <f t="shared" ref="L143" si="1000">IF(L138=0,L139-L142,L138-L142)</f>
        <v>0</v>
      </c>
      <c r="M143" s="23">
        <f t="shared" ref="M143" si="1001">IF(M138=0,M139-M142,M138-M142)</f>
        <v>0</v>
      </c>
      <c r="N143" s="23">
        <f t="shared" ref="N143" si="1002">IF(N138=0,N139-N142,N138-N142)</f>
        <v>0</v>
      </c>
      <c r="O143" s="23">
        <f t="shared" ref="O143" si="1003">IF(O138=0,O139-O142,O138-O142)</f>
        <v>0</v>
      </c>
      <c r="P143" s="23">
        <f t="shared" ref="P143" si="1004">IF(P138=0,P139-P142,P138-P142)</f>
        <v>0</v>
      </c>
      <c r="Q143" s="23">
        <f t="shared" ref="Q143" si="1005">IF(Q138=0,Q139-Q142,Q138-Q142)</f>
        <v>0</v>
      </c>
      <c r="R143" s="23">
        <f t="shared" ref="R143" si="1006">IF(R138=0,R139-R142,R138-R142)</f>
        <v>0</v>
      </c>
      <c r="S143" s="23">
        <f t="shared" ref="S143" si="1007">IF(S138=0,S139-S142,S138-S142)</f>
        <v>0</v>
      </c>
      <c r="T143" s="23">
        <f t="shared" ref="T143" si="1008">IF(T138=0,T139-T142,T138-T142)</f>
        <v>0</v>
      </c>
      <c r="U143" s="23">
        <f t="shared" ref="U143" si="1009">IF(U138=0,U139-U142,U138-U142)</f>
        <v>0</v>
      </c>
      <c r="V143" s="23">
        <f t="shared" ref="V143" si="1010">IF(V138=0,V139-V142,V138-V142)</f>
        <v>0</v>
      </c>
      <c r="W143" s="23">
        <f t="shared" ref="W143" si="1011">IF(W138=0,W139-W142,W138-W142)</f>
        <v>0</v>
      </c>
      <c r="X143" s="23">
        <f t="shared" ref="X143" si="1012">IF(X138=0,X139-X142,X138-X142)</f>
        <v>0</v>
      </c>
      <c r="Y143" s="23">
        <f t="shared" ref="Y143" si="1013">IF(Y138=0,Y139-Y142,Y138-Y142)</f>
        <v>0</v>
      </c>
      <c r="Z143" s="23">
        <f t="shared" ref="Z143" si="1014">IF(Z138=0,Z139-Z142,Z138-Z142)</f>
        <v>0</v>
      </c>
      <c r="AA143" s="23">
        <f t="shared" ref="AA143" si="1015">IF(AA138=0,AA139-AA142,AA138-AA142)</f>
        <v>0</v>
      </c>
      <c r="AB143" s="23">
        <f t="shared" ref="AB143" si="1016">IF(AB138=0,AB139-AB142,AB138-AB142)</f>
        <v>0</v>
      </c>
      <c r="AC143" s="23">
        <f t="shared" ref="AC143" si="1017">IF(AC138=0,AC139-AC142,AC138-AC142)</f>
        <v>0</v>
      </c>
      <c r="AD143" s="23">
        <f t="shared" ref="AD143" si="1018">IF(AD138=0,AD139-AD142,AD138-AD142)</f>
        <v>0</v>
      </c>
      <c r="AE143" s="23">
        <f t="shared" ref="AE143" si="1019">IF(AE138=0,AE139-AE142,AE138-AE142)</f>
        <v>0</v>
      </c>
      <c r="AF143" s="23">
        <f t="shared" ref="AF143" si="1020">IF(AF138=0,AF139-AF142,AF138-AF142)</f>
        <v>0</v>
      </c>
      <c r="AG143" s="23">
        <f t="shared" ref="AG143" si="1021">IF(AG138=0,AG139-AG142,AG138-AG142)</f>
        <v>0</v>
      </c>
      <c r="AH143" s="23">
        <f t="shared" ref="AH143" si="1022">IF(AH138=0,AH139-AH142,AH138-AH142)</f>
        <v>0</v>
      </c>
      <c r="AI143" s="23">
        <f t="shared" ref="AI143" si="1023">IF(AI138=0,AI139-AI142,AI138-AI142)</f>
        <v>0</v>
      </c>
      <c r="AJ143" s="23">
        <f t="shared" ref="AJ143" si="1024">IF(AJ138=0,AJ139-AJ142,AJ138-AJ142)</f>
        <v>0</v>
      </c>
      <c r="AK143" s="23">
        <f t="shared" ref="AK143" si="1025">IF(AK138=0,AK139-AK142,AK138-AK142)</f>
        <v>0</v>
      </c>
      <c r="AL143" s="23">
        <f t="shared" ref="AL143" si="1026">IF(AL138=0,AL139-AL142,AL138-AL142)</f>
        <v>0</v>
      </c>
      <c r="AM143" s="23">
        <f t="shared" ref="AM143" si="1027">IF(AM138=0,AM139-AM142,AM138-AM142)</f>
        <v>0</v>
      </c>
      <c r="AN143" s="23">
        <f t="shared" ref="AN143" si="1028">IF(AN138=0,AN139-AN142,AN138-AN142)</f>
        <v>0</v>
      </c>
      <c r="AO143" s="23">
        <f t="shared" ref="AO143" si="1029">IF(AO138=0,AO139-AO142,AO138-AO142)</f>
        <v>0</v>
      </c>
      <c r="AP143" s="23">
        <f t="shared" ref="AP143" si="1030">IF(AP138=0,AP139-AP142,AP138-AP142)</f>
        <v>0</v>
      </c>
      <c r="AQ143" s="23">
        <f t="shared" ref="AQ143" si="1031">IF(AQ138=0,AQ139-AQ142,AQ138-AQ142)</f>
        <v>0</v>
      </c>
      <c r="AR143" s="23">
        <f t="shared" ref="AR143" si="1032">IF(AR138=0,AR139-AR142,AR138-AR142)</f>
        <v>0</v>
      </c>
      <c r="AS143" s="23">
        <f t="shared" ref="AS143" si="1033">IF(AS138=0,AS139-AS142,AS138-AS142)</f>
        <v>0</v>
      </c>
      <c r="AT143" s="23">
        <f t="shared" ref="AT143" si="1034">IF(AT138=0,AT139-AT142,AT138-AT142)</f>
        <v>0</v>
      </c>
      <c r="AU143" s="23">
        <f t="shared" ref="AU143" si="1035">IF(AU138=0,AU139-AU142,AU138-AU142)</f>
        <v>0</v>
      </c>
      <c r="AV143" s="23">
        <f t="shared" ref="AV143" si="1036">IF(AV138=0,AV139-AV142,AV138-AV142)</f>
        <v>0</v>
      </c>
      <c r="AW143" s="23">
        <f t="shared" ref="AW143" si="1037">IF(AW138=0,AW139-AW142,AW138-AW142)</f>
        <v>0</v>
      </c>
      <c r="AX143" s="23">
        <f t="shared" ref="AX143" si="1038">IF(AX138=0,AX139-AX142,AX138-AX142)</f>
        <v>0</v>
      </c>
      <c r="AY143" s="23">
        <f t="shared" ref="AY143" si="1039">IF(AY138=0,AY139-AY142,AY138-AY142)</f>
        <v>0</v>
      </c>
      <c r="AZ143" s="23">
        <f t="shared" ref="AZ143" si="1040">IF(AZ138=0,AZ139-AZ142,AZ138-AZ142)</f>
        <v>0</v>
      </c>
      <c r="BA143" s="23">
        <f t="shared" ref="BA143" si="1041">IF(BA138=0,BA139-BA142,BA138-BA142)</f>
        <v>0</v>
      </c>
      <c r="BB143" s="23">
        <f t="shared" ref="BB143" si="1042">IF(BB138=0,BB139-BB142,BB138-BB142)</f>
        <v>0</v>
      </c>
      <c r="BC143" s="23">
        <f t="shared" ref="BC143" si="1043">IF(BC138=0,BC139-BC142,BC138-BC142)</f>
        <v>0</v>
      </c>
      <c r="BD143" s="23">
        <f t="shared" ref="BD143" si="1044">IF(BD138=0,BD139-BD142,BD138-BD142)</f>
        <v>0</v>
      </c>
      <c r="BE143" s="23">
        <f t="shared" ref="BE143" si="1045">IF(BE138=0,BE139-BE142,BE138-BE142)</f>
        <v>0</v>
      </c>
      <c r="BF143" s="23">
        <f t="shared" ref="BF143" si="1046">IF(BF138=0,BF139-BF142,BF138-BF142)</f>
        <v>0</v>
      </c>
      <c r="BG143" s="23">
        <f t="shared" ref="BG143" si="1047">IF(BG138=0,BG139-BG142,BG138-BG142)</f>
        <v>0</v>
      </c>
      <c r="BH143" s="23">
        <f t="shared" ref="BH143" si="1048">IF(BH138=0,BH139-BH142,BH138-BH142)</f>
        <v>0</v>
      </c>
      <c r="BI143" s="23">
        <f t="shared" ref="BI143" si="1049">IF(BI138=0,BI139-BI142,BI138-BI142)</f>
        <v>0</v>
      </c>
      <c r="BJ143" s="23">
        <f t="shared" ref="BJ143" si="1050">IF(BJ138=0,BJ139-BJ142,BJ138-BJ142)</f>
        <v>0</v>
      </c>
      <c r="BK143" s="23">
        <f t="shared" ref="BK143" si="1051">IF(BK138=0,BK139-BK142,BK138-BK142)</f>
        <v>0</v>
      </c>
      <c r="BL143" s="23">
        <f t="shared" ref="BL143" si="1052">IF(BL138=0,BL139-BL142,BL138-BL142)</f>
        <v>0</v>
      </c>
      <c r="BM143" s="23">
        <f t="shared" ref="BM143" si="1053">IF(BM138=0,BM139-BM142,BM138-BM142)</f>
        <v>0</v>
      </c>
      <c r="BN143" s="23">
        <f t="shared" ref="BN143" si="1054">IF(BN138=0,BN139-BN142,BN138-BN142)</f>
        <v>0</v>
      </c>
    </row>
    <row r="144" spans="3:66" x14ac:dyDescent="0.2">
      <c r="C144" s="322"/>
      <c r="D144" s="23" t="s">
        <v>10</v>
      </c>
      <c r="E144" s="72">
        <v>3.3999999999999998E-3</v>
      </c>
      <c r="F144" s="54">
        <v>3.3999999999999998E-3</v>
      </c>
      <c r="G144" s="54">
        <v>3.3999999999999998E-3</v>
      </c>
      <c r="H144" s="54">
        <v>3.3999999999999998E-3</v>
      </c>
      <c r="I144" s="54">
        <v>3.3999999999999998E-3</v>
      </c>
      <c r="J144" s="54">
        <v>3.3999999999999998E-3</v>
      </c>
      <c r="K144" s="54">
        <v>3.3999999999999998E-3</v>
      </c>
      <c r="L144" s="54">
        <v>3.3999999999999998E-3</v>
      </c>
      <c r="M144" s="54">
        <v>3.3999999999999998E-3</v>
      </c>
      <c r="N144" s="54">
        <v>3.3999999999999998E-3</v>
      </c>
      <c r="O144" s="54">
        <v>3.3999999999999998E-3</v>
      </c>
      <c r="P144" s="54">
        <v>3.3999999999999998E-3</v>
      </c>
      <c r="Q144" s="54">
        <v>3.3999999999999998E-3</v>
      </c>
      <c r="R144" s="54">
        <v>3.3999999999999998E-3</v>
      </c>
      <c r="S144" s="54">
        <v>3.3999999999999998E-3</v>
      </c>
      <c r="T144" s="54">
        <v>3.3999999999999998E-3</v>
      </c>
      <c r="U144" s="54">
        <v>3.3999999999999998E-3</v>
      </c>
      <c r="V144" s="54">
        <v>3.3999999999999998E-3</v>
      </c>
      <c r="W144" s="54">
        <v>3.3999999999999998E-3</v>
      </c>
      <c r="X144" s="54">
        <v>3.3999999999999998E-3</v>
      </c>
      <c r="Y144" s="54">
        <v>3.3999999999999998E-3</v>
      </c>
      <c r="Z144" s="54">
        <v>3.3999999999999998E-3</v>
      </c>
      <c r="AA144" s="54">
        <v>3.3999999999999998E-3</v>
      </c>
      <c r="AB144" s="54">
        <v>3.3999999999999998E-3</v>
      </c>
      <c r="AC144" s="54">
        <v>3.3999999999999998E-3</v>
      </c>
      <c r="AD144" s="54">
        <v>3.3999999999999998E-3</v>
      </c>
      <c r="AE144" s="54">
        <v>3.3999999999999998E-3</v>
      </c>
      <c r="AF144" s="54">
        <v>3.3999999999999998E-3</v>
      </c>
      <c r="AG144" s="54">
        <v>3.3999999999999998E-3</v>
      </c>
      <c r="AH144" s="54">
        <v>3.3999999999999998E-3</v>
      </c>
      <c r="AI144" s="54">
        <v>3.3999999999999998E-3</v>
      </c>
      <c r="AJ144" s="54">
        <v>3.3999999999999998E-3</v>
      </c>
      <c r="AK144" s="54">
        <v>3.3999999999999998E-3</v>
      </c>
      <c r="AL144" s="54">
        <v>3.3999999999999998E-3</v>
      </c>
      <c r="AM144" s="54">
        <v>3.3999999999999998E-3</v>
      </c>
      <c r="AN144" s="54">
        <v>3.3999999999999998E-3</v>
      </c>
      <c r="AO144" s="54">
        <v>3.3999999999999998E-3</v>
      </c>
      <c r="AP144" s="54">
        <v>3.3999999999999998E-3</v>
      </c>
      <c r="AQ144" s="54">
        <v>3.3999999999999998E-3</v>
      </c>
      <c r="AR144" s="54">
        <v>3.3999999999999998E-3</v>
      </c>
      <c r="AS144" s="54">
        <v>3.3999999999999998E-3</v>
      </c>
      <c r="AT144" s="54">
        <v>3.3999999999999998E-3</v>
      </c>
      <c r="AU144" s="54">
        <v>3.3999999999999998E-3</v>
      </c>
      <c r="AV144" s="54">
        <v>3.3999999999999998E-3</v>
      </c>
      <c r="AW144" s="54">
        <v>3.3999999999999998E-3</v>
      </c>
      <c r="AX144" s="54">
        <v>3.3999999999999998E-3</v>
      </c>
      <c r="AY144" s="54">
        <v>3.3999999999999998E-3</v>
      </c>
      <c r="AZ144" s="54">
        <v>3.3999999999999998E-3</v>
      </c>
      <c r="BA144" s="54">
        <v>3.3999999999999998E-3</v>
      </c>
      <c r="BB144" s="54">
        <v>3.3999999999999998E-3</v>
      </c>
      <c r="BC144" s="54">
        <v>3.3999999999999998E-3</v>
      </c>
      <c r="BD144" s="54">
        <v>3.3999999999999998E-3</v>
      </c>
      <c r="BE144" s="54">
        <v>3.3999999999999998E-3</v>
      </c>
      <c r="BF144" s="54">
        <v>3.3999999999999998E-3</v>
      </c>
      <c r="BG144" s="54">
        <v>3.3999999999999998E-3</v>
      </c>
      <c r="BH144" s="54">
        <v>3.3999999999999998E-3</v>
      </c>
      <c r="BI144" s="54">
        <v>3.3999999999999998E-3</v>
      </c>
      <c r="BJ144" s="54">
        <v>3.3999999999999998E-3</v>
      </c>
      <c r="BK144" s="54">
        <v>3.3999999999999998E-3</v>
      </c>
      <c r="BL144" s="54">
        <v>3.3999999999999998E-3</v>
      </c>
      <c r="BM144" s="54">
        <v>3.3999999999999998E-3</v>
      </c>
      <c r="BN144" s="54">
        <v>3.3999999999999998E-3</v>
      </c>
    </row>
    <row r="145" spans="3:66" x14ac:dyDescent="0.2">
      <c r="C145" s="322"/>
      <c r="D145" s="23" t="s">
        <v>12</v>
      </c>
      <c r="E145" s="27">
        <f>SUM(F145:AY145)</f>
        <v>3011.2623402450572</v>
      </c>
      <c r="F145" s="29">
        <f>+F143*F144</f>
        <v>-0.52838433764608816</v>
      </c>
      <c r="G145" s="29">
        <f>+G143*G144</f>
        <v>1426.6377116444385</v>
      </c>
      <c r="H145" s="29">
        <f>+H143*H144</f>
        <v>1585.1530129382647</v>
      </c>
      <c r="I145" s="29">
        <f t="shared" ref="I145:N145" si="1055">+I143*I144</f>
        <v>0</v>
      </c>
      <c r="J145" s="29">
        <f t="shared" si="1055"/>
        <v>0</v>
      </c>
      <c r="K145" s="29">
        <f t="shared" si="1055"/>
        <v>0</v>
      </c>
      <c r="L145" s="29">
        <f t="shared" si="1055"/>
        <v>0</v>
      </c>
      <c r="M145" s="29">
        <f t="shared" si="1055"/>
        <v>0</v>
      </c>
      <c r="N145" s="29">
        <f t="shared" si="1055"/>
        <v>0</v>
      </c>
      <c r="O145" s="29">
        <v>0</v>
      </c>
      <c r="P145" s="29">
        <f>+P143*P144</f>
        <v>0</v>
      </c>
      <c r="Q145" s="29">
        <f t="shared" ref="Q145" si="1056">+Q143*Q144</f>
        <v>0</v>
      </c>
      <c r="R145" s="29">
        <f>+R143*R144</f>
        <v>0</v>
      </c>
      <c r="S145" s="29">
        <f>+S143*S144</f>
        <v>0</v>
      </c>
      <c r="T145" s="29">
        <f t="shared" ref="T145" si="1057">+T143*T144</f>
        <v>0</v>
      </c>
      <c r="U145" s="29">
        <f>+U143*U144</f>
        <v>0</v>
      </c>
      <c r="V145" s="29">
        <f t="shared" ref="V145:Y145" si="1058">+V143*V144</f>
        <v>0</v>
      </c>
      <c r="W145" s="29">
        <f t="shared" si="1058"/>
        <v>0</v>
      </c>
      <c r="X145" s="29">
        <f t="shared" si="1058"/>
        <v>0</v>
      </c>
      <c r="Y145" s="29">
        <f t="shared" si="1058"/>
        <v>0</v>
      </c>
      <c r="Z145" s="29">
        <f>+Z143*Z144</f>
        <v>0</v>
      </c>
      <c r="AA145" s="29">
        <f>+AA143*AA144</f>
        <v>0</v>
      </c>
      <c r="AB145" s="29">
        <f t="shared" ref="AB145:AD145" si="1059">+AB143*AB144</f>
        <v>0</v>
      </c>
      <c r="AC145" s="29">
        <f t="shared" si="1059"/>
        <v>0</v>
      </c>
      <c r="AD145" s="29">
        <f t="shared" si="1059"/>
        <v>0</v>
      </c>
      <c r="AE145" s="29">
        <v>0</v>
      </c>
      <c r="AF145" s="29">
        <f>+AF143*AF144</f>
        <v>0</v>
      </c>
      <c r="AG145" s="29">
        <f t="shared" ref="AG145:AP145" si="1060">+AG143*AG144</f>
        <v>0</v>
      </c>
      <c r="AH145" s="29">
        <v>0</v>
      </c>
      <c r="AI145" s="29">
        <f t="shared" si="1060"/>
        <v>0</v>
      </c>
      <c r="AJ145" s="29">
        <f t="shared" si="1060"/>
        <v>0</v>
      </c>
      <c r="AK145" s="29">
        <f t="shared" si="1060"/>
        <v>0</v>
      </c>
      <c r="AL145" s="29">
        <f t="shared" si="1060"/>
        <v>0</v>
      </c>
      <c r="AM145" s="29">
        <f t="shared" si="1060"/>
        <v>0</v>
      </c>
      <c r="AN145" s="29">
        <f t="shared" si="1060"/>
        <v>0</v>
      </c>
      <c r="AO145" s="29">
        <f t="shared" si="1060"/>
        <v>0</v>
      </c>
      <c r="AP145" s="29">
        <f t="shared" si="1060"/>
        <v>0</v>
      </c>
      <c r="AQ145" s="29">
        <f>+AQ143*AQ144</f>
        <v>0</v>
      </c>
      <c r="AR145" s="29">
        <f>+AR143*AR144</f>
        <v>0</v>
      </c>
      <c r="AS145" s="29">
        <v>0</v>
      </c>
      <c r="AT145" s="29">
        <f t="shared" ref="AT145:AU145" si="1061">+AT143*AT144</f>
        <v>0</v>
      </c>
      <c r="AU145" s="29">
        <f t="shared" si="1061"/>
        <v>0</v>
      </c>
      <c r="AV145" s="29">
        <v>0</v>
      </c>
      <c r="AW145" s="29">
        <f t="shared" ref="AW145:AX145" si="1062">+AW143*AW144</f>
        <v>0</v>
      </c>
      <c r="AX145" s="29">
        <f t="shared" si="1062"/>
        <v>0</v>
      </c>
      <c r="AY145" s="29">
        <f>+AY143*AY144</f>
        <v>0</v>
      </c>
      <c r="AZ145" s="29">
        <f t="shared" ref="AZ145:BN145" si="1063">+AZ143*AZ144</f>
        <v>0</v>
      </c>
      <c r="BA145" s="29">
        <f t="shared" si="1063"/>
        <v>0</v>
      </c>
      <c r="BB145" s="29">
        <v>0</v>
      </c>
      <c r="BC145" s="29">
        <f t="shared" si="1063"/>
        <v>0</v>
      </c>
      <c r="BD145" s="29">
        <f t="shared" si="1063"/>
        <v>0</v>
      </c>
      <c r="BE145" s="29">
        <f t="shared" si="1063"/>
        <v>0</v>
      </c>
      <c r="BF145" s="29">
        <f t="shared" si="1063"/>
        <v>0</v>
      </c>
      <c r="BG145" s="29">
        <v>0</v>
      </c>
      <c r="BH145" s="29">
        <f t="shared" si="1063"/>
        <v>0</v>
      </c>
      <c r="BI145" s="29">
        <f t="shared" si="1063"/>
        <v>0</v>
      </c>
      <c r="BJ145" s="29">
        <f t="shared" si="1063"/>
        <v>0</v>
      </c>
      <c r="BK145" s="29">
        <f t="shared" si="1063"/>
        <v>0</v>
      </c>
      <c r="BL145" s="29">
        <f t="shared" ref="BL145" si="1064">+BL143*BL144</f>
        <v>0</v>
      </c>
      <c r="BM145" s="29">
        <f t="shared" si="1063"/>
        <v>0</v>
      </c>
      <c r="BN145" s="29">
        <f t="shared" si="1063"/>
        <v>0</v>
      </c>
    </row>
    <row r="146" spans="3:66" ht="13.5" thickBot="1" x14ac:dyDescent="0.25">
      <c r="C146" s="323"/>
      <c r="D146" s="25" t="s">
        <v>11</v>
      </c>
      <c r="E146" s="30">
        <f>SUM(F146:BN146)</f>
        <v>888676.65652996779</v>
      </c>
      <c r="F146" s="46">
        <f>+F143+F145</f>
        <v>-155.9355424688485</v>
      </c>
      <c r="G146" s="46">
        <f>+G143+G145</f>
        <v>421025.96466589108</v>
      </c>
      <c r="H146" s="46">
        <f>+H143+H145</f>
        <v>467806.62740654557</v>
      </c>
      <c r="I146" s="46">
        <f t="shared" ref="I146:AU146" si="1065">+I143+I145</f>
        <v>0</v>
      </c>
      <c r="J146" s="46">
        <f t="shared" si="1065"/>
        <v>0</v>
      </c>
      <c r="K146" s="46">
        <f t="shared" si="1065"/>
        <v>0</v>
      </c>
      <c r="L146" s="46">
        <f t="shared" si="1065"/>
        <v>0</v>
      </c>
      <c r="M146" s="46">
        <f t="shared" si="1065"/>
        <v>0</v>
      </c>
      <c r="N146" s="46">
        <f t="shared" si="1065"/>
        <v>0</v>
      </c>
      <c r="O146" s="46">
        <f t="shared" si="1065"/>
        <v>0</v>
      </c>
      <c r="P146" s="46">
        <f t="shared" si="1065"/>
        <v>0</v>
      </c>
      <c r="Q146" s="46">
        <f t="shared" si="1065"/>
        <v>0</v>
      </c>
      <c r="R146" s="46">
        <f>+R143+R145</f>
        <v>0</v>
      </c>
      <c r="S146" s="46">
        <f t="shared" si="1065"/>
        <v>0</v>
      </c>
      <c r="T146" s="46">
        <f t="shared" si="1065"/>
        <v>0</v>
      </c>
      <c r="U146" s="46">
        <f t="shared" si="1065"/>
        <v>0</v>
      </c>
      <c r="V146" s="46">
        <f t="shared" si="1065"/>
        <v>0</v>
      </c>
      <c r="W146" s="46">
        <f t="shared" si="1065"/>
        <v>0</v>
      </c>
      <c r="X146" s="46">
        <f t="shared" si="1065"/>
        <v>0</v>
      </c>
      <c r="Y146" s="46">
        <f t="shared" si="1065"/>
        <v>0</v>
      </c>
      <c r="Z146" s="46">
        <f t="shared" si="1065"/>
        <v>0</v>
      </c>
      <c r="AA146" s="46">
        <f t="shared" si="1065"/>
        <v>0</v>
      </c>
      <c r="AB146" s="46">
        <f t="shared" si="1065"/>
        <v>0</v>
      </c>
      <c r="AC146" s="46">
        <f t="shared" si="1065"/>
        <v>0</v>
      </c>
      <c r="AD146" s="46">
        <f t="shared" si="1065"/>
        <v>0</v>
      </c>
      <c r="AE146" s="46">
        <f t="shared" si="1065"/>
        <v>0</v>
      </c>
      <c r="AF146" s="46">
        <f t="shared" si="1065"/>
        <v>0</v>
      </c>
      <c r="AG146" s="46">
        <f t="shared" si="1065"/>
        <v>0</v>
      </c>
      <c r="AH146" s="46">
        <f t="shared" si="1065"/>
        <v>0</v>
      </c>
      <c r="AI146" s="46">
        <f t="shared" si="1065"/>
        <v>0</v>
      </c>
      <c r="AJ146" s="46">
        <f t="shared" si="1065"/>
        <v>0</v>
      </c>
      <c r="AK146" s="46">
        <f t="shared" si="1065"/>
        <v>0</v>
      </c>
      <c r="AL146" s="46">
        <f t="shared" si="1065"/>
        <v>0</v>
      </c>
      <c r="AM146" s="46">
        <f t="shared" si="1065"/>
        <v>0</v>
      </c>
      <c r="AN146" s="46">
        <f t="shared" si="1065"/>
        <v>0</v>
      </c>
      <c r="AO146" s="46">
        <f t="shared" si="1065"/>
        <v>0</v>
      </c>
      <c r="AP146" s="46">
        <f t="shared" si="1065"/>
        <v>0</v>
      </c>
      <c r="AQ146" s="46">
        <f t="shared" si="1065"/>
        <v>0</v>
      </c>
      <c r="AR146" s="46">
        <f t="shared" si="1065"/>
        <v>0</v>
      </c>
      <c r="AS146" s="46">
        <f t="shared" si="1065"/>
        <v>0</v>
      </c>
      <c r="AT146" s="46">
        <f t="shared" si="1065"/>
        <v>0</v>
      </c>
      <c r="AU146" s="46">
        <f t="shared" si="1065"/>
        <v>0</v>
      </c>
      <c r="AV146" s="46">
        <f>+AV143+AV145</f>
        <v>0</v>
      </c>
      <c r="AW146" s="46">
        <f t="shared" ref="AW146:BN146" si="1066">+AW143+AW145</f>
        <v>0</v>
      </c>
      <c r="AX146" s="46">
        <f t="shared" si="1066"/>
        <v>0</v>
      </c>
      <c r="AY146" s="46">
        <f t="shared" si="1066"/>
        <v>0</v>
      </c>
      <c r="AZ146" s="46">
        <f t="shared" si="1066"/>
        <v>0</v>
      </c>
      <c r="BA146" s="46">
        <f t="shared" si="1066"/>
        <v>0</v>
      </c>
      <c r="BB146" s="46">
        <f t="shared" si="1066"/>
        <v>0</v>
      </c>
      <c r="BC146" s="46">
        <f t="shared" si="1066"/>
        <v>0</v>
      </c>
      <c r="BD146" s="46">
        <f t="shared" si="1066"/>
        <v>0</v>
      </c>
      <c r="BE146" s="46">
        <f t="shared" si="1066"/>
        <v>0</v>
      </c>
      <c r="BF146" s="46">
        <f t="shared" si="1066"/>
        <v>0</v>
      </c>
      <c r="BG146" s="46">
        <f t="shared" si="1066"/>
        <v>0</v>
      </c>
      <c r="BH146" s="46">
        <f t="shared" si="1066"/>
        <v>0</v>
      </c>
      <c r="BI146" s="46">
        <f t="shared" si="1066"/>
        <v>0</v>
      </c>
      <c r="BJ146" s="46">
        <f t="shared" si="1066"/>
        <v>0</v>
      </c>
      <c r="BK146" s="46">
        <f t="shared" si="1066"/>
        <v>0</v>
      </c>
      <c r="BL146" s="46">
        <f t="shared" si="1066"/>
        <v>0</v>
      </c>
      <c r="BM146" s="46">
        <f t="shared" si="1066"/>
        <v>0</v>
      </c>
      <c r="BN146" s="46">
        <f t="shared" si="1066"/>
        <v>0</v>
      </c>
    </row>
    <row r="147" spans="3:66" x14ac:dyDescent="0.2">
      <c r="C147" s="321">
        <v>44075</v>
      </c>
      <c r="D147" s="20" t="s">
        <v>5</v>
      </c>
      <c r="E147" s="50">
        <f>SUM(F147:BN147)</f>
        <v>0</v>
      </c>
      <c r="F147" s="279">
        <f>IF(F$6=$C147,F$7,0)</f>
        <v>0</v>
      </c>
      <c r="G147" s="279">
        <f t="shared" ref="G147:BN147" si="1067">IF(G$6=$C147,G$7,0)</f>
        <v>0</v>
      </c>
      <c r="H147" s="279">
        <f t="shared" si="1067"/>
        <v>0</v>
      </c>
      <c r="I147" s="279">
        <f t="shared" si="1067"/>
        <v>0</v>
      </c>
      <c r="J147" s="279">
        <f t="shared" si="1067"/>
        <v>0</v>
      </c>
      <c r="K147" s="279">
        <f t="shared" si="1067"/>
        <v>0</v>
      </c>
      <c r="L147" s="279">
        <f t="shared" si="1067"/>
        <v>0</v>
      </c>
      <c r="M147" s="279">
        <f t="shared" si="1067"/>
        <v>0</v>
      </c>
      <c r="N147" s="279">
        <f t="shared" si="1067"/>
        <v>0</v>
      </c>
      <c r="O147" s="279">
        <f t="shared" si="1067"/>
        <v>0</v>
      </c>
      <c r="P147" s="279">
        <f t="shared" si="1067"/>
        <v>0</v>
      </c>
      <c r="Q147" s="279">
        <f t="shared" si="1067"/>
        <v>0</v>
      </c>
      <c r="R147" s="279">
        <f t="shared" si="1067"/>
        <v>0</v>
      </c>
      <c r="S147" s="279">
        <f t="shared" si="1067"/>
        <v>0</v>
      </c>
      <c r="T147" s="279">
        <f t="shared" si="1067"/>
        <v>0</v>
      </c>
      <c r="U147" s="279">
        <f t="shared" si="1067"/>
        <v>0</v>
      </c>
      <c r="V147" s="279">
        <f t="shared" si="1067"/>
        <v>0</v>
      </c>
      <c r="W147" s="279">
        <f t="shared" si="1067"/>
        <v>0</v>
      </c>
      <c r="X147" s="279">
        <f t="shared" si="1067"/>
        <v>0</v>
      </c>
      <c r="Y147" s="279">
        <f t="shared" si="1067"/>
        <v>0</v>
      </c>
      <c r="Z147" s="279">
        <f t="shared" si="1067"/>
        <v>0</v>
      </c>
      <c r="AA147" s="279">
        <f t="shared" si="1067"/>
        <v>0</v>
      </c>
      <c r="AB147" s="279">
        <f t="shared" si="1067"/>
        <v>0</v>
      </c>
      <c r="AC147" s="279">
        <f t="shared" si="1067"/>
        <v>0</v>
      </c>
      <c r="AD147" s="279">
        <f t="shared" si="1067"/>
        <v>0</v>
      </c>
      <c r="AE147" s="279">
        <f t="shared" si="1067"/>
        <v>0</v>
      </c>
      <c r="AF147" s="279">
        <f t="shared" si="1067"/>
        <v>0</v>
      </c>
      <c r="AG147" s="279">
        <f t="shared" si="1067"/>
        <v>0</v>
      </c>
      <c r="AH147" s="279">
        <f t="shared" si="1067"/>
        <v>0</v>
      </c>
      <c r="AI147" s="279">
        <f t="shared" si="1067"/>
        <v>0</v>
      </c>
      <c r="AJ147" s="279">
        <f t="shared" si="1067"/>
        <v>0</v>
      </c>
      <c r="AK147" s="279">
        <f t="shared" si="1067"/>
        <v>0</v>
      </c>
      <c r="AL147" s="279">
        <f t="shared" si="1067"/>
        <v>0</v>
      </c>
      <c r="AM147" s="279">
        <f t="shared" si="1067"/>
        <v>0</v>
      </c>
      <c r="AN147" s="279">
        <f t="shared" si="1067"/>
        <v>0</v>
      </c>
      <c r="AO147" s="279">
        <f t="shared" si="1067"/>
        <v>0</v>
      </c>
      <c r="AP147" s="279">
        <f t="shared" si="1067"/>
        <v>0</v>
      </c>
      <c r="AQ147" s="279">
        <f t="shared" si="1067"/>
        <v>0</v>
      </c>
      <c r="AR147" s="279">
        <f t="shared" si="1067"/>
        <v>0</v>
      </c>
      <c r="AS147" s="279">
        <f t="shared" si="1067"/>
        <v>0</v>
      </c>
      <c r="AT147" s="279">
        <f t="shared" si="1067"/>
        <v>0</v>
      </c>
      <c r="AU147" s="279">
        <f t="shared" si="1067"/>
        <v>0</v>
      </c>
      <c r="AV147" s="279">
        <f t="shared" si="1067"/>
        <v>0</v>
      </c>
      <c r="AW147" s="279">
        <f t="shared" si="1067"/>
        <v>0</v>
      </c>
      <c r="AX147" s="279">
        <f t="shared" si="1067"/>
        <v>0</v>
      </c>
      <c r="AY147" s="279">
        <f t="shared" si="1067"/>
        <v>0</v>
      </c>
      <c r="AZ147" s="279">
        <f t="shared" si="1067"/>
        <v>0</v>
      </c>
      <c r="BA147" s="279">
        <f t="shared" si="1067"/>
        <v>0</v>
      </c>
      <c r="BB147" s="279">
        <f t="shared" si="1067"/>
        <v>0</v>
      </c>
      <c r="BC147" s="279">
        <f t="shared" si="1067"/>
        <v>0</v>
      </c>
      <c r="BD147" s="279">
        <f t="shared" si="1067"/>
        <v>0</v>
      </c>
      <c r="BE147" s="279">
        <f t="shared" si="1067"/>
        <v>0</v>
      </c>
      <c r="BF147" s="279">
        <f t="shared" si="1067"/>
        <v>0</v>
      </c>
      <c r="BG147" s="279">
        <f t="shared" si="1067"/>
        <v>0</v>
      </c>
      <c r="BH147" s="279">
        <f t="shared" si="1067"/>
        <v>0</v>
      </c>
      <c r="BI147" s="279">
        <f t="shared" si="1067"/>
        <v>0</v>
      </c>
      <c r="BJ147" s="279">
        <f t="shared" si="1067"/>
        <v>0</v>
      </c>
      <c r="BK147" s="279">
        <f t="shared" si="1067"/>
        <v>0</v>
      </c>
      <c r="BL147" s="279">
        <f t="shared" si="1067"/>
        <v>0</v>
      </c>
      <c r="BM147" s="279">
        <f t="shared" si="1067"/>
        <v>0</v>
      </c>
      <c r="BN147" s="279">
        <f t="shared" si="1067"/>
        <v>0</v>
      </c>
    </row>
    <row r="148" spans="3:66" x14ac:dyDescent="0.2">
      <c r="C148" s="322"/>
      <c r="D148" s="23" t="s">
        <v>7</v>
      </c>
      <c r="E148" s="91">
        <f>SUM(F148:BN148)</f>
        <v>14.640000000000011</v>
      </c>
      <c r="F148" s="28">
        <f>IF(F147="",VLOOKUP($C147,'CUSTOS REALIZADOS'!$A$11:$E$995,4),(VLOOKUP($C147,'CUSTOS REALIZADOS'!$A$11:$E$995,5)))</f>
        <v>0.24000000000000002</v>
      </c>
      <c r="G148" s="28">
        <f>IF(G147="",VLOOKUP($C147,'CUSTOS REALIZADOS'!$A$11:$E$995,4),(VLOOKUP($C147,'CUSTOS REALIZADOS'!$A$11:$E$995,5)))</f>
        <v>0.24000000000000002</v>
      </c>
      <c r="H148" s="28">
        <f>IF(H147="",VLOOKUP($C147,'CUSTOS REALIZADOS'!$A$11:$E$995,4),(VLOOKUP($C147,'CUSTOS REALIZADOS'!$A$11:$E$995,5)))</f>
        <v>0.24000000000000002</v>
      </c>
      <c r="I148" s="28">
        <f>IF(I147="",VLOOKUP($C147,'CUSTOS REALIZADOS'!$A$11:$E$995,4),(VLOOKUP($C147,'CUSTOS REALIZADOS'!$A$11:$E$995,5)))</f>
        <v>0.24000000000000002</v>
      </c>
      <c r="J148" s="28">
        <f>IF(J147="",VLOOKUP($C147,'CUSTOS REALIZADOS'!$A$11:$E$995,4),(VLOOKUP($C147,'CUSTOS REALIZADOS'!$A$11:$E$995,5)))</f>
        <v>0.24000000000000002</v>
      </c>
      <c r="K148" s="28">
        <f>IF(K147="",VLOOKUP($C147,'CUSTOS REALIZADOS'!$A$11:$E$995,4),(VLOOKUP($C147,'CUSTOS REALIZADOS'!$A$11:$E$995,5)))</f>
        <v>0.24000000000000002</v>
      </c>
      <c r="L148" s="28">
        <f>IF(L147="",VLOOKUP($C147,'CUSTOS REALIZADOS'!$A$11:$E$995,4),(VLOOKUP($C147,'CUSTOS REALIZADOS'!$A$11:$E$995,5)))</f>
        <v>0.24000000000000002</v>
      </c>
      <c r="M148" s="28">
        <f>IF(M147="",VLOOKUP($C147,'CUSTOS REALIZADOS'!$A$11:$E$995,4),(VLOOKUP($C147,'CUSTOS REALIZADOS'!$A$11:$E$995,5)))</f>
        <v>0.24000000000000002</v>
      </c>
      <c r="N148" s="28">
        <f>IF(N147="",VLOOKUP($C147,'CUSTOS REALIZADOS'!$A$11:$E$995,4),(VLOOKUP($C147,'CUSTOS REALIZADOS'!$A$11:$E$995,5)))</f>
        <v>0.24000000000000002</v>
      </c>
      <c r="O148" s="28">
        <f>IF(O147="",VLOOKUP($C147,'CUSTOS REALIZADOS'!$A$11:$E$995,4),(VLOOKUP($C147,'CUSTOS REALIZADOS'!$A$11:$E$995,5)))</f>
        <v>0.24000000000000002</v>
      </c>
      <c r="P148" s="28">
        <f>IF(P147="",VLOOKUP($C147,'CUSTOS REALIZADOS'!$A$11:$E$995,4),(VLOOKUP($C147,'CUSTOS REALIZADOS'!$A$11:$E$995,5)))</f>
        <v>0.24000000000000002</v>
      </c>
      <c r="Q148" s="28">
        <f>IF(Q147="",VLOOKUP($C147,'CUSTOS REALIZADOS'!$A$11:$E$995,4),(VLOOKUP($C147,'CUSTOS REALIZADOS'!$A$11:$E$995,5)))</f>
        <v>0.24000000000000002</v>
      </c>
      <c r="R148" s="28">
        <f>IF(R147="",VLOOKUP($C147,'CUSTOS REALIZADOS'!$A$11:$E$995,4),(VLOOKUP($C147,'CUSTOS REALIZADOS'!$A$11:$E$995,5)))</f>
        <v>0.24000000000000002</v>
      </c>
      <c r="S148" s="28">
        <f>IF(S147="",VLOOKUP($C147,'CUSTOS REALIZADOS'!$A$11:$E$995,4),(VLOOKUP($C147,'CUSTOS REALIZADOS'!$A$11:$E$995,5)))</f>
        <v>0.24000000000000002</v>
      </c>
      <c r="T148" s="28">
        <f>IF(T147="",VLOOKUP($C147,'CUSTOS REALIZADOS'!$A$11:$E$995,4),(VLOOKUP($C147,'CUSTOS REALIZADOS'!$A$11:$E$995,5)))</f>
        <v>0.24000000000000002</v>
      </c>
      <c r="U148" s="28">
        <f>IF(U147="",VLOOKUP($C147,'CUSTOS REALIZADOS'!$A$11:$E$995,4),(VLOOKUP($C147,'CUSTOS REALIZADOS'!$A$11:$E$995,5)))</f>
        <v>0.24000000000000002</v>
      </c>
      <c r="V148" s="28">
        <f>IF(V147="",VLOOKUP($C147,'CUSTOS REALIZADOS'!$A$11:$E$995,4),(VLOOKUP($C147,'CUSTOS REALIZADOS'!$A$11:$E$995,5)))</f>
        <v>0.24000000000000002</v>
      </c>
      <c r="W148" s="28">
        <f>IF(W147="",VLOOKUP($C147,'CUSTOS REALIZADOS'!$A$11:$E$995,4),(VLOOKUP($C147,'CUSTOS REALIZADOS'!$A$11:$E$995,5)))</f>
        <v>0.24000000000000002</v>
      </c>
      <c r="X148" s="28">
        <f>IF(X147="",VLOOKUP($C147,'CUSTOS REALIZADOS'!$A$11:$E$995,4),(VLOOKUP($C147,'CUSTOS REALIZADOS'!$A$11:$E$995,5)))</f>
        <v>0.24000000000000002</v>
      </c>
      <c r="Y148" s="28">
        <f>IF(Y147="",VLOOKUP($C147,'CUSTOS REALIZADOS'!$A$11:$E$995,4),(VLOOKUP($C147,'CUSTOS REALIZADOS'!$A$11:$E$995,5)))</f>
        <v>0.24000000000000002</v>
      </c>
      <c r="Z148" s="28">
        <f>IF(Z147="",VLOOKUP($C147,'CUSTOS REALIZADOS'!$A$11:$E$995,4),(VLOOKUP($C147,'CUSTOS REALIZADOS'!$A$11:$E$995,5)))</f>
        <v>0.24000000000000002</v>
      </c>
      <c r="AA148" s="28">
        <f>IF(AA147="",VLOOKUP($C147,'CUSTOS REALIZADOS'!$A$11:$E$995,4),(VLOOKUP($C147,'CUSTOS REALIZADOS'!$A$11:$E$995,5)))</f>
        <v>0.24000000000000002</v>
      </c>
      <c r="AB148" s="28">
        <f>IF(AB147="",VLOOKUP($C147,'CUSTOS REALIZADOS'!$A$11:$E$995,4),(VLOOKUP($C147,'CUSTOS REALIZADOS'!$A$11:$E$995,5)))</f>
        <v>0.24000000000000002</v>
      </c>
      <c r="AC148" s="28">
        <f>IF(AC147="",VLOOKUP($C147,'CUSTOS REALIZADOS'!$A$11:$E$995,4),(VLOOKUP($C147,'CUSTOS REALIZADOS'!$A$11:$E$995,5)))</f>
        <v>0.24000000000000002</v>
      </c>
      <c r="AD148" s="28">
        <f>IF(AD147="",VLOOKUP($C147,'CUSTOS REALIZADOS'!$A$11:$E$995,4),(VLOOKUP($C147,'CUSTOS REALIZADOS'!$A$11:$E$995,5)))</f>
        <v>0.24000000000000002</v>
      </c>
      <c r="AE148" s="28">
        <f>IF(AE147="",VLOOKUP($C147,'CUSTOS REALIZADOS'!$A$11:$E$995,4),(VLOOKUP($C147,'CUSTOS REALIZADOS'!$A$11:$E$995,5)))</f>
        <v>0.24000000000000002</v>
      </c>
      <c r="AF148" s="28">
        <f>IF(AF147="",VLOOKUP($C147,'CUSTOS REALIZADOS'!$A$11:$E$995,4),(VLOOKUP($C147,'CUSTOS REALIZADOS'!$A$11:$E$995,5)))</f>
        <v>0.24000000000000002</v>
      </c>
      <c r="AG148" s="28">
        <f>IF(AG147="",VLOOKUP($C147,'CUSTOS REALIZADOS'!$A$11:$E$995,4),(VLOOKUP($C147,'CUSTOS REALIZADOS'!$A$11:$E$995,5)))</f>
        <v>0.24000000000000002</v>
      </c>
      <c r="AH148" s="28">
        <f>IF(AH147="",VLOOKUP($C147,'CUSTOS REALIZADOS'!$A$11:$E$995,4),(VLOOKUP($C147,'CUSTOS REALIZADOS'!$A$11:$E$995,5)))</f>
        <v>0.24000000000000002</v>
      </c>
      <c r="AI148" s="28">
        <f>IF(AI147="",VLOOKUP($C147,'CUSTOS REALIZADOS'!$A$11:$E$995,4),(VLOOKUP($C147,'CUSTOS REALIZADOS'!$A$11:$E$995,5)))</f>
        <v>0.24000000000000002</v>
      </c>
      <c r="AJ148" s="28">
        <f>IF(AJ147="",VLOOKUP($C147,'CUSTOS REALIZADOS'!$A$11:$E$995,4),(VLOOKUP($C147,'CUSTOS REALIZADOS'!$A$11:$E$995,5)))</f>
        <v>0.24000000000000002</v>
      </c>
      <c r="AK148" s="28">
        <f>IF(AK147="",VLOOKUP($C147,'CUSTOS REALIZADOS'!$A$11:$E$995,4),(VLOOKUP($C147,'CUSTOS REALIZADOS'!$A$11:$E$995,5)))</f>
        <v>0.24000000000000002</v>
      </c>
      <c r="AL148" s="28">
        <f>IF(AL147="",VLOOKUP($C147,'CUSTOS REALIZADOS'!$A$11:$E$995,4),(VLOOKUP($C147,'CUSTOS REALIZADOS'!$A$11:$E$995,5)))</f>
        <v>0.24000000000000002</v>
      </c>
      <c r="AM148" s="28">
        <f>IF(AM147="",VLOOKUP($C147,'CUSTOS REALIZADOS'!$A$11:$E$995,4),(VLOOKUP($C147,'CUSTOS REALIZADOS'!$A$11:$E$995,5)))</f>
        <v>0.24000000000000002</v>
      </c>
      <c r="AN148" s="28">
        <f>IF(AN147="",VLOOKUP($C147,'CUSTOS REALIZADOS'!$A$11:$E$995,4),(VLOOKUP($C147,'CUSTOS REALIZADOS'!$A$11:$E$995,5)))</f>
        <v>0.24000000000000002</v>
      </c>
      <c r="AO148" s="28">
        <f>IF(AO147="",VLOOKUP($C147,'CUSTOS REALIZADOS'!$A$11:$E$995,4),(VLOOKUP($C147,'CUSTOS REALIZADOS'!$A$11:$E$995,5)))</f>
        <v>0.24000000000000002</v>
      </c>
      <c r="AP148" s="28">
        <f>IF(AP147="",VLOOKUP($C147,'CUSTOS REALIZADOS'!$A$11:$E$995,4),(VLOOKUP($C147,'CUSTOS REALIZADOS'!$A$11:$E$995,5)))</f>
        <v>0.24000000000000002</v>
      </c>
      <c r="AQ148" s="28">
        <f>IF(AQ147="",VLOOKUP($C147,'CUSTOS REALIZADOS'!$A$11:$E$995,4),(VLOOKUP($C147,'CUSTOS REALIZADOS'!$A$11:$E$995,5)))</f>
        <v>0.24000000000000002</v>
      </c>
      <c r="AR148" s="28">
        <f>IF(AR147="",VLOOKUP($C147,'CUSTOS REALIZADOS'!$A$11:$E$995,4),(VLOOKUP($C147,'CUSTOS REALIZADOS'!$A$11:$E$995,5)))</f>
        <v>0.24000000000000002</v>
      </c>
      <c r="AS148" s="28">
        <f>IF(AS147="",VLOOKUP($C147,'CUSTOS REALIZADOS'!$A$11:$E$995,4),(VLOOKUP($C147,'CUSTOS REALIZADOS'!$A$11:$E$995,5)))</f>
        <v>0.24000000000000002</v>
      </c>
      <c r="AT148" s="28">
        <f>IF(AT147="",VLOOKUP($C147,'CUSTOS REALIZADOS'!$A$11:$E$995,4),(VLOOKUP($C147,'CUSTOS REALIZADOS'!$A$11:$E$995,5)))</f>
        <v>0.24000000000000002</v>
      </c>
      <c r="AU148" s="28">
        <f>IF(AU147="",VLOOKUP($C147,'CUSTOS REALIZADOS'!$A$11:$E$995,4),(VLOOKUP($C147,'CUSTOS REALIZADOS'!$A$11:$E$995,5)))</f>
        <v>0.24000000000000002</v>
      </c>
      <c r="AV148" s="28">
        <f>IF(AV147="",VLOOKUP($C147,'CUSTOS REALIZADOS'!$A$11:$E$995,4),(VLOOKUP($C147,'CUSTOS REALIZADOS'!$A$11:$E$995,5)))</f>
        <v>0.24000000000000002</v>
      </c>
      <c r="AW148" s="28">
        <f>IF(AW147="",VLOOKUP($C147,'CUSTOS REALIZADOS'!$A$11:$E$995,4),(VLOOKUP($C147,'CUSTOS REALIZADOS'!$A$11:$E$995,5)))</f>
        <v>0.24000000000000002</v>
      </c>
      <c r="AX148" s="28">
        <f>IF(AX147="",VLOOKUP($C147,'CUSTOS REALIZADOS'!$A$11:$E$995,4),(VLOOKUP($C147,'CUSTOS REALIZADOS'!$A$11:$E$995,5)))</f>
        <v>0.24000000000000002</v>
      </c>
      <c r="AY148" s="28">
        <f>IF(AY147="",VLOOKUP($C147,'CUSTOS REALIZADOS'!$A$11:$E$995,4),(VLOOKUP($C147,'CUSTOS REALIZADOS'!$A$11:$E$995,5)))</f>
        <v>0.24000000000000002</v>
      </c>
      <c r="AZ148" s="28">
        <f>IF(AZ147="",VLOOKUP($C147,'CUSTOS REALIZADOS'!$A$11:$E$995,4),(VLOOKUP($C147,'CUSTOS REALIZADOS'!$A$11:$E$995,5)))</f>
        <v>0.24000000000000002</v>
      </c>
      <c r="BA148" s="28">
        <f>IF(BA147="",VLOOKUP($C147,'CUSTOS REALIZADOS'!$A$11:$E$995,4),(VLOOKUP($C147,'CUSTOS REALIZADOS'!$A$11:$E$995,5)))</f>
        <v>0.24000000000000002</v>
      </c>
      <c r="BB148" s="28">
        <f>IF(BB147="",VLOOKUP($C147,'CUSTOS REALIZADOS'!$A$11:$E$995,4),(VLOOKUP($C147,'CUSTOS REALIZADOS'!$A$11:$E$995,5)))</f>
        <v>0.24000000000000002</v>
      </c>
      <c r="BC148" s="28">
        <f>IF(BC147="",VLOOKUP($C147,'CUSTOS REALIZADOS'!$A$11:$E$995,4),(VLOOKUP($C147,'CUSTOS REALIZADOS'!$A$11:$E$995,5)))</f>
        <v>0.24000000000000002</v>
      </c>
      <c r="BD148" s="28">
        <f>IF(BD147="",VLOOKUP($C147,'CUSTOS REALIZADOS'!$A$11:$E$995,4),(VLOOKUP($C147,'CUSTOS REALIZADOS'!$A$11:$E$995,5)))</f>
        <v>0.24000000000000002</v>
      </c>
      <c r="BE148" s="28">
        <f>IF(BE147="",VLOOKUP($C147,'CUSTOS REALIZADOS'!$A$11:$E$995,4),(VLOOKUP($C147,'CUSTOS REALIZADOS'!$A$11:$E$995,5)))</f>
        <v>0.24000000000000002</v>
      </c>
      <c r="BF148" s="28">
        <f>IF(BF147="",VLOOKUP($C147,'CUSTOS REALIZADOS'!$A$11:$E$995,4),(VLOOKUP($C147,'CUSTOS REALIZADOS'!$A$11:$E$995,5)))</f>
        <v>0.24000000000000002</v>
      </c>
      <c r="BG148" s="28">
        <f>IF(BG147="",VLOOKUP($C147,'CUSTOS REALIZADOS'!$A$11:$E$995,4),(VLOOKUP($C147,'CUSTOS REALIZADOS'!$A$11:$E$995,5)))</f>
        <v>0.24000000000000002</v>
      </c>
      <c r="BH148" s="28">
        <f>IF(BH147="",VLOOKUP($C147,'CUSTOS REALIZADOS'!$A$11:$E$995,4),(VLOOKUP($C147,'CUSTOS REALIZADOS'!$A$11:$E$995,5)))</f>
        <v>0.24000000000000002</v>
      </c>
      <c r="BI148" s="28">
        <f>IF(BI147="",VLOOKUP($C147,'CUSTOS REALIZADOS'!$A$11:$E$995,4),(VLOOKUP($C147,'CUSTOS REALIZADOS'!$A$11:$E$995,5)))</f>
        <v>0.24000000000000002</v>
      </c>
      <c r="BJ148" s="28">
        <f>IF(BJ147="",VLOOKUP($C147,'CUSTOS REALIZADOS'!$A$11:$E$995,4),(VLOOKUP($C147,'CUSTOS REALIZADOS'!$A$11:$E$995,5)))</f>
        <v>0.24000000000000002</v>
      </c>
      <c r="BK148" s="28">
        <f>IF(BK147="",VLOOKUP($C147,'CUSTOS REALIZADOS'!$A$11:$E$995,4),(VLOOKUP($C147,'CUSTOS REALIZADOS'!$A$11:$E$995,5)))</f>
        <v>0.24000000000000002</v>
      </c>
      <c r="BL148" s="28">
        <f>IF(BL147="",VLOOKUP($C147,'CUSTOS REALIZADOS'!$A$11:$E$995,4),(VLOOKUP($C147,'CUSTOS REALIZADOS'!$A$11:$E$995,5)))</f>
        <v>0.24000000000000002</v>
      </c>
      <c r="BM148" s="28">
        <f>IF(BM147="",VLOOKUP($C147,'CUSTOS REALIZADOS'!$A$11:$E$995,4),(VLOOKUP($C147,'CUSTOS REALIZADOS'!$A$11:$E$995,5)))</f>
        <v>0.24000000000000002</v>
      </c>
      <c r="BN148" s="28">
        <f>IF(BN147="",VLOOKUP($C147,'CUSTOS REALIZADOS'!$A$11:$E$995,4),(VLOOKUP($C147,'CUSTOS REALIZADOS'!$A$11:$E$995,5)))</f>
        <v>0.24000000000000002</v>
      </c>
    </row>
    <row r="149" spans="3:66" x14ac:dyDescent="0.2">
      <c r="C149" s="322"/>
      <c r="D149" s="23" t="s">
        <v>6</v>
      </c>
      <c r="E149" s="27">
        <f>SUM(F149:BN149)</f>
        <v>95000</v>
      </c>
      <c r="F149" s="23">
        <f>IF(AND($C147&gt;=F$6,OR($C147&lt;F$8,F$8="")),F$7*F$28,0)</f>
        <v>0</v>
      </c>
      <c r="G149" s="23">
        <f t="shared" ref="G149:BN149" si="1068">IF(AND($C147&gt;=G$6,OR($C147&lt;G$8,G$8="")),G$7*G$28,0)</f>
        <v>45000</v>
      </c>
      <c r="H149" s="23">
        <f t="shared" si="1068"/>
        <v>50000</v>
      </c>
      <c r="I149" s="23">
        <f t="shared" si="1068"/>
        <v>0</v>
      </c>
      <c r="J149" s="23">
        <f t="shared" si="1068"/>
        <v>0</v>
      </c>
      <c r="K149" s="23">
        <f t="shared" si="1068"/>
        <v>0</v>
      </c>
      <c r="L149" s="23">
        <f t="shared" si="1068"/>
        <v>0</v>
      </c>
      <c r="M149" s="23">
        <f t="shared" si="1068"/>
        <v>0</v>
      </c>
      <c r="N149" s="23">
        <f t="shared" si="1068"/>
        <v>0</v>
      </c>
      <c r="O149" s="23">
        <f t="shared" si="1068"/>
        <v>0</v>
      </c>
      <c r="P149" s="23">
        <f t="shared" si="1068"/>
        <v>0</v>
      </c>
      <c r="Q149" s="23">
        <f t="shared" si="1068"/>
        <v>0</v>
      </c>
      <c r="R149" s="23">
        <f t="shared" si="1068"/>
        <v>0</v>
      </c>
      <c r="S149" s="23">
        <f t="shared" si="1068"/>
        <v>0</v>
      </c>
      <c r="T149" s="23">
        <f t="shared" si="1068"/>
        <v>0</v>
      </c>
      <c r="U149" s="23">
        <f t="shared" si="1068"/>
        <v>0</v>
      </c>
      <c r="V149" s="23">
        <f t="shared" si="1068"/>
        <v>0</v>
      </c>
      <c r="W149" s="23">
        <f t="shared" si="1068"/>
        <v>0</v>
      </c>
      <c r="X149" s="23">
        <f t="shared" si="1068"/>
        <v>0</v>
      </c>
      <c r="Y149" s="23">
        <f t="shared" si="1068"/>
        <v>0</v>
      </c>
      <c r="Z149" s="23">
        <f t="shared" si="1068"/>
        <v>0</v>
      </c>
      <c r="AA149" s="23">
        <f t="shared" si="1068"/>
        <v>0</v>
      </c>
      <c r="AB149" s="23">
        <f t="shared" si="1068"/>
        <v>0</v>
      </c>
      <c r="AC149" s="23">
        <f t="shared" si="1068"/>
        <v>0</v>
      </c>
      <c r="AD149" s="23">
        <f t="shared" si="1068"/>
        <v>0</v>
      </c>
      <c r="AE149" s="23">
        <f t="shared" si="1068"/>
        <v>0</v>
      </c>
      <c r="AF149" s="23">
        <f t="shared" si="1068"/>
        <v>0</v>
      </c>
      <c r="AG149" s="23">
        <f t="shared" si="1068"/>
        <v>0</v>
      </c>
      <c r="AH149" s="23">
        <f t="shared" si="1068"/>
        <v>0</v>
      </c>
      <c r="AI149" s="23">
        <f t="shared" si="1068"/>
        <v>0</v>
      </c>
      <c r="AJ149" s="23">
        <f t="shared" si="1068"/>
        <v>0</v>
      </c>
      <c r="AK149" s="23">
        <f t="shared" si="1068"/>
        <v>0</v>
      </c>
      <c r="AL149" s="23">
        <f t="shared" si="1068"/>
        <v>0</v>
      </c>
      <c r="AM149" s="23">
        <f t="shared" si="1068"/>
        <v>0</v>
      </c>
      <c r="AN149" s="23">
        <f t="shared" si="1068"/>
        <v>0</v>
      </c>
      <c r="AO149" s="23">
        <f t="shared" si="1068"/>
        <v>0</v>
      </c>
      <c r="AP149" s="23">
        <f t="shared" si="1068"/>
        <v>0</v>
      </c>
      <c r="AQ149" s="23">
        <f t="shared" si="1068"/>
        <v>0</v>
      </c>
      <c r="AR149" s="23">
        <f t="shared" si="1068"/>
        <v>0</v>
      </c>
      <c r="AS149" s="23">
        <f t="shared" si="1068"/>
        <v>0</v>
      </c>
      <c r="AT149" s="23">
        <f t="shared" si="1068"/>
        <v>0</v>
      </c>
      <c r="AU149" s="23">
        <f t="shared" si="1068"/>
        <v>0</v>
      </c>
      <c r="AV149" s="23">
        <f t="shared" si="1068"/>
        <v>0</v>
      </c>
      <c r="AW149" s="23">
        <f t="shared" si="1068"/>
        <v>0</v>
      </c>
      <c r="AX149" s="23">
        <f t="shared" si="1068"/>
        <v>0</v>
      </c>
      <c r="AY149" s="23">
        <f t="shared" si="1068"/>
        <v>0</v>
      </c>
      <c r="AZ149" s="23">
        <f t="shared" si="1068"/>
        <v>0</v>
      </c>
      <c r="BA149" s="23">
        <f t="shared" si="1068"/>
        <v>0</v>
      </c>
      <c r="BB149" s="23">
        <f t="shared" si="1068"/>
        <v>0</v>
      </c>
      <c r="BC149" s="23">
        <f t="shared" si="1068"/>
        <v>0</v>
      </c>
      <c r="BD149" s="23">
        <f t="shared" si="1068"/>
        <v>0</v>
      </c>
      <c r="BE149" s="23">
        <f t="shared" si="1068"/>
        <v>0</v>
      </c>
      <c r="BF149" s="23">
        <f t="shared" si="1068"/>
        <v>0</v>
      </c>
      <c r="BG149" s="23">
        <f t="shared" si="1068"/>
        <v>0</v>
      </c>
      <c r="BH149" s="23">
        <f t="shared" si="1068"/>
        <v>0</v>
      </c>
      <c r="BI149" s="23">
        <f t="shared" si="1068"/>
        <v>0</v>
      </c>
      <c r="BJ149" s="23">
        <f t="shared" si="1068"/>
        <v>0</v>
      </c>
      <c r="BK149" s="23">
        <f t="shared" si="1068"/>
        <v>0</v>
      </c>
      <c r="BL149" s="23">
        <f t="shared" si="1068"/>
        <v>0</v>
      </c>
      <c r="BM149" s="23">
        <f t="shared" si="1068"/>
        <v>0</v>
      </c>
      <c r="BN149" s="23">
        <f t="shared" si="1068"/>
        <v>0</v>
      </c>
    </row>
    <row r="150" spans="3:66" x14ac:dyDescent="0.2">
      <c r="C150" s="322"/>
      <c r="D150" s="23" t="s">
        <v>9</v>
      </c>
      <c r="E150" s="27">
        <f>SUM(F150:BN150)</f>
        <v>0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</row>
    <row r="151" spans="3:66" x14ac:dyDescent="0.2">
      <c r="C151" s="322"/>
      <c r="D151" s="23" t="s">
        <v>14</v>
      </c>
      <c r="E151" s="27">
        <f>SUM(F151:AY151)</f>
        <v>888676.65652996779</v>
      </c>
      <c r="F151" s="23">
        <f>IF(F146=0,F147-F150,F146-F150)</f>
        <v>-155.9355424688485</v>
      </c>
      <c r="G151" s="23">
        <f t="shared" ref="G151" si="1069">IF(G146=0,G147-G150,G146-G150)</f>
        <v>421025.96466589108</v>
      </c>
      <c r="H151" s="23">
        <f t="shared" ref="H151" si="1070">IF(H146=0,H147-H150,H146-H150)</f>
        <v>467806.62740654557</v>
      </c>
      <c r="I151" s="23">
        <f t="shared" ref="I151" si="1071">IF(I146=0,I147-I150,I146-I150)</f>
        <v>0</v>
      </c>
      <c r="J151" s="23">
        <f t="shared" ref="J151" si="1072">IF(J146=0,J147-J150,J146-J150)</f>
        <v>0</v>
      </c>
      <c r="K151" s="23">
        <f t="shared" ref="K151" si="1073">IF(K146=0,K147-K150,K146-K150)</f>
        <v>0</v>
      </c>
      <c r="L151" s="23">
        <f t="shared" ref="L151" si="1074">IF(L146=0,L147-L150,L146-L150)</f>
        <v>0</v>
      </c>
      <c r="M151" s="23">
        <f t="shared" ref="M151" si="1075">IF(M146=0,M147-M150,M146-M150)</f>
        <v>0</v>
      </c>
      <c r="N151" s="23">
        <f t="shared" ref="N151" si="1076">IF(N146=0,N147-N150,N146-N150)</f>
        <v>0</v>
      </c>
      <c r="O151" s="23">
        <f t="shared" ref="O151" si="1077">IF(O146=0,O147-O150,O146-O150)</f>
        <v>0</v>
      </c>
      <c r="P151" s="23">
        <f t="shared" ref="P151" si="1078">IF(P146=0,P147-P150,P146-P150)</f>
        <v>0</v>
      </c>
      <c r="Q151" s="23">
        <f t="shared" ref="Q151" si="1079">IF(Q146=0,Q147-Q150,Q146-Q150)</f>
        <v>0</v>
      </c>
      <c r="R151" s="23">
        <f t="shared" ref="R151" si="1080">IF(R146=0,R147-R150,R146-R150)</f>
        <v>0</v>
      </c>
      <c r="S151" s="23">
        <f t="shared" ref="S151" si="1081">IF(S146=0,S147-S150,S146-S150)</f>
        <v>0</v>
      </c>
      <c r="T151" s="23">
        <f t="shared" ref="T151" si="1082">IF(T146=0,T147-T150,T146-T150)</f>
        <v>0</v>
      </c>
      <c r="U151" s="23">
        <f t="shared" ref="U151" si="1083">IF(U146=0,U147-U150,U146-U150)</f>
        <v>0</v>
      </c>
      <c r="V151" s="23">
        <f t="shared" ref="V151" si="1084">IF(V146=0,V147-V150,V146-V150)</f>
        <v>0</v>
      </c>
      <c r="W151" s="23">
        <f t="shared" ref="W151" si="1085">IF(W146=0,W147-W150,W146-W150)</f>
        <v>0</v>
      </c>
      <c r="X151" s="23">
        <f t="shared" ref="X151" si="1086">IF(X146=0,X147-X150,X146-X150)</f>
        <v>0</v>
      </c>
      <c r="Y151" s="23">
        <f t="shared" ref="Y151" si="1087">IF(Y146=0,Y147-Y150,Y146-Y150)</f>
        <v>0</v>
      </c>
      <c r="Z151" s="23">
        <f t="shared" ref="Z151" si="1088">IF(Z146=0,Z147-Z150,Z146-Z150)</f>
        <v>0</v>
      </c>
      <c r="AA151" s="23">
        <f t="shared" ref="AA151" si="1089">IF(AA146=0,AA147-AA150,AA146-AA150)</f>
        <v>0</v>
      </c>
      <c r="AB151" s="23">
        <f t="shared" ref="AB151" si="1090">IF(AB146=0,AB147-AB150,AB146-AB150)</f>
        <v>0</v>
      </c>
      <c r="AC151" s="23">
        <f t="shared" ref="AC151" si="1091">IF(AC146=0,AC147-AC150,AC146-AC150)</f>
        <v>0</v>
      </c>
      <c r="AD151" s="23">
        <f t="shared" ref="AD151" si="1092">IF(AD146=0,AD147-AD150,AD146-AD150)</f>
        <v>0</v>
      </c>
      <c r="AE151" s="23">
        <f t="shared" ref="AE151" si="1093">IF(AE146=0,AE147-AE150,AE146-AE150)</f>
        <v>0</v>
      </c>
      <c r="AF151" s="23">
        <f t="shared" ref="AF151" si="1094">IF(AF146=0,AF147-AF150,AF146-AF150)</f>
        <v>0</v>
      </c>
      <c r="AG151" s="23">
        <f t="shared" ref="AG151" si="1095">IF(AG146=0,AG147-AG150,AG146-AG150)</f>
        <v>0</v>
      </c>
      <c r="AH151" s="23">
        <f t="shared" ref="AH151" si="1096">IF(AH146=0,AH147-AH150,AH146-AH150)</f>
        <v>0</v>
      </c>
      <c r="AI151" s="23">
        <f t="shared" ref="AI151" si="1097">IF(AI146=0,AI147-AI150,AI146-AI150)</f>
        <v>0</v>
      </c>
      <c r="AJ151" s="23">
        <f t="shared" ref="AJ151" si="1098">IF(AJ146=0,AJ147-AJ150,AJ146-AJ150)</f>
        <v>0</v>
      </c>
      <c r="AK151" s="23">
        <f t="shared" ref="AK151" si="1099">IF(AK146=0,AK147-AK150,AK146-AK150)</f>
        <v>0</v>
      </c>
      <c r="AL151" s="23">
        <f t="shared" ref="AL151" si="1100">IF(AL146=0,AL147-AL150,AL146-AL150)</f>
        <v>0</v>
      </c>
      <c r="AM151" s="23">
        <f t="shared" ref="AM151" si="1101">IF(AM146=0,AM147-AM150,AM146-AM150)</f>
        <v>0</v>
      </c>
      <c r="AN151" s="23">
        <f t="shared" ref="AN151" si="1102">IF(AN146=0,AN147-AN150,AN146-AN150)</f>
        <v>0</v>
      </c>
      <c r="AO151" s="23">
        <f t="shared" ref="AO151" si="1103">IF(AO146=0,AO147-AO150,AO146-AO150)</f>
        <v>0</v>
      </c>
      <c r="AP151" s="23">
        <f t="shared" ref="AP151" si="1104">IF(AP146=0,AP147-AP150,AP146-AP150)</f>
        <v>0</v>
      </c>
      <c r="AQ151" s="23">
        <f t="shared" ref="AQ151" si="1105">IF(AQ146=0,AQ147-AQ150,AQ146-AQ150)</f>
        <v>0</v>
      </c>
      <c r="AR151" s="23">
        <f t="shared" ref="AR151" si="1106">IF(AR146=0,AR147-AR150,AR146-AR150)</f>
        <v>0</v>
      </c>
      <c r="AS151" s="23">
        <f t="shared" ref="AS151" si="1107">IF(AS146=0,AS147-AS150,AS146-AS150)</f>
        <v>0</v>
      </c>
      <c r="AT151" s="23">
        <f t="shared" ref="AT151" si="1108">IF(AT146=0,AT147-AT150,AT146-AT150)</f>
        <v>0</v>
      </c>
      <c r="AU151" s="23">
        <f t="shared" ref="AU151" si="1109">IF(AU146=0,AU147-AU150,AU146-AU150)</f>
        <v>0</v>
      </c>
      <c r="AV151" s="23">
        <f t="shared" ref="AV151" si="1110">IF(AV146=0,AV147-AV150,AV146-AV150)</f>
        <v>0</v>
      </c>
      <c r="AW151" s="23">
        <f t="shared" ref="AW151" si="1111">IF(AW146=0,AW147-AW150,AW146-AW150)</f>
        <v>0</v>
      </c>
      <c r="AX151" s="23">
        <f t="shared" ref="AX151" si="1112">IF(AX146=0,AX147-AX150,AX146-AX150)</f>
        <v>0</v>
      </c>
      <c r="AY151" s="23">
        <f t="shared" ref="AY151" si="1113">IF(AY146=0,AY147-AY150,AY146-AY150)</f>
        <v>0</v>
      </c>
      <c r="AZ151" s="23">
        <f t="shared" ref="AZ151" si="1114">IF(AZ146=0,AZ147-AZ150,AZ146-AZ150)</f>
        <v>0</v>
      </c>
      <c r="BA151" s="23">
        <f t="shared" ref="BA151" si="1115">IF(BA146=0,BA147-BA150,BA146-BA150)</f>
        <v>0</v>
      </c>
      <c r="BB151" s="23">
        <f t="shared" ref="BB151" si="1116">IF(BB146=0,BB147-BB150,BB146-BB150)</f>
        <v>0</v>
      </c>
      <c r="BC151" s="23">
        <f t="shared" ref="BC151" si="1117">IF(BC146=0,BC147-BC150,BC146-BC150)</f>
        <v>0</v>
      </c>
      <c r="BD151" s="23">
        <f t="shared" ref="BD151" si="1118">IF(BD146=0,BD147-BD150,BD146-BD150)</f>
        <v>0</v>
      </c>
      <c r="BE151" s="23">
        <f t="shared" ref="BE151" si="1119">IF(BE146=0,BE147-BE150,BE146-BE150)</f>
        <v>0</v>
      </c>
      <c r="BF151" s="23">
        <f t="shared" ref="BF151" si="1120">IF(BF146=0,BF147-BF150,BF146-BF150)</f>
        <v>0</v>
      </c>
      <c r="BG151" s="23">
        <f t="shared" ref="BG151" si="1121">IF(BG146=0,BG147-BG150,BG146-BG150)</f>
        <v>0</v>
      </c>
      <c r="BH151" s="23">
        <f t="shared" ref="BH151" si="1122">IF(BH146=0,BH147-BH150,BH146-BH150)</f>
        <v>0</v>
      </c>
      <c r="BI151" s="23">
        <f t="shared" ref="BI151" si="1123">IF(BI146=0,BI147-BI150,BI146-BI150)</f>
        <v>0</v>
      </c>
      <c r="BJ151" s="23">
        <f t="shared" ref="BJ151" si="1124">IF(BJ146=0,BJ147-BJ150,BJ146-BJ150)</f>
        <v>0</v>
      </c>
      <c r="BK151" s="23">
        <f t="shared" ref="BK151" si="1125">IF(BK146=0,BK147-BK150,BK146-BK150)</f>
        <v>0</v>
      </c>
      <c r="BL151" s="23">
        <f t="shared" ref="BL151" si="1126">IF(BL146=0,BL147-BL150,BL146-BL150)</f>
        <v>0</v>
      </c>
      <c r="BM151" s="23">
        <f t="shared" ref="BM151" si="1127">IF(BM146=0,BM147-BM150,BM146-BM150)</f>
        <v>0</v>
      </c>
      <c r="BN151" s="23">
        <f t="shared" ref="BN151" si="1128">IF(BN146=0,BN147-BN150,BN146-BN150)</f>
        <v>0</v>
      </c>
    </row>
    <row r="152" spans="3:66" x14ac:dyDescent="0.2">
      <c r="C152" s="322"/>
      <c r="D152" s="23" t="s">
        <v>10</v>
      </c>
      <c r="E152" s="72">
        <v>1.17E-2</v>
      </c>
      <c r="F152" s="54">
        <v>1.17E-2</v>
      </c>
      <c r="G152" s="54">
        <v>1.17E-2</v>
      </c>
      <c r="H152" s="54">
        <v>1.17E-2</v>
      </c>
      <c r="I152" s="54">
        <v>1.17E-2</v>
      </c>
      <c r="J152" s="54">
        <v>1.17E-2</v>
      </c>
      <c r="K152" s="54">
        <v>1.17E-2</v>
      </c>
      <c r="L152" s="54">
        <v>1.17E-2</v>
      </c>
      <c r="M152" s="54">
        <v>1.17E-2</v>
      </c>
      <c r="N152" s="54">
        <v>1.17E-2</v>
      </c>
      <c r="O152" s="54">
        <v>1.17E-2</v>
      </c>
      <c r="P152" s="54">
        <v>1.17E-2</v>
      </c>
      <c r="Q152" s="54">
        <v>1.17E-2</v>
      </c>
      <c r="R152" s="54">
        <v>1.17E-2</v>
      </c>
      <c r="S152" s="54">
        <v>1.17E-2</v>
      </c>
      <c r="T152" s="54">
        <v>1.17E-2</v>
      </c>
      <c r="U152" s="54">
        <v>1.17E-2</v>
      </c>
      <c r="V152" s="54">
        <v>1.17E-2</v>
      </c>
      <c r="W152" s="54">
        <v>1.17E-2</v>
      </c>
      <c r="X152" s="54">
        <v>1.17E-2</v>
      </c>
      <c r="Y152" s="54">
        <v>1.17E-2</v>
      </c>
      <c r="Z152" s="54">
        <v>1.17E-2</v>
      </c>
      <c r="AA152" s="54">
        <v>1.17E-2</v>
      </c>
      <c r="AB152" s="54">
        <v>1.17E-2</v>
      </c>
      <c r="AC152" s="54">
        <v>1.17E-2</v>
      </c>
      <c r="AD152" s="54">
        <v>1.17E-2</v>
      </c>
      <c r="AE152" s="54">
        <v>1.17E-2</v>
      </c>
      <c r="AF152" s="54">
        <v>1.17E-2</v>
      </c>
      <c r="AG152" s="54">
        <v>1.17E-2</v>
      </c>
      <c r="AH152" s="54">
        <v>1.17E-2</v>
      </c>
      <c r="AI152" s="54">
        <v>1.17E-2</v>
      </c>
      <c r="AJ152" s="54">
        <v>1.17E-2</v>
      </c>
      <c r="AK152" s="54">
        <v>1.17E-2</v>
      </c>
      <c r="AL152" s="54">
        <v>1.17E-2</v>
      </c>
      <c r="AM152" s="54">
        <v>1.17E-2</v>
      </c>
      <c r="AN152" s="54">
        <v>1.17E-2</v>
      </c>
      <c r="AO152" s="54">
        <v>1.17E-2</v>
      </c>
      <c r="AP152" s="54">
        <v>1.17E-2</v>
      </c>
      <c r="AQ152" s="54">
        <v>1.17E-2</v>
      </c>
      <c r="AR152" s="54">
        <v>1.17E-2</v>
      </c>
      <c r="AS152" s="54">
        <v>1.17E-2</v>
      </c>
      <c r="AT152" s="54">
        <v>1.17E-2</v>
      </c>
      <c r="AU152" s="54">
        <v>1.17E-2</v>
      </c>
      <c r="AV152" s="54">
        <v>1.17E-2</v>
      </c>
      <c r="AW152" s="54">
        <v>1.17E-2</v>
      </c>
      <c r="AX152" s="54">
        <v>1.17E-2</v>
      </c>
      <c r="AY152" s="54">
        <v>1.17E-2</v>
      </c>
      <c r="AZ152" s="54">
        <v>1.17E-2</v>
      </c>
      <c r="BA152" s="54">
        <v>1.17E-2</v>
      </c>
      <c r="BB152" s="54">
        <v>1.17E-2</v>
      </c>
      <c r="BC152" s="54">
        <v>1.17E-2</v>
      </c>
      <c r="BD152" s="54">
        <v>1.17E-2</v>
      </c>
      <c r="BE152" s="54">
        <v>1.17E-2</v>
      </c>
      <c r="BF152" s="54">
        <v>1.17E-2</v>
      </c>
      <c r="BG152" s="54">
        <v>1.17E-2</v>
      </c>
      <c r="BH152" s="54">
        <v>1.17E-2</v>
      </c>
      <c r="BI152" s="54">
        <v>1.17E-2</v>
      </c>
      <c r="BJ152" s="54">
        <v>1.17E-2</v>
      </c>
      <c r="BK152" s="54">
        <v>1.17E-2</v>
      </c>
      <c r="BL152" s="54">
        <v>1.17E-2</v>
      </c>
      <c r="BM152" s="54">
        <v>1.17E-2</v>
      </c>
      <c r="BN152" s="54">
        <v>1.17E-2</v>
      </c>
    </row>
    <row r="153" spans="3:66" x14ac:dyDescent="0.2">
      <c r="C153" s="322"/>
      <c r="D153" s="23" t="s">
        <v>12</v>
      </c>
      <c r="E153" s="27">
        <f>SUM(F153:AY153)</f>
        <v>10397.516881400625</v>
      </c>
      <c r="F153" s="29">
        <f>+F151*F152</f>
        <v>-1.8244458468855274</v>
      </c>
      <c r="G153" s="29">
        <f>+G151*G152</f>
        <v>4926.0037865909262</v>
      </c>
      <c r="H153" s="29">
        <f>+H151*H152</f>
        <v>5473.3375406565829</v>
      </c>
      <c r="I153" s="29">
        <f t="shared" ref="I153:N153" si="1129">+I151*I152</f>
        <v>0</v>
      </c>
      <c r="J153" s="29">
        <f t="shared" si="1129"/>
        <v>0</v>
      </c>
      <c r="K153" s="29">
        <f t="shared" si="1129"/>
        <v>0</v>
      </c>
      <c r="L153" s="29">
        <f t="shared" si="1129"/>
        <v>0</v>
      </c>
      <c r="M153" s="29">
        <f t="shared" si="1129"/>
        <v>0</v>
      </c>
      <c r="N153" s="29">
        <f t="shared" si="1129"/>
        <v>0</v>
      </c>
      <c r="O153" s="29">
        <v>0</v>
      </c>
      <c r="P153" s="29">
        <f>+P151*P152</f>
        <v>0</v>
      </c>
      <c r="Q153" s="29">
        <f t="shared" ref="Q153" si="1130">+Q151*Q152</f>
        <v>0</v>
      </c>
      <c r="R153" s="29">
        <f>+R151*R152</f>
        <v>0</v>
      </c>
      <c r="S153" s="29">
        <f>+S151*S152</f>
        <v>0</v>
      </c>
      <c r="T153" s="29">
        <f t="shared" ref="T153" si="1131">+T151*T152</f>
        <v>0</v>
      </c>
      <c r="U153" s="29">
        <v>0</v>
      </c>
      <c r="V153" s="29">
        <v>0</v>
      </c>
      <c r="W153" s="29">
        <f t="shared" ref="W153:Y153" si="1132">+W151*W152</f>
        <v>0</v>
      </c>
      <c r="X153" s="29">
        <f t="shared" si="1132"/>
        <v>0</v>
      </c>
      <c r="Y153" s="29">
        <f t="shared" si="1132"/>
        <v>0</v>
      </c>
      <c r="Z153" s="29">
        <f>+Z151*Z152</f>
        <v>0</v>
      </c>
      <c r="AA153" s="29">
        <f>+AA151*AA152</f>
        <v>0</v>
      </c>
      <c r="AB153" s="29">
        <f t="shared" ref="AB153:AC153" si="1133">+AB151*AB152</f>
        <v>0</v>
      </c>
      <c r="AC153" s="29">
        <f t="shared" si="1133"/>
        <v>0</v>
      </c>
      <c r="AD153" s="29">
        <v>0</v>
      </c>
      <c r="AE153" s="29">
        <v>0</v>
      </c>
      <c r="AF153" s="29">
        <f>+AF151*AF152</f>
        <v>0</v>
      </c>
      <c r="AG153" s="29">
        <f t="shared" ref="AG153:AP153" si="1134">+AG151*AG152</f>
        <v>0</v>
      </c>
      <c r="AH153" s="29">
        <f t="shared" si="1134"/>
        <v>0</v>
      </c>
      <c r="AI153" s="29">
        <f t="shared" si="1134"/>
        <v>0</v>
      </c>
      <c r="AJ153" s="29">
        <f t="shared" si="1134"/>
        <v>0</v>
      </c>
      <c r="AK153" s="29">
        <f t="shared" si="1134"/>
        <v>0</v>
      </c>
      <c r="AL153" s="29">
        <f t="shared" si="1134"/>
        <v>0</v>
      </c>
      <c r="AM153" s="29">
        <f t="shared" si="1134"/>
        <v>0</v>
      </c>
      <c r="AN153" s="29">
        <f t="shared" si="1134"/>
        <v>0</v>
      </c>
      <c r="AO153" s="29">
        <f t="shared" si="1134"/>
        <v>0</v>
      </c>
      <c r="AP153" s="29">
        <f t="shared" si="1134"/>
        <v>0</v>
      </c>
      <c r="AQ153" s="29">
        <f>+AQ151*AQ152</f>
        <v>0</v>
      </c>
      <c r="AR153" s="29">
        <f>+AR151*AR152</f>
        <v>0</v>
      </c>
      <c r="AS153" s="29">
        <f>+AS151*AS152</f>
        <v>0</v>
      </c>
      <c r="AT153" s="29">
        <f t="shared" ref="AT153:AU153" si="1135">+AT151*AT152</f>
        <v>0</v>
      </c>
      <c r="AU153" s="29">
        <f t="shared" si="1135"/>
        <v>0</v>
      </c>
      <c r="AV153" s="29">
        <v>0</v>
      </c>
      <c r="AW153" s="29">
        <f t="shared" ref="AW153:AX153" si="1136">+AW151*AW152</f>
        <v>0</v>
      </c>
      <c r="AX153" s="29">
        <f t="shared" si="1136"/>
        <v>0</v>
      </c>
      <c r="AY153" s="29">
        <f>+AY151*AY152</f>
        <v>0</v>
      </c>
      <c r="AZ153" s="29">
        <f t="shared" ref="AZ153:BM153" si="1137">+AZ151*AZ152</f>
        <v>0</v>
      </c>
      <c r="BA153" s="29">
        <f t="shared" si="1137"/>
        <v>0</v>
      </c>
      <c r="BB153" s="29">
        <v>0</v>
      </c>
      <c r="BC153" s="29">
        <f t="shared" si="1137"/>
        <v>0</v>
      </c>
      <c r="BD153" s="29">
        <f t="shared" si="1137"/>
        <v>0</v>
      </c>
      <c r="BE153" s="29">
        <f t="shared" si="1137"/>
        <v>0</v>
      </c>
      <c r="BF153" s="29">
        <f t="shared" si="1137"/>
        <v>0</v>
      </c>
      <c r="BG153" s="29">
        <f t="shared" si="1137"/>
        <v>0</v>
      </c>
      <c r="BH153" s="29">
        <f t="shared" si="1137"/>
        <v>0</v>
      </c>
      <c r="BI153" s="29">
        <f t="shared" si="1137"/>
        <v>0</v>
      </c>
      <c r="BJ153" s="29">
        <f t="shared" si="1137"/>
        <v>0</v>
      </c>
      <c r="BK153" s="29">
        <f t="shared" si="1137"/>
        <v>0</v>
      </c>
      <c r="BL153" s="29">
        <f t="shared" si="1137"/>
        <v>0</v>
      </c>
      <c r="BM153" s="29">
        <f t="shared" si="1137"/>
        <v>0</v>
      </c>
      <c r="BN153" s="29">
        <v>0</v>
      </c>
    </row>
    <row r="154" spans="3:66" ht="13.5" thickBot="1" x14ac:dyDescent="0.25">
      <c r="C154" s="323"/>
      <c r="D154" s="25" t="s">
        <v>11</v>
      </c>
      <c r="E154" s="30">
        <f>SUM(F154:BN154)</f>
        <v>899074.17341136839</v>
      </c>
      <c r="F154" s="46">
        <f>+F151+F153</f>
        <v>-157.75998831573403</v>
      </c>
      <c r="G154" s="46">
        <f>+G151+G153</f>
        <v>425951.96845248202</v>
      </c>
      <c r="H154" s="46">
        <f t="shared" ref="H154:BN154" si="1138">+H151+H153</f>
        <v>473279.96494720213</v>
      </c>
      <c r="I154" s="46">
        <f t="shared" si="1138"/>
        <v>0</v>
      </c>
      <c r="J154" s="46">
        <f t="shared" si="1138"/>
        <v>0</v>
      </c>
      <c r="K154" s="46">
        <f t="shared" si="1138"/>
        <v>0</v>
      </c>
      <c r="L154" s="46">
        <f t="shared" si="1138"/>
        <v>0</v>
      </c>
      <c r="M154" s="46">
        <f t="shared" si="1138"/>
        <v>0</v>
      </c>
      <c r="N154" s="46">
        <f t="shared" si="1138"/>
        <v>0</v>
      </c>
      <c r="O154" s="46">
        <f t="shared" si="1138"/>
        <v>0</v>
      </c>
      <c r="P154" s="46">
        <f t="shared" si="1138"/>
        <v>0</v>
      </c>
      <c r="Q154" s="46">
        <f t="shared" si="1138"/>
        <v>0</v>
      </c>
      <c r="R154" s="46">
        <f t="shared" si="1138"/>
        <v>0</v>
      </c>
      <c r="S154" s="46">
        <f t="shared" si="1138"/>
        <v>0</v>
      </c>
      <c r="T154" s="46">
        <f t="shared" si="1138"/>
        <v>0</v>
      </c>
      <c r="U154" s="46">
        <f t="shared" si="1138"/>
        <v>0</v>
      </c>
      <c r="V154" s="46">
        <f t="shared" si="1138"/>
        <v>0</v>
      </c>
      <c r="W154" s="46">
        <f t="shared" si="1138"/>
        <v>0</v>
      </c>
      <c r="X154" s="46">
        <f t="shared" si="1138"/>
        <v>0</v>
      </c>
      <c r="Y154" s="46">
        <f t="shared" si="1138"/>
        <v>0</v>
      </c>
      <c r="Z154" s="46">
        <f t="shared" si="1138"/>
        <v>0</v>
      </c>
      <c r="AA154" s="46">
        <f t="shared" si="1138"/>
        <v>0</v>
      </c>
      <c r="AB154" s="46">
        <f t="shared" si="1138"/>
        <v>0</v>
      </c>
      <c r="AC154" s="46">
        <f t="shared" si="1138"/>
        <v>0</v>
      </c>
      <c r="AD154" s="46">
        <f t="shared" si="1138"/>
        <v>0</v>
      </c>
      <c r="AE154" s="46">
        <f t="shared" si="1138"/>
        <v>0</v>
      </c>
      <c r="AF154" s="46">
        <f t="shared" si="1138"/>
        <v>0</v>
      </c>
      <c r="AG154" s="46">
        <f t="shared" si="1138"/>
        <v>0</v>
      </c>
      <c r="AH154" s="46">
        <f t="shared" si="1138"/>
        <v>0</v>
      </c>
      <c r="AI154" s="46">
        <f t="shared" si="1138"/>
        <v>0</v>
      </c>
      <c r="AJ154" s="46">
        <f t="shared" si="1138"/>
        <v>0</v>
      </c>
      <c r="AK154" s="46">
        <f t="shared" si="1138"/>
        <v>0</v>
      </c>
      <c r="AL154" s="46">
        <f t="shared" si="1138"/>
        <v>0</v>
      </c>
      <c r="AM154" s="46">
        <f t="shared" si="1138"/>
        <v>0</v>
      </c>
      <c r="AN154" s="46">
        <f t="shared" si="1138"/>
        <v>0</v>
      </c>
      <c r="AO154" s="46">
        <f t="shared" si="1138"/>
        <v>0</v>
      </c>
      <c r="AP154" s="46">
        <f t="shared" si="1138"/>
        <v>0</v>
      </c>
      <c r="AQ154" s="46">
        <f t="shared" si="1138"/>
        <v>0</v>
      </c>
      <c r="AR154" s="46">
        <f t="shared" si="1138"/>
        <v>0</v>
      </c>
      <c r="AS154" s="46">
        <f t="shared" si="1138"/>
        <v>0</v>
      </c>
      <c r="AT154" s="46">
        <f t="shared" si="1138"/>
        <v>0</v>
      </c>
      <c r="AU154" s="46">
        <f t="shared" si="1138"/>
        <v>0</v>
      </c>
      <c r="AV154" s="46">
        <f t="shared" si="1138"/>
        <v>0</v>
      </c>
      <c r="AW154" s="46">
        <f t="shared" si="1138"/>
        <v>0</v>
      </c>
      <c r="AX154" s="46">
        <f t="shared" si="1138"/>
        <v>0</v>
      </c>
      <c r="AY154" s="46">
        <f t="shared" si="1138"/>
        <v>0</v>
      </c>
      <c r="AZ154" s="46">
        <f t="shared" si="1138"/>
        <v>0</v>
      </c>
      <c r="BA154" s="46">
        <f t="shared" si="1138"/>
        <v>0</v>
      </c>
      <c r="BB154" s="46">
        <f t="shared" si="1138"/>
        <v>0</v>
      </c>
      <c r="BC154" s="46">
        <f t="shared" si="1138"/>
        <v>0</v>
      </c>
      <c r="BD154" s="46">
        <f t="shared" si="1138"/>
        <v>0</v>
      </c>
      <c r="BE154" s="46">
        <f t="shared" si="1138"/>
        <v>0</v>
      </c>
      <c r="BF154" s="46">
        <f t="shared" si="1138"/>
        <v>0</v>
      </c>
      <c r="BG154" s="46">
        <f t="shared" si="1138"/>
        <v>0</v>
      </c>
      <c r="BH154" s="46">
        <f t="shared" si="1138"/>
        <v>0</v>
      </c>
      <c r="BI154" s="46">
        <f t="shared" si="1138"/>
        <v>0</v>
      </c>
      <c r="BJ154" s="46">
        <f t="shared" si="1138"/>
        <v>0</v>
      </c>
      <c r="BK154" s="46">
        <f t="shared" si="1138"/>
        <v>0</v>
      </c>
      <c r="BL154" s="46">
        <f t="shared" si="1138"/>
        <v>0</v>
      </c>
      <c r="BM154" s="46">
        <f t="shared" si="1138"/>
        <v>0</v>
      </c>
      <c r="BN154" s="46">
        <f t="shared" si="1138"/>
        <v>0</v>
      </c>
    </row>
    <row r="155" spans="3:66" x14ac:dyDescent="0.2">
      <c r="C155" s="321">
        <v>44105</v>
      </c>
      <c r="D155" s="20" t="s">
        <v>5</v>
      </c>
      <c r="E155" s="50">
        <f>SUM(F155:BN155)</f>
        <v>0</v>
      </c>
      <c r="F155" s="279">
        <f>IF(F$6=$C155,F$7,0)</f>
        <v>0</v>
      </c>
      <c r="G155" s="279">
        <f t="shared" ref="G155:BN155" si="1139">IF(G$6=$C155,G$7,0)</f>
        <v>0</v>
      </c>
      <c r="H155" s="279">
        <f t="shared" si="1139"/>
        <v>0</v>
      </c>
      <c r="I155" s="279">
        <f t="shared" si="1139"/>
        <v>0</v>
      </c>
      <c r="J155" s="279">
        <f t="shared" si="1139"/>
        <v>0</v>
      </c>
      <c r="K155" s="279">
        <f t="shared" si="1139"/>
        <v>0</v>
      </c>
      <c r="L155" s="279">
        <f t="shared" si="1139"/>
        <v>0</v>
      </c>
      <c r="M155" s="279">
        <f t="shared" si="1139"/>
        <v>0</v>
      </c>
      <c r="N155" s="279">
        <f t="shared" si="1139"/>
        <v>0</v>
      </c>
      <c r="O155" s="279">
        <f t="shared" si="1139"/>
        <v>0</v>
      </c>
      <c r="P155" s="279">
        <f t="shared" si="1139"/>
        <v>0</v>
      </c>
      <c r="Q155" s="279">
        <f t="shared" si="1139"/>
        <v>0</v>
      </c>
      <c r="R155" s="279">
        <f t="shared" si="1139"/>
        <v>0</v>
      </c>
      <c r="S155" s="279">
        <f t="shared" si="1139"/>
        <v>0</v>
      </c>
      <c r="T155" s="279">
        <f t="shared" si="1139"/>
        <v>0</v>
      </c>
      <c r="U155" s="279">
        <f t="shared" si="1139"/>
        <v>0</v>
      </c>
      <c r="V155" s="279">
        <f t="shared" si="1139"/>
        <v>0</v>
      </c>
      <c r="W155" s="279">
        <f t="shared" si="1139"/>
        <v>0</v>
      </c>
      <c r="X155" s="279">
        <f t="shared" si="1139"/>
        <v>0</v>
      </c>
      <c r="Y155" s="279">
        <f t="shared" si="1139"/>
        <v>0</v>
      </c>
      <c r="Z155" s="279">
        <f t="shared" si="1139"/>
        <v>0</v>
      </c>
      <c r="AA155" s="279">
        <f t="shared" si="1139"/>
        <v>0</v>
      </c>
      <c r="AB155" s="279">
        <f t="shared" si="1139"/>
        <v>0</v>
      </c>
      <c r="AC155" s="279">
        <f t="shared" si="1139"/>
        <v>0</v>
      </c>
      <c r="AD155" s="279">
        <f t="shared" si="1139"/>
        <v>0</v>
      </c>
      <c r="AE155" s="279">
        <f t="shared" si="1139"/>
        <v>0</v>
      </c>
      <c r="AF155" s="279">
        <f t="shared" si="1139"/>
        <v>0</v>
      </c>
      <c r="AG155" s="279">
        <f t="shared" si="1139"/>
        <v>0</v>
      </c>
      <c r="AH155" s="279">
        <f t="shared" si="1139"/>
        <v>0</v>
      </c>
      <c r="AI155" s="279">
        <f t="shared" si="1139"/>
        <v>0</v>
      </c>
      <c r="AJ155" s="279">
        <f t="shared" si="1139"/>
        <v>0</v>
      </c>
      <c r="AK155" s="279">
        <f t="shared" si="1139"/>
        <v>0</v>
      </c>
      <c r="AL155" s="279">
        <f t="shared" si="1139"/>
        <v>0</v>
      </c>
      <c r="AM155" s="279">
        <f t="shared" si="1139"/>
        <v>0</v>
      </c>
      <c r="AN155" s="279">
        <f t="shared" si="1139"/>
        <v>0</v>
      </c>
      <c r="AO155" s="279">
        <f t="shared" si="1139"/>
        <v>0</v>
      </c>
      <c r="AP155" s="279">
        <f t="shared" si="1139"/>
        <v>0</v>
      </c>
      <c r="AQ155" s="279">
        <f t="shared" si="1139"/>
        <v>0</v>
      </c>
      <c r="AR155" s="279">
        <f t="shared" si="1139"/>
        <v>0</v>
      </c>
      <c r="AS155" s="279">
        <f t="shared" si="1139"/>
        <v>0</v>
      </c>
      <c r="AT155" s="279">
        <f t="shared" si="1139"/>
        <v>0</v>
      </c>
      <c r="AU155" s="279">
        <f t="shared" si="1139"/>
        <v>0</v>
      </c>
      <c r="AV155" s="279">
        <f t="shared" si="1139"/>
        <v>0</v>
      </c>
      <c r="AW155" s="279">
        <f t="shared" si="1139"/>
        <v>0</v>
      </c>
      <c r="AX155" s="279">
        <f t="shared" si="1139"/>
        <v>0</v>
      </c>
      <c r="AY155" s="279">
        <f t="shared" si="1139"/>
        <v>0</v>
      </c>
      <c r="AZ155" s="279">
        <f t="shared" si="1139"/>
        <v>0</v>
      </c>
      <c r="BA155" s="279">
        <f t="shared" si="1139"/>
        <v>0</v>
      </c>
      <c r="BB155" s="279">
        <f t="shared" si="1139"/>
        <v>0</v>
      </c>
      <c r="BC155" s="279">
        <f t="shared" si="1139"/>
        <v>0</v>
      </c>
      <c r="BD155" s="279">
        <f t="shared" si="1139"/>
        <v>0</v>
      </c>
      <c r="BE155" s="279">
        <f t="shared" si="1139"/>
        <v>0</v>
      </c>
      <c r="BF155" s="279">
        <f t="shared" si="1139"/>
        <v>0</v>
      </c>
      <c r="BG155" s="279">
        <f t="shared" si="1139"/>
        <v>0</v>
      </c>
      <c r="BH155" s="279">
        <f t="shared" si="1139"/>
        <v>0</v>
      </c>
      <c r="BI155" s="279">
        <f t="shared" si="1139"/>
        <v>0</v>
      </c>
      <c r="BJ155" s="279">
        <f t="shared" si="1139"/>
        <v>0</v>
      </c>
      <c r="BK155" s="279">
        <f t="shared" si="1139"/>
        <v>0</v>
      </c>
      <c r="BL155" s="279">
        <f t="shared" si="1139"/>
        <v>0</v>
      </c>
      <c r="BM155" s="279">
        <f t="shared" si="1139"/>
        <v>0</v>
      </c>
      <c r="BN155" s="279">
        <f t="shared" si="1139"/>
        <v>0</v>
      </c>
    </row>
    <row r="156" spans="3:66" x14ac:dyDescent="0.2">
      <c r="C156" s="322"/>
      <c r="D156" s="23" t="s">
        <v>7</v>
      </c>
      <c r="E156" s="91">
        <f>SUM(F156:BN156)</f>
        <v>14.640000000000011</v>
      </c>
      <c r="F156" s="28">
        <f>IF(F155="",VLOOKUP($C155,'CUSTOS REALIZADOS'!$A$11:$E$995,4),(VLOOKUP($C155,'CUSTOS REALIZADOS'!$A$11:$E$995,5)))</f>
        <v>0.24000000000000002</v>
      </c>
      <c r="G156" s="28">
        <f>IF(G155="",VLOOKUP($C155,'CUSTOS REALIZADOS'!$A$11:$E$995,4),(VLOOKUP($C155,'CUSTOS REALIZADOS'!$A$11:$E$995,5)))</f>
        <v>0.24000000000000002</v>
      </c>
      <c r="H156" s="28">
        <f>IF(H155="",VLOOKUP($C155,'CUSTOS REALIZADOS'!$A$11:$E$995,4),(VLOOKUP($C155,'CUSTOS REALIZADOS'!$A$11:$E$995,5)))</f>
        <v>0.24000000000000002</v>
      </c>
      <c r="I156" s="28">
        <f>IF(I155="",VLOOKUP($C155,'CUSTOS REALIZADOS'!$A$11:$E$995,4),(VLOOKUP($C155,'CUSTOS REALIZADOS'!$A$11:$E$995,5)))</f>
        <v>0.24000000000000002</v>
      </c>
      <c r="J156" s="28">
        <f>IF(J155="",VLOOKUP($C155,'CUSTOS REALIZADOS'!$A$11:$E$995,4),(VLOOKUP($C155,'CUSTOS REALIZADOS'!$A$11:$E$995,5)))</f>
        <v>0.24000000000000002</v>
      </c>
      <c r="K156" s="28">
        <f>IF(K155="",VLOOKUP($C155,'CUSTOS REALIZADOS'!$A$11:$E$995,4),(VLOOKUP($C155,'CUSTOS REALIZADOS'!$A$11:$E$995,5)))</f>
        <v>0.24000000000000002</v>
      </c>
      <c r="L156" s="28">
        <f>IF(L155="",VLOOKUP($C155,'CUSTOS REALIZADOS'!$A$11:$E$995,4),(VLOOKUP($C155,'CUSTOS REALIZADOS'!$A$11:$E$995,5)))</f>
        <v>0.24000000000000002</v>
      </c>
      <c r="M156" s="28">
        <f>IF(M155="",VLOOKUP($C155,'CUSTOS REALIZADOS'!$A$11:$E$995,4),(VLOOKUP($C155,'CUSTOS REALIZADOS'!$A$11:$E$995,5)))</f>
        <v>0.24000000000000002</v>
      </c>
      <c r="N156" s="28">
        <f>IF(N155="",VLOOKUP($C155,'CUSTOS REALIZADOS'!$A$11:$E$995,4),(VLOOKUP($C155,'CUSTOS REALIZADOS'!$A$11:$E$995,5)))</f>
        <v>0.24000000000000002</v>
      </c>
      <c r="O156" s="28">
        <f>IF(O155="",VLOOKUP($C155,'CUSTOS REALIZADOS'!$A$11:$E$995,4),(VLOOKUP($C155,'CUSTOS REALIZADOS'!$A$11:$E$995,5)))</f>
        <v>0.24000000000000002</v>
      </c>
      <c r="P156" s="28">
        <f>IF(P155="",VLOOKUP($C155,'CUSTOS REALIZADOS'!$A$11:$E$995,4),(VLOOKUP($C155,'CUSTOS REALIZADOS'!$A$11:$E$995,5)))</f>
        <v>0.24000000000000002</v>
      </c>
      <c r="Q156" s="28">
        <f>IF(Q155="",VLOOKUP($C155,'CUSTOS REALIZADOS'!$A$11:$E$995,4),(VLOOKUP($C155,'CUSTOS REALIZADOS'!$A$11:$E$995,5)))</f>
        <v>0.24000000000000002</v>
      </c>
      <c r="R156" s="28">
        <f>IF(R155="",VLOOKUP($C155,'CUSTOS REALIZADOS'!$A$11:$E$995,4),(VLOOKUP($C155,'CUSTOS REALIZADOS'!$A$11:$E$995,5)))</f>
        <v>0.24000000000000002</v>
      </c>
      <c r="S156" s="28">
        <f>IF(S155="",VLOOKUP($C155,'CUSTOS REALIZADOS'!$A$11:$E$995,4),(VLOOKUP($C155,'CUSTOS REALIZADOS'!$A$11:$E$995,5)))</f>
        <v>0.24000000000000002</v>
      </c>
      <c r="T156" s="28">
        <f>IF(T155="",VLOOKUP($C155,'CUSTOS REALIZADOS'!$A$11:$E$995,4),(VLOOKUP($C155,'CUSTOS REALIZADOS'!$A$11:$E$995,5)))</f>
        <v>0.24000000000000002</v>
      </c>
      <c r="U156" s="28">
        <f>IF(U155="",VLOOKUP($C155,'CUSTOS REALIZADOS'!$A$11:$E$995,4),(VLOOKUP($C155,'CUSTOS REALIZADOS'!$A$11:$E$995,5)))</f>
        <v>0.24000000000000002</v>
      </c>
      <c r="V156" s="28">
        <f>IF(V155="",VLOOKUP($C155,'CUSTOS REALIZADOS'!$A$11:$E$995,4),(VLOOKUP($C155,'CUSTOS REALIZADOS'!$A$11:$E$995,5)))</f>
        <v>0.24000000000000002</v>
      </c>
      <c r="W156" s="28">
        <f>IF(W155="",VLOOKUP($C155,'CUSTOS REALIZADOS'!$A$11:$E$995,4),(VLOOKUP($C155,'CUSTOS REALIZADOS'!$A$11:$E$995,5)))</f>
        <v>0.24000000000000002</v>
      </c>
      <c r="X156" s="28">
        <f>IF(X155="",VLOOKUP($C155,'CUSTOS REALIZADOS'!$A$11:$E$995,4),(VLOOKUP($C155,'CUSTOS REALIZADOS'!$A$11:$E$995,5)))</f>
        <v>0.24000000000000002</v>
      </c>
      <c r="Y156" s="28">
        <f>IF(Y155="",VLOOKUP($C155,'CUSTOS REALIZADOS'!$A$11:$E$995,4),(VLOOKUP($C155,'CUSTOS REALIZADOS'!$A$11:$E$995,5)))</f>
        <v>0.24000000000000002</v>
      </c>
      <c r="Z156" s="28">
        <f>IF(Z155="",VLOOKUP($C155,'CUSTOS REALIZADOS'!$A$11:$E$995,4),(VLOOKUP($C155,'CUSTOS REALIZADOS'!$A$11:$E$995,5)))</f>
        <v>0.24000000000000002</v>
      </c>
      <c r="AA156" s="28">
        <f>IF(AA155="",VLOOKUP($C155,'CUSTOS REALIZADOS'!$A$11:$E$995,4),(VLOOKUP($C155,'CUSTOS REALIZADOS'!$A$11:$E$995,5)))</f>
        <v>0.24000000000000002</v>
      </c>
      <c r="AB156" s="28">
        <f>IF(AB155="",VLOOKUP($C155,'CUSTOS REALIZADOS'!$A$11:$E$995,4),(VLOOKUP($C155,'CUSTOS REALIZADOS'!$A$11:$E$995,5)))</f>
        <v>0.24000000000000002</v>
      </c>
      <c r="AC156" s="28">
        <f>IF(AC155="",VLOOKUP($C155,'CUSTOS REALIZADOS'!$A$11:$E$995,4),(VLOOKUP($C155,'CUSTOS REALIZADOS'!$A$11:$E$995,5)))</f>
        <v>0.24000000000000002</v>
      </c>
      <c r="AD156" s="28">
        <f>IF(AD155="",VLOOKUP($C155,'CUSTOS REALIZADOS'!$A$11:$E$995,4),(VLOOKUP($C155,'CUSTOS REALIZADOS'!$A$11:$E$995,5)))</f>
        <v>0.24000000000000002</v>
      </c>
      <c r="AE156" s="28">
        <f>IF(AE155="",VLOOKUP($C155,'CUSTOS REALIZADOS'!$A$11:$E$995,4),(VLOOKUP($C155,'CUSTOS REALIZADOS'!$A$11:$E$995,5)))</f>
        <v>0.24000000000000002</v>
      </c>
      <c r="AF156" s="28">
        <f>IF(AF155="",VLOOKUP($C155,'CUSTOS REALIZADOS'!$A$11:$E$995,4),(VLOOKUP($C155,'CUSTOS REALIZADOS'!$A$11:$E$995,5)))</f>
        <v>0.24000000000000002</v>
      </c>
      <c r="AG156" s="28">
        <f>IF(AG155="",VLOOKUP($C155,'CUSTOS REALIZADOS'!$A$11:$E$995,4),(VLOOKUP($C155,'CUSTOS REALIZADOS'!$A$11:$E$995,5)))</f>
        <v>0.24000000000000002</v>
      </c>
      <c r="AH156" s="28">
        <f>IF(AH155="",VLOOKUP($C155,'CUSTOS REALIZADOS'!$A$11:$E$995,4),(VLOOKUP($C155,'CUSTOS REALIZADOS'!$A$11:$E$995,5)))</f>
        <v>0.24000000000000002</v>
      </c>
      <c r="AI156" s="28">
        <f>IF(AI155="",VLOOKUP($C155,'CUSTOS REALIZADOS'!$A$11:$E$995,4),(VLOOKUP($C155,'CUSTOS REALIZADOS'!$A$11:$E$995,5)))</f>
        <v>0.24000000000000002</v>
      </c>
      <c r="AJ156" s="28">
        <f>IF(AJ155="",VLOOKUP($C155,'CUSTOS REALIZADOS'!$A$11:$E$995,4),(VLOOKUP($C155,'CUSTOS REALIZADOS'!$A$11:$E$995,5)))</f>
        <v>0.24000000000000002</v>
      </c>
      <c r="AK156" s="28">
        <f>IF(AK155="",VLOOKUP($C155,'CUSTOS REALIZADOS'!$A$11:$E$995,4),(VLOOKUP($C155,'CUSTOS REALIZADOS'!$A$11:$E$995,5)))</f>
        <v>0.24000000000000002</v>
      </c>
      <c r="AL156" s="28">
        <f>IF(AL155="",VLOOKUP($C155,'CUSTOS REALIZADOS'!$A$11:$E$995,4),(VLOOKUP($C155,'CUSTOS REALIZADOS'!$A$11:$E$995,5)))</f>
        <v>0.24000000000000002</v>
      </c>
      <c r="AM156" s="28">
        <f>IF(AM155="",VLOOKUP($C155,'CUSTOS REALIZADOS'!$A$11:$E$995,4),(VLOOKUP($C155,'CUSTOS REALIZADOS'!$A$11:$E$995,5)))</f>
        <v>0.24000000000000002</v>
      </c>
      <c r="AN156" s="28">
        <f>IF(AN155="",VLOOKUP($C155,'CUSTOS REALIZADOS'!$A$11:$E$995,4),(VLOOKUP($C155,'CUSTOS REALIZADOS'!$A$11:$E$995,5)))</f>
        <v>0.24000000000000002</v>
      </c>
      <c r="AO156" s="28">
        <f>IF(AO155="",VLOOKUP($C155,'CUSTOS REALIZADOS'!$A$11:$E$995,4),(VLOOKUP($C155,'CUSTOS REALIZADOS'!$A$11:$E$995,5)))</f>
        <v>0.24000000000000002</v>
      </c>
      <c r="AP156" s="28">
        <f>IF(AP155="",VLOOKUP($C155,'CUSTOS REALIZADOS'!$A$11:$E$995,4),(VLOOKUP($C155,'CUSTOS REALIZADOS'!$A$11:$E$995,5)))</f>
        <v>0.24000000000000002</v>
      </c>
      <c r="AQ156" s="28">
        <f>IF(AQ155="",VLOOKUP($C155,'CUSTOS REALIZADOS'!$A$11:$E$995,4),(VLOOKUP($C155,'CUSTOS REALIZADOS'!$A$11:$E$995,5)))</f>
        <v>0.24000000000000002</v>
      </c>
      <c r="AR156" s="28">
        <f>IF(AR155="",VLOOKUP($C155,'CUSTOS REALIZADOS'!$A$11:$E$995,4),(VLOOKUP($C155,'CUSTOS REALIZADOS'!$A$11:$E$995,5)))</f>
        <v>0.24000000000000002</v>
      </c>
      <c r="AS156" s="28">
        <f>IF(AS155="",VLOOKUP($C155,'CUSTOS REALIZADOS'!$A$11:$E$995,4),(VLOOKUP($C155,'CUSTOS REALIZADOS'!$A$11:$E$995,5)))</f>
        <v>0.24000000000000002</v>
      </c>
      <c r="AT156" s="28">
        <f>IF(AT155="",VLOOKUP($C155,'CUSTOS REALIZADOS'!$A$11:$E$995,4),(VLOOKUP($C155,'CUSTOS REALIZADOS'!$A$11:$E$995,5)))</f>
        <v>0.24000000000000002</v>
      </c>
      <c r="AU156" s="28">
        <f>IF(AU155="",VLOOKUP($C155,'CUSTOS REALIZADOS'!$A$11:$E$995,4),(VLOOKUP($C155,'CUSTOS REALIZADOS'!$A$11:$E$995,5)))</f>
        <v>0.24000000000000002</v>
      </c>
      <c r="AV156" s="28">
        <f>IF(AV155="",VLOOKUP($C155,'CUSTOS REALIZADOS'!$A$11:$E$995,4),(VLOOKUP($C155,'CUSTOS REALIZADOS'!$A$11:$E$995,5)))</f>
        <v>0.24000000000000002</v>
      </c>
      <c r="AW156" s="28">
        <f>IF(AW155="",VLOOKUP($C155,'CUSTOS REALIZADOS'!$A$11:$E$995,4),(VLOOKUP($C155,'CUSTOS REALIZADOS'!$A$11:$E$995,5)))</f>
        <v>0.24000000000000002</v>
      </c>
      <c r="AX156" s="28">
        <f>IF(AX155="",VLOOKUP($C155,'CUSTOS REALIZADOS'!$A$11:$E$995,4),(VLOOKUP($C155,'CUSTOS REALIZADOS'!$A$11:$E$995,5)))</f>
        <v>0.24000000000000002</v>
      </c>
      <c r="AY156" s="28">
        <f>IF(AY155="",VLOOKUP($C155,'CUSTOS REALIZADOS'!$A$11:$E$995,4),(VLOOKUP($C155,'CUSTOS REALIZADOS'!$A$11:$E$995,5)))</f>
        <v>0.24000000000000002</v>
      </c>
      <c r="AZ156" s="28">
        <f>IF(AZ155="",VLOOKUP($C155,'CUSTOS REALIZADOS'!$A$11:$E$995,4),(VLOOKUP($C155,'CUSTOS REALIZADOS'!$A$11:$E$995,5)))</f>
        <v>0.24000000000000002</v>
      </c>
      <c r="BA156" s="28">
        <f>IF(BA155="",VLOOKUP($C155,'CUSTOS REALIZADOS'!$A$11:$E$995,4),(VLOOKUP($C155,'CUSTOS REALIZADOS'!$A$11:$E$995,5)))</f>
        <v>0.24000000000000002</v>
      </c>
      <c r="BB156" s="28">
        <f>IF(BB155="",VLOOKUP($C155,'CUSTOS REALIZADOS'!$A$11:$E$995,4),(VLOOKUP($C155,'CUSTOS REALIZADOS'!$A$11:$E$995,5)))</f>
        <v>0.24000000000000002</v>
      </c>
      <c r="BC156" s="28">
        <f>IF(BC155="",VLOOKUP($C155,'CUSTOS REALIZADOS'!$A$11:$E$995,4),(VLOOKUP($C155,'CUSTOS REALIZADOS'!$A$11:$E$995,5)))</f>
        <v>0.24000000000000002</v>
      </c>
      <c r="BD156" s="28">
        <f>IF(BD155="",VLOOKUP($C155,'CUSTOS REALIZADOS'!$A$11:$E$995,4),(VLOOKUP($C155,'CUSTOS REALIZADOS'!$A$11:$E$995,5)))</f>
        <v>0.24000000000000002</v>
      </c>
      <c r="BE156" s="28">
        <f>IF(BE155="",VLOOKUP($C155,'CUSTOS REALIZADOS'!$A$11:$E$995,4),(VLOOKUP($C155,'CUSTOS REALIZADOS'!$A$11:$E$995,5)))</f>
        <v>0.24000000000000002</v>
      </c>
      <c r="BF156" s="28">
        <f>IF(BF155="",VLOOKUP($C155,'CUSTOS REALIZADOS'!$A$11:$E$995,4),(VLOOKUP($C155,'CUSTOS REALIZADOS'!$A$11:$E$995,5)))</f>
        <v>0.24000000000000002</v>
      </c>
      <c r="BG156" s="28">
        <f>IF(BG155="",VLOOKUP($C155,'CUSTOS REALIZADOS'!$A$11:$E$995,4),(VLOOKUP($C155,'CUSTOS REALIZADOS'!$A$11:$E$995,5)))</f>
        <v>0.24000000000000002</v>
      </c>
      <c r="BH156" s="28">
        <f>IF(BH155="",VLOOKUP($C155,'CUSTOS REALIZADOS'!$A$11:$E$995,4),(VLOOKUP($C155,'CUSTOS REALIZADOS'!$A$11:$E$995,5)))</f>
        <v>0.24000000000000002</v>
      </c>
      <c r="BI156" s="28">
        <f>IF(BI155="",VLOOKUP($C155,'CUSTOS REALIZADOS'!$A$11:$E$995,4),(VLOOKUP($C155,'CUSTOS REALIZADOS'!$A$11:$E$995,5)))</f>
        <v>0.24000000000000002</v>
      </c>
      <c r="BJ156" s="28">
        <f>IF(BJ155="",VLOOKUP($C155,'CUSTOS REALIZADOS'!$A$11:$E$995,4),(VLOOKUP($C155,'CUSTOS REALIZADOS'!$A$11:$E$995,5)))</f>
        <v>0.24000000000000002</v>
      </c>
      <c r="BK156" s="28">
        <f>IF(BK155="",VLOOKUP($C155,'CUSTOS REALIZADOS'!$A$11:$E$995,4),(VLOOKUP($C155,'CUSTOS REALIZADOS'!$A$11:$E$995,5)))</f>
        <v>0.24000000000000002</v>
      </c>
      <c r="BL156" s="28">
        <f>IF(BL155="",VLOOKUP($C155,'CUSTOS REALIZADOS'!$A$11:$E$995,4),(VLOOKUP($C155,'CUSTOS REALIZADOS'!$A$11:$E$995,5)))</f>
        <v>0.24000000000000002</v>
      </c>
      <c r="BM156" s="28">
        <f>IF(BM155="",VLOOKUP($C155,'CUSTOS REALIZADOS'!$A$11:$E$995,4),(VLOOKUP($C155,'CUSTOS REALIZADOS'!$A$11:$E$995,5)))</f>
        <v>0.24000000000000002</v>
      </c>
      <c r="BN156" s="28">
        <f>IF(BN155="",VLOOKUP($C155,'CUSTOS REALIZADOS'!$A$11:$E$995,4),(VLOOKUP($C155,'CUSTOS REALIZADOS'!$A$11:$E$995,5)))</f>
        <v>0.24000000000000002</v>
      </c>
    </row>
    <row r="157" spans="3:66" x14ac:dyDescent="0.2">
      <c r="C157" s="322"/>
      <c r="D157" s="23" t="s">
        <v>6</v>
      </c>
      <c r="E157" s="27">
        <f>SUM(F157:BN157)</f>
        <v>95000</v>
      </c>
      <c r="F157" s="23">
        <f>IF(AND($C155&gt;=F$6,OR($C155&lt;F$8,F$8="")),F$7*F$28,0)</f>
        <v>0</v>
      </c>
      <c r="G157" s="23">
        <f t="shared" ref="G157:BN157" si="1140">IF(AND($C155&gt;=G$6,OR($C155&lt;G$8,G$8="")),G$7*G$28,0)</f>
        <v>45000</v>
      </c>
      <c r="H157" s="23">
        <f t="shared" si="1140"/>
        <v>50000</v>
      </c>
      <c r="I157" s="23">
        <f t="shared" si="1140"/>
        <v>0</v>
      </c>
      <c r="J157" s="23">
        <f t="shared" si="1140"/>
        <v>0</v>
      </c>
      <c r="K157" s="23">
        <f t="shared" si="1140"/>
        <v>0</v>
      </c>
      <c r="L157" s="23">
        <f t="shared" si="1140"/>
        <v>0</v>
      </c>
      <c r="M157" s="23">
        <f t="shared" si="1140"/>
        <v>0</v>
      </c>
      <c r="N157" s="23">
        <f t="shared" si="1140"/>
        <v>0</v>
      </c>
      <c r="O157" s="23">
        <f t="shared" si="1140"/>
        <v>0</v>
      </c>
      <c r="P157" s="23">
        <f t="shared" si="1140"/>
        <v>0</v>
      </c>
      <c r="Q157" s="23">
        <f t="shared" si="1140"/>
        <v>0</v>
      </c>
      <c r="R157" s="23">
        <f t="shared" si="1140"/>
        <v>0</v>
      </c>
      <c r="S157" s="23">
        <f t="shared" si="1140"/>
        <v>0</v>
      </c>
      <c r="T157" s="23">
        <f t="shared" si="1140"/>
        <v>0</v>
      </c>
      <c r="U157" s="23">
        <f t="shared" si="1140"/>
        <v>0</v>
      </c>
      <c r="V157" s="23">
        <f t="shared" si="1140"/>
        <v>0</v>
      </c>
      <c r="W157" s="23">
        <f t="shared" si="1140"/>
        <v>0</v>
      </c>
      <c r="X157" s="23">
        <f t="shared" si="1140"/>
        <v>0</v>
      </c>
      <c r="Y157" s="23">
        <f t="shared" si="1140"/>
        <v>0</v>
      </c>
      <c r="Z157" s="23">
        <f t="shared" si="1140"/>
        <v>0</v>
      </c>
      <c r="AA157" s="23">
        <f t="shared" si="1140"/>
        <v>0</v>
      </c>
      <c r="AB157" s="23">
        <f t="shared" si="1140"/>
        <v>0</v>
      </c>
      <c r="AC157" s="23">
        <f t="shared" si="1140"/>
        <v>0</v>
      </c>
      <c r="AD157" s="23">
        <f t="shared" si="1140"/>
        <v>0</v>
      </c>
      <c r="AE157" s="23">
        <f t="shared" si="1140"/>
        <v>0</v>
      </c>
      <c r="AF157" s="23">
        <f t="shared" si="1140"/>
        <v>0</v>
      </c>
      <c r="AG157" s="23">
        <f t="shared" si="1140"/>
        <v>0</v>
      </c>
      <c r="AH157" s="23">
        <f t="shared" si="1140"/>
        <v>0</v>
      </c>
      <c r="AI157" s="23">
        <f t="shared" si="1140"/>
        <v>0</v>
      </c>
      <c r="AJ157" s="23">
        <f t="shared" si="1140"/>
        <v>0</v>
      </c>
      <c r="AK157" s="23">
        <f t="shared" si="1140"/>
        <v>0</v>
      </c>
      <c r="AL157" s="23">
        <f t="shared" si="1140"/>
        <v>0</v>
      </c>
      <c r="AM157" s="23">
        <f t="shared" si="1140"/>
        <v>0</v>
      </c>
      <c r="AN157" s="23">
        <f t="shared" si="1140"/>
        <v>0</v>
      </c>
      <c r="AO157" s="23">
        <f t="shared" si="1140"/>
        <v>0</v>
      </c>
      <c r="AP157" s="23">
        <f t="shared" si="1140"/>
        <v>0</v>
      </c>
      <c r="AQ157" s="23">
        <f t="shared" si="1140"/>
        <v>0</v>
      </c>
      <c r="AR157" s="23">
        <f t="shared" si="1140"/>
        <v>0</v>
      </c>
      <c r="AS157" s="23">
        <f t="shared" si="1140"/>
        <v>0</v>
      </c>
      <c r="AT157" s="23">
        <f t="shared" si="1140"/>
        <v>0</v>
      </c>
      <c r="AU157" s="23">
        <f t="shared" si="1140"/>
        <v>0</v>
      </c>
      <c r="AV157" s="23">
        <f t="shared" si="1140"/>
        <v>0</v>
      </c>
      <c r="AW157" s="23">
        <f t="shared" si="1140"/>
        <v>0</v>
      </c>
      <c r="AX157" s="23">
        <f t="shared" si="1140"/>
        <v>0</v>
      </c>
      <c r="AY157" s="23">
        <f t="shared" si="1140"/>
        <v>0</v>
      </c>
      <c r="AZ157" s="23">
        <f t="shared" si="1140"/>
        <v>0</v>
      </c>
      <c r="BA157" s="23">
        <f t="shared" si="1140"/>
        <v>0</v>
      </c>
      <c r="BB157" s="23">
        <f t="shared" si="1140"/>
        <v>0</v>
      </c>
      <c r="BC157" s="23">
        <f t="shared" si="1140"/>
        <v>0</v>
      </c>
      <c r="BD157" s="23">
        <f t="shared" si="1140"/>
        <v>0</v>
      </c>
      <c r="BE157" s="23">
        <f t="shared" si="1140"/>
        <v>0</v>
      </c>
      <c r="BF157" s="23">
        <f t="shared" si="1140"/>
        <v>0</v>
      </c>
      <c r="BG157" s="23">
        <f t="shared" si="1140"/>
        <v>0</v>
      </c>
      <c r="BH157" s="23">
        <f t="shared" si="1140"/>
        <v>0</v>
      </c>
      <c r="BI157" s="23">
        <f t="shared" si="1140"/>
        <v>0</v>
      </c>
      <c r="BJ157" s="23">
        <f t="shared" si="1140"/>
        <v>0</v>
      </c>
      <c r="BK157" s="23">
        <f t="shared" si="1140"/>
        <v>0</v>
      </c>
      <c r="BL157" s="23">
        <f t="shared" si="1140"/>
        <v>0</v>
      </c>
      <c r="BM157" s="23">
        <f t="shared" si="1140"/>
        <v>0</v>
      </c>
      <c r="BN157" s="23">
        <f t="shared" si="1140"/>
        <v>0</v>
      </c>
    </row>
    <row r="158" spans="3:66" x14ac:dyDescent="0.2">
      <c r="C158" s="322"/>
      <c r="D158" s="23" t="s">
        <v>9</v>
      </c>
      <c r="E158" s="27">
        <f>SUM(F158:BN158)</f>
        <v>0</v>
      </c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</row>
    <row r="159" spans="3:66" x14ac:dyDescent="0.2">
      <c r="C159" s="322"/>
      <c r="D159" s="23" t="s">
        <v>14</v>
      </c>
      <c r="E159" s="27">
        <f>SUM(F159:AY159)</f>
        <v>899074.17341136839</v>
      </c>
      <c r="F159" s="23">
        <f>IF(F154=0,F155-F158,F154-F158)</f>
        <v>-157.75998831573403</v>
      </c>
      <c r="G159" s="23">
        <f t="shared" ref="G159" si="1141">IF(G154=0,G155-G158,G154-G158)</f>
        <v>425951.96845248202</v>
      </c>
      <c r="H159" s="23">
        <f t="shared" ref="H159" si="1142">IF(H154=0,H155-H158,H154-H158)</f>
        <v>473279.96494720213</v>
      </c>
      <c r="I159" s="23">
        <f t="shared" ref="I159" si="1143">IF(I154=0,I155-I158,I154-I158)</f>
        <v>0</v>
      </c>
      <c r="J159" s="23">
        <f t="shared" ref="J159" si="1144">IF(J154=0,J155-J158,J154-J158)</f>
        <v>0</v>
      </c>
      <c r="K159" s="23">
        <f t="shared" ref="K159" si="1145">IF(K154=0,K155-K158,K154-K158)</f>
        <v>0</v>
      </c>
      <c r="L159" s="23">
        <f t="shared" ref="L159" si="1146">IF(L154=0,L155-L158,L154-L158)</f>
        <v>0</v>
      </c>
      <c r="M159" s="23">
        <f t="shared" ref="M159" si="1147">IF(M154=0,M155-M158,M154-M158)</f>
        <v>0</v>
      </c>
      <c r="N159" s="23">
        <f t="shared" ref="N159" si="1148">IF(N154=0,N155-N158,N154-N158)</f>
        <v>0</v>
      </c>
      <c r="O159" s="23">
        <f t="shared" ref="O159" si="1149">IF(O154=0,O155-O158,O154-O158)</f>
        <v>0</v>
      </c>
      <c r="P159" s="23">
        <f t="shared" ref="P159" si="1150">IF(P154=0,P155-P158,P154-P158)</f>
        <v>0</v>
      </c>
      <c r="Q159" s="23">
        <f t="shared" ref="Q159" si="1151">IF(Q154=0,Q155-Q158,Q154-Q158)</f>
        <v>0</v>
      </c>
      <c r="R159" s="23">
        <f t="shared" ref="R159" si="1152">IF(R154=0,R155-R158,R154-R158)</f>
        <v>0</v>
      </c>
      <c r="S159" s="23">
        <f t="shared" ref="S159" si="1153">IF(S154=0,S155-S158,S154-S158)</f>
        <v>0</v>
      </c>
      <c r="T159" s="23">
        <f t="shared" ref="T159" si="1154">IF(T154=0,T155-T158,T154-T158)</f>
        <v>0</v>
      </c>
      <c r="U159" s="23">
        <f t="shared" ref="U159" si="1155">IF(U154=0,U155-U158,U154-U158)</f>
        <v>0</v>
      </c>
      <c r="V159" s="23">
        <f t="shared" ref="V159" si="1156">IF(V154=0,V155-V158,V154-V158)</f>
        <v>0</v>
      </c>
      <c r="W159" s="23">
        <f t="shared" ref="W159" si="1157">IF(W154=0,W155-W158,W154-W158)</f>
        <v>0</v>
      </c>
      <c r="X159" s="23">
        <f t="shared" ref="X159" si="1158">IF(X154=0,X155-X158,X154-X158)</f>
        <v>0</v>
      </c>
      <c r="Y159" s="23">
        <f t="shared" ref="Y159" si="1159">IF(Y154=0,Y155-Y158,Y154-Y158)</f>
        <v>0</v>
      </c>
      <c r="Z159" s="23">
        <f t="shared" ref="Z159" si="1160">IF(Z154=0,Z155-Z158,Z154-Z158)</f>
        <v>0</v>
      </c>
      <c r="AA159" s="23">
        <f t="shared" ref="AA159" si="1161">IF(AA154=0,AA155-AA158,AA154-AA158)</f>
        <v>0</v>
      </c>
      <c r="AB159" s="23">
        <f t="shared" ref="AB159" si="1162">IF(AB154=0,AB155-AB158,AB154-AB158)</f>
        <v>0</v>
      </c>
      <c r="AC159" s="23">
        <f t="shared" ref="AC159" si="1163">IF(AC154=0,AC155-AC158,AC154-AC158)</f>
        <v>0</v>
      </c>
      <c r="AD159" s="23">
        <f t="shared" ref="AD159" si="1164">IF(AD154=0,AD155-AD158,AD154-AD158)</f>
        <v>0</v>
      </c>
      <c r="AE159" s="23">
        <f t="shared" ref="AE159" si="1165">IF(AE154=0,AE155-AE158,AE154-AE158)</f>
        <v>0</v>
      </c>
      <c r="AF159" s="23">
        <f t="shared" ref="AF159" si="1166">IF(AF154=0,AF155-AF158,AF154-AF158)</f>
        <v>0</v>
      </c>
      <c r="AG159" s="23">
        <f t="shared" ref="AG159" si="1167">IF(AG154=0,AG155-AG158,AG154-AG158)</f>
        <v>0</v>
      </c>
      <c r="AH159" s="23">
        <f t="shared" ref="AH159" si="1168">IF(AH154=0,AH155-AH158,AH154-AH158)</f>
        <v>0</v>
      </c>
      <c r="AI159" s="23">
        <f t="shared" ref="AI159" si="1169">IF(AI154=0,AI155-AI158,AI154-AI158)</f>
        <v>0</v>
      </c>
      <c r="AJ159" s="23">
        <f t="shared" ref="AJ159" si="1170">IF(AJ154=0,AJ155-AJ158,AJ154-AJ158)</f>
        <v>0</v>
      </c>
      <c r="AK159" s="23">
        <f t="shared" ref="AK159" si="1171">IF(AK154=0,AK155-AK158,AK154-AK158)</f>
        <v>0</v>
      </c>
      <c r="AL159" s="23">
        <f t="shared" ref="AL159" si="1172">IF(AL154=0,AL155-AL158,AL154-AL158)</f>
        <v>0</v>
      </c>
      <c r="AM159" s="23">
        <f t="shared" ref="AM159" si="1173">IF(AM154=0,AM155-AM158,AM154-AM158)</f>
        <v>0</v>
      </c>
      <c r="AN159" s="23">
        <f t="shared" ref="AN159" si="1174">IF(AN154=0,AN155-AN158,AN154-AN158)</f>
        <v>0</v>
      </c>
      <c r="AO159" s="23">
        <f t="shared" ref="AO159" si="1175">IF(AO154=0,AO155-AO158,AO154-AO158)</f>
        <v>0</v>
      </c>
      <c r="AP159" s="23">
        <f t="shared" ref="AP159" si="1176">IF(AP154=0,AP155-AP158,AP154-AP158)</f>
        <v>0</v>
      </c>
      <c r="AQ159" s="23">
        <f t="shared" ref="AQ159" si="1177">IF(AQ154=0,AQ155-AQ158,AQ154-AQ158)</f>
        <v>0</v>
      </c>
      <c r="AR159" s="23">
        <f t="shared" ref="AR159" si="1178">IF(AR154=0,AR155-AR158,AR154-AR158)</f>
        <v>0</v>
      </c>
      <c r="AS159" s="23">
        <f t="shared" ref="AS159" si="1179">IF(AS154=0,AS155-AS158,AS154-AS158)</f>
        <v>0</v>
      </c>
      <c r="AT159" s="23">
        <f t="shared" ref="AT159" si="1180">IF(AT154=0,AT155-AT158,AT154-AT158)</f>
        <v>0</v>
      </c>
      <c r="AU159" s="23">
        <f t="shared" ref="AU159" si="1181">IF(AU154=0,AU155-AU158,AU154-AU158)</f>
        <v>0</v>
      </c>
      <c r="AV159" s="23">
        <f t="shared" ref="AV159" si="1182">IF(AV154=0,AV155-AV158,AV154-AV158)</f>
        <v>0</v>
      </c>
      <c r="AW159" s="23">
        <f t="shared" ref="AW159" si="1183">IF(AW154=0,AW155-AW158,AW154-AW158)</f>
        <v>0</v>
      </c>
      <c r="AX159" s="23">
        <f t="shared" ref="AX159" si="1184">IF(AX154=0,AX155-AX158,AX154-AX158)</f>
        <v>0</v>
      </c>
      <c r="AY159" s="23">
        <f t="shared" ref="AY159" si="1185">IF(AY154=0,AY155-AY158,AY154-AY158)</f>
        <v>0</v>
      </c>
      <c r="AZ159" s="23">
        <f t="shared" ref="AZ159" si="1186">IF(AZ154=0,AZ155-AZ158,AZ154-AZ158)</f>
        <v>0</v>
      </c>
      <c r="BA159" s="23">
        <f t="shared" ref="BA159" si="1187">IF(BA154=0,BA155-BA158,BA154-BA158)</f>
        <v>0</v>
      </c>
      <c r="BB159" s="23">
        <f t="shared" ref="BB159" si="1188">IF(BB154=0,BB155-BB158,BB154-BB158)</f>
        <v>0</v>
      </c>
      <c r="BC159" s="23">
        <f t="shared" ref="BC159" si="1189">IF(BC154=0,BC155-BC158,BC154-BC158)</f>
        <v>0</v>
      </c>
      <c r="BD159" s="23">
        <f t="shared" ref="BD159" si="1190">IF(BD154=0,BD155-BD158,BD154-BD158)</f>
        <v>0</v>
      </c>
      <c r="BE159" s="23">
        <f t="shared" ref="BE159" si="1191">IF(BE154=0,BE155-BE158,BE154-BE158)</f>
        <v>0</v>
      </c>
      <c r="BF159" s="23">
        <f t="shared" ref="BF159" si="1192">IF(BF154=0,BF155-BF158,BF154-BF158)</f>
        <v>0</v>
      </c>
      <c r="BG159" s="23">
        <f t="shared" ref="BG159" si="1193">IF(BG154=0,BG155-BG158,BG154-BG158)</f>
        <v>0</v>
      </c>
      <c r="BH159" s="23">
        <f t="shared" ref="BH159" si="1194">IF(BH154=0,BH155-BH158,BH154-BH158)</f>
        <v>0</v>
      </c>
      <c r="BI159" s="23">
        <f t="shared" ref="BI159" si="1195">IF(BI154=0,BI155-BI158,BI154-BI158)</f>
        <v>0</v>
      </c>
      <c r="BJ159" s="23">
        <f t="shared" ref="BJ159" si="1196">IF(BJ154=0,BJ155-BJ158,BJ154-BJ158)</f>
        <v>0</v>
      </c>
      <c r="BK159" s="23">
        <f t="shared" ref="BK159" si="1197">IF(BK154=0,BK155-BK158,BK154-BK158)</f>
        <v>0</v>
      </c>
      <c r="BL159" s="23">
        <f t="shared" ref="BL159" si="1198">IF(BL154=0,BL155-BL158,BL154-BL158)</f>
        <v>0</v>
      </c>
      <c r="BM159" s="23">
        <f t="shared" ref="BM159" si="1199">IF(BM154=0,BM155-BM158,BM154-BM158)</f>
        <v>0</v>
      </c>
      <c r="BN159" s="23">
        <f t="shared" ref="BN159" si="1200">IF(BN154=0,BN155-BN158,BN154-BN158)</f>
        <v>0</v>
      </c>
    </row>
    <row r="160" spans="3:66" x14ac:dyDescent="0.2">
      <c r="C160" s="322"/>
      <c r="D160" s="23" t="s">
        <v>10</v>
      </c>
      <c r="E160" s="72">
        <v>7.1999999999999998E-3</v>
      </c>
      <c r="F160" s="54">
        <v>7.1999999999999998E-3</v>
      </c>
      <c r="G160" s="54">
        <v>7.1999999999999998E-3</v>
      </c>
      <c r="H160" s="54">
        <v>7.1999999999999998E-3</v>
      </c>
      <c r="I160" s="54">
        <v>7.1999999999999998E-3</v>
      </c>
      <c r="J160" s="54">
        <v>7.1999999999999998E-3</v>
      </c>
      <c r="K160" s="54">
        <v>7.1999999999999998E-3</v>
      </c>
      <c r="L160" s="54">
        <v>7.1999999999999998E-3</v>
      </c>
      <c r="M160" s="54">
        <v>7.1999999999999998E-3</v>
      </c>
      <c r="N160" s="54">
        <v>7.1999999999999998E-3</v>
      </c>
      <c r="O160" s="54">
        <v>7.1999999999999998E-3</v>
      </c>
      <c r="P160" s="54">
        <v>7.1999999999999998E-3</v>
      </c>
      <c r="Q160" s="54">
        <v>7.1999999999999998E-3</v>
      </c>
      <c r="R160" s="54">
        <v>7.1999999999999998E-3</v>
      </c>
      <c r="S160" s="54">
        <v>7.1999999999999998E-3</v>
      </c>
      <c r="T160" s="54">
        <v>7.1999999999999998E-3</v>
      </c>
      <c r="U160" s="54">
        <v>7.1999999999999998E-3</v>
      </c>
      <c r="V160" s="54">
        <v>7.1999999999999998E-3</v>
      </c>
      <c r="W160" s="54">
        <v>7.1999999999999998E-3</v>
      </c>
      <c r="X160" s="54">
        <v>7.1999999999999998E-3</v>
      </c>
      <c r="Y160" s="54">
        <v>7.1999999999999998E-3</v>
      </c>
      <c r="Z160" s="54">
        <v>7.1999999999999998E-3</v>
      </c>
      <c r="AA160" s="54">
        <v>7.1999999999999998E-3</v>
      </c>
      <c r="AB160" s="54">
        <v>7.1999999999999998E-3</v>
      </c>
      <c r="AC160" s="54">
        <v>7.1999999999999998E-3</v>
      </c>
      <c r="AD160" s="54">
        <v>7.1999999999999998E-3</v>
      </c>
      <c r="AE160" s="54">
        <v>7.1999999999999998E-3</v>
      </c>
      <c r="AF160" s="54">
        <v>7.1999999999999998E-3</v>
      </c>
      <c r="AG160" s="54">
        <v>7.1999999999999998E-3</v>
      </c>
      <c r="AH160" s="54">
        <v>7.1999999999999998E-3</v>
      </c>
      <c r="AI160" s="54">
        <v>7.1999999999999998E-3</v>
      </c>
      <c r="AJ160" s="54">
        <v>7.1999999999999998E-3</v>
      </c>
      <c r="AK160" s="54">
        <v>7.1999999999999998E-3</v>
      </c>
      <c r="AL160" s="54">
        <v>7.1999999999999998E-3</v>
      </c>
      <c r="AM160" s="54">
        <v>7.1999999999999998E-3</v>
      </c>
      <c r="AN160" s="54">
        <v>7.1999999999999998E-3</v>
      </c>
      <c r="AO160" s="54">
        <v>7.1999999999999998E-3</v>
      </c>
      <c r="AP160" s="54">
        <v>7.1999999999999998E-3</v>
      </c>
      <c r="AQ160" s="54">
        <v>7.1999999999999998E-3</v>
      </c>
      <c r="AR160" s="54">
        <v>7.1999999999999998E-3</v>
      </c>
      <c r="AS160" s="54">
        <v>7.1999999999999998E-3</v>
      </c>
      <c r="AT160" s="54">
        <v>7.1999999999999998E-3</v>
      </c>
      <c r="AU160" s="54">
        <v>7.1999999999999998E-3</v>
      </c>
      <c r="AV160" s="54">
        <v>7.1999999999999998E-3</v>
      </c>
      <c r="AW160" s="54">
        <v>7.1999999999999998E-3</v>
      </c>
      <c r="AX160" s="54">
        <v>7.1999999999999998E-3</v>
      </c>
      <c r="AY160" s="54">
        <v>7.1999999999999998E-3</v>
      </c>
      <c r="AZ160" s="54">
        <v>7.1999999999999998E-3</v>
      </c>
      <c r="BA160" s="54">
        <v>7.1999999999999998E-3</v>
      </c>
      <c r="BB160" s="54">
        <v>7.1999999999999998E-3</v>
      </c>
      <c r="BC160" s="54">
        <v>7.1999999999999998E-3</v>
      </c>
      <c r="BD160" s="54">
        <v>7.1999999999999998E-3</v>
      </c>
      <c r="BE160" s="54">
        <v>7.1999999999999998E-3</v>
      </c>
      <c r="BF160" s="54">
        <v>7.1999999999999998E-3</v>
      </c>
      <c r="BG160" s="54">
        <v>7.1999999999999998E-3</v>
      </c>
      <c r="BH160" s="54">
        <v>7.1999999999999998E-3</v>
      </c>
      <c r="BI160" s="54">
        <v>7.1999999999999998E-3</v>
      </c>
      <c r="BJ160" s="54">
        <v>7.1999999999999998E-3</v>
      </c>
      <c r="BK160" s="54">
        <v>7.1999999999999998E-3</v>
      </c>
      <c r="BL160" s="54">
        <v>7.1999999999999998E-3</v>
      </c>
      <c r="BM160" s="54">
        <v>7.1999999999999998E-3</v>
      </c>
      <c r="BN160" s="54">
        <v>7.1999999999999998E-3</v>
      </c>
    </row>
    <row r="161" spans="3:66" x14ac:dyDescent="0.2">
      <c r="C161" s="322"/>
      <c r="D161" s="23" t="s">
        <v>12</v>
      </c>
      <c r="E161" s="27">
        <f>SUM(F161:AY161)</f>
        <v>6473.3340485618519</v>
      </c>
      <c r="F161" s="29">
        <f>+F159*F160</f>
        <v>-1.1358719158732851</v>
      </c>
      <c r="G161" s="29">
        <f>+G159*G160</f>
        <v>3066.8541728578703</v>
      </c>
      <c r="H161" s="29">
        <f t="shared" ref="H161:BN161" si="1201">+H159*H160</f>
        <v>3407.615747619855</v>
      </c>
      <c r="I161" s="29">
        <f t="shared" si="1201"/>
        <v>0</v>
      </c>
      <c r="J161" s="29">
        <f t="shared" si="1201"/>
        <v>0</v>
      </c>
      <c r="K161" s="29">
        <f t="shared" si="1201"/>
        <v>0</v>
      </c>
      <c r="L161" s="29">
        <f t="shared" si="1201"/>
        <v>0</v>
      </c>
      <c r="M161" s="29">
        <f t="shared" si="1201"/>
        <v>0</v>
      </c>
      <c r="N161" s="29">
        <f t="shared" si="1201"/>
        <v>0</v>
      </c>
      <c r="O161" s="29">
        <v>0</v>
      </c>
      <c r="P161" s="29">
        <f t="shared" si="1201"/>
        <v>0</v>
      </c>
      <c r="Q161" s="29">
        <f t="shared" si="1201"/>
        <v>0</v>
      </c>
      <c r="R161" s="29">
        <f t="shared" si="1201"/>
        <v>0</v>
      </c>
      <c r="S161" s="29">
        <f t="shared" si="1201"/>
        <v>0</v>
      </c>
      <c r="T161" s="29">
        <f t="shared" si="1201"/>
        <v>0</v>
      </c>
      <c r="U161" s="29">
        <f t="shared" si="1201"/>
        <v>0</v>
      </c>
      <c r="V161" s="29">
        <f t="shared" si="1201"/>
        <v>0</v>
      </c>
      <c r="W161" s="29">
        <f t="shared" si="1201"/>
        <v>0</v>
      </c>
      <c r="X161" s="29">
        <f t="shared" si="1201"/>
        <v>0</v>
      </c>
      <c r="Y161" s="29">
        <f t="shared" si="1201"/>
        <v>0</v>
      </c>
      <c r="Z161" s="29">
        <f t="shared" si="1201"/>
        <v>0</v>
      </c>
      <c r="AA161" s="29">
        <f t="shared" si="1201"/>
        <v>0</v>
      </c>
      <c r="AB161" s="29">
        <f t="shared" si="1201"/>
        <v>0</v>
      </c>
      <c r="AC161" s="29">
        <f t="shared" si="1201"/>
        <v>0</v>
      </c>
      <c r="AD161" s="29">
        <f t="shared" si="1201"/>
        <v>0</v>
      </c>
      <c r="AE161" s="29">
        <f t="shared" si="1201"/>
        <v>0</v>
      </c>
      <c r="AF161" s="29">
        <f t="shared" si="1201"/>
        <v>0</v>
      </c>
      <c r="AG161" s="29">
        <f t="shared" si="1201"/>
        <v>0</v>
      </c>
      <c r="AH161" s="29">
        <f t="shared" si="1201"/>
        <v>0</v>
      </c>
      <c r="AI161" s="29">
        <f t="shared" si="1201"/>
        <v>0</v>
      </c>
      <c r="AJ161" s="29">
        <v>0</v>
      </c>
      <c r="AK161" s="29">
        <f t="shared" si="1201"/>
        <v>0</v>
      </c>
      <c r="AL161" s="29">
        <f t="shared" si="1201"/>
        <v>0</v>
      </c>
      <c r="AM161" s="29">
        <f t="shared" si="1201"/>
        <v>0</v>
      </c>
      <c r="AN161" s="29">
        <f t="shared" si="1201"/>
        <v>0</v>
      </c>
      <c r="AO161" s="29">
        <f t="shared" si="1201"/>
        <v>0</v>
      </c>
      <c r="AP161" s="29">
        <f t="shared" si="1201"/>
        <v>0</v>
      </c>
      <c r="AQ161" s="29">
        <f t="shared" si="1201"/>
        <v>0</v>
      </c>
      <c r="AR161" s="29">
        <f t="shared" si="1201"/>
        <v>0</v>
      </c>
      <c r="AS161" s="29">
        <v>0</v>
      </c>
      <c r="AT161" s="29">
        <f t="shared" si="1201"/>
        <v>0</v>
      </c>
      <c r="AU161" s="29">
        <f t="shared" si="1201"/>
        <v>0</v>
      </c>
      <c r="AV161" s="29">
        <f t="shared" si="1201"/>
        <v>0</v>
      </c>
      <c r="AW161" s="29">
        <f t="shared" si="1201"/>
        <v>0</v>
      </c>
      <c r="AX161" s="29">
        <f t="shared" si="1201"/>
        <v>0</v>
      </c>
      <c r="AY161" s="29">
        <f t="shared" si="1201"/>
        <v>0</v>
      </c>
      <c r="AZ161" s="29">
        <f t="shared" si="1201"/>
        <v>0</v>
      </c>
      <c r="BA161" s="29">
        <f t="shared" si="1201"/>
        <v>0</v>
      </c>
      <c r="BB161" s="29">
        <v>0</v>
      </c>
      <c r="BC161" s="29">
        <f t="shared" si="1201"/>
        <v>0</v>
      </c>
      <c r="BD161" s="29">
        <f t="shared" si="1201"/>
        <v>0</v>
      </c>
      <c r="BE161" s="29">
        <f t="shared" si="1201"/>
        <v>0</v>
      </c>
      <c r="BF161" s="29">
        <f t="shared" si="1201"/>
        <v>0</v>
      </c>
      <c r="BG161" s="29">
        <f t="shared" si="1201"/>
        <v>0</v>
      </c>
      <c r="BH161" s="29">
        <f t="shared" si="1201"/>
        <v>0</v>
      </c>
      <c r="BI161" s="29">
        <f t="shared" si="1201"/>
        <v>0</v>
      </c>
      <c r="BJ161" s="29">
        <f t="shared" si="1201"/>
        <v>0</v>
      </c>
      <c r="BK161" s="29">
        <f t="shared" si="1201"/>
        <v>0</v>
      </c>
      <c r="BL161" s="29">
        <f t="shared" si="1201"/>
        <v>0</v>
      </c>
      <c r="BM161" s="29">
        <f t="shared" si="1201"/>
        <v>0</v>
      </c>
      <c r="BN161" s="29">
        <f t="shared" si="1201"/>
        <v>0</v>
      </c>
    </row>
    <row r="162" spans="3:66" ht="13.5" thickBot="1" x14ac:dyDescent="0.25">
      <c r="C162" s="323"/>
      <c r="D162" s="25" t="s">
        <v>11</v>
      </c>
      <c r="E162" s="30">
        <f>SUM(F162:AY162)</f>
        <v>905547.50745993026</v>
      </c>
      <c r="F162" s="46">
        <f>+F159+F161</f>
        <v>-158.89586023160732</v>
      </c>
      <c r="G162" s="46">
        <f>+G159+G161</f>
        <v>429018.8226253399</v>
      </c>
      <c r="H162" s="46">
        <f t="shared" ref="H162:BN162" si="1202">+H159+H161</f>
        <v>476687.58069482195</v>
      </c>
      <c r="I162" s="46">
        <f t="shared" si="1202"/>
        <v>0</v>
      </c>
      <c r="J162" s="46">
        <f t="shared" si="1202"/>
        <v>0</v>
      </c>
      <c r="K162" s="46">
        <f t="shared" si="1202"/>
        <v>0</v>
      </c>
      <c r="L162" s="46">
        <f t="shared" si="1202"/>
        <v>0</v>
      </c>
      <c r="M162" s="46">
        <f t="shared" si="1202"/>
        <v>0</v>
      </c>
      <c r="N162" s="46">
        <f t="shared" si="1202"/>
        <v>0</v>
      </c>
      <c r="O162" s="46">
        <f t="shared" si="1202"/>
        <v>0</v>
      </c>
      <c r="P162" s="46">
        <f t="shared" si="1202"/>
        <v>0</v>
      </c>
      <c r="Q162" s="46">
        <f t="shared" si="1202"/>
        <v>0</v>
      </c>
      <c r="R162" s="46">
        <f t="shared" si="1202"/>
        <v>0</v>
      </c>
      <c r="S162" s="46">
        <f t="shared" si="1202"/>
        <v>0</v>
      </c>
      <c r="T162" s="46">
        <f t="shared" si="1202"/>
        <v>0</v>
      </c>
      <c r="U162" s="46">
        <f t="shared" si="1202"/>
        <v>0</v>
      </c>
      <c r="V162" s="46">
        <f t="shared" si="1202"/>
        <v>0</v>
      </c>
      <c r="W162" s="46">
        <f t="shared" si="1202"/>
        <v>0</v>
      </c>
      <c r="X162" s="46">
        <f t="shared" si="1202"/>
        <v>0</v>
      </c>
      <c r="Y162" s="46">
        <f t="shared" si="1202"/>
        <v>0</v>
      </c>
      <c r="Z162" s="46">
        <f t="shared" si="1202"/>
        <v>0</v>
      </c>
      <c r="AA162" s="46">
        <f t="shared" si="1202"/>
        <v>0</v>
      </c>
      <c r="AB162" s="46">
        <f t="shared" si="1202"/>
        <v>0</v>
      </c>
      <c r="AC162" s="46">
        <f t="shared" si="1202"/>
        <v>0</v>
      </c>
      <c r="AD162" s="46">
        <f t="shared" si="1202"/>
        <v>0</v>
      </c>
      <c r="AE162" s="46">
        <f t="shared" si="1202"/>
        <v>0</v>
      </c>
      <c r="AF162" s="46">
        <f t="shared" si="1202"/>
        <v>0</v>
      </c>
      <c r="AG162" s="46">
        <f t="shared" si="1202"/>
        <v>0</v>
      </c>
      <c r="AH162" s="46">
        <f t="shared" si="1202"/>
        <v>0</v>
      </c>
      <c r="AI162" s="46">
        <f t="shared" si="1202"/>
        <v>0</v>
      </c>
      <c r="AJ162" s="46">
        <f t="shared" si="1202"/>
        <v>0</v>
      </c>
      <c r="AK162" s="46">
        <f t="shared" si="1202"/>
        <v>0</v>
      </c>
      <c r="AL162" s="46">
        <f t="shared" si="1202"/>
        <v>0</v>
      </c>
      <c r="AM162" s="46">
        <f t="shared" si="1202"/>
        <v>0</v>
      </c>
      <c r="AN162" s="46">
        <f t="shared" si="1202"/>
        <v>0</v>
      </c>
      <c r="AO162" s="46">
        <f t="shared" si="1202"/>
        <v>0</v>
      </c>
      <c r="AP162" s="46">
        <f t="shared" si="1202"/>
        <v>0</v>
      </c>
      <c r="AQ162" s="46">
        <f t="shared" si="1202"/>
        <v>0</v>
      </c>
      <c r="AR162" s="46">
        <f t="shared" si="1202"/>
        <v>0</v>
      </c>
      <c r="AS162" s="46">
        <f t="shared" si="1202"/>
        <v>0</v>
      </c>
      <c r="AT162" s="46">
        <f t="shared" si="1202"/>
        <v>0</v>
      </c>
      <c r="AU162" s="46">
        <f t="shared" si="1202"/>
        <v>0</v>
      </c>
      <c r="AV162" s="46">
        <f t="shared" si="1202"/>
        <v>0</v>
      </c>
      <c r="AW162" s="46">
        <f t="shared" si="1202"/>
        <v>0</v>
      </c>
      <c r="AX162" s="46">
        <f t="shared" si="1202"/>
        <v>0</v>
      </c>
      <c r="AY162" s="46">
        <f t="shared" si="1202"/>
        <v>0</v>
      </c>
      <c r="AZ162" s="46">
        <f t="shared" si="1202"/>
        <v>0</v>
      </c>
      <c r="BA162" s="46">
        <f t="shared" si="1202"/>
        <v>0</v>
      </c>
      <c r="BB162" s="46">
        <f t="shared" si="1202"/>
        <v>0</v>
      </c>
      <c r="BC162" s="46">
        <f t="shared" si="1202"/>
        <v>0</v>
      </c>
      <c r="BD162" s="46">
        <f t="shared" si="1202"/>
        <v>0</v>
      </c>
      <c r="BE162" s="46">
        <f>+BE159+BE161</f>
        <v>0</v>
      </c>
      <c r="BF162" s="46">
        <f t="shared" si="1202"/>
        <v>0</v>
      </c>
      <c r="BG162" s="46">
        <f t="shared" si="1202"/>
        <v>0</v>
      </c>
      <c r="BH162" s="46">
        <f t="shared" si="1202"/>
        <v>0</v>
      </c>
      <c r="BI162" s="46">
        <f t="shared" si="1202"/>
        <v>0</v>
      </c>
      <c r="BJ162" s="46">
        <f t="shared" si="1202"/>
        <v>0</v>
      </c>
      <c r="BK162" s="46">
        <f t="shared" si="1202"/>
        <v>0</v>
      </c>
      <c r="BL162" s="46">
        <f t="shared" si="1202"/>
        <v>0</v>
      </c>
      <c r="BM162" s="46">
        <f t="shared" si="1202"/>
        <v>0</v>
      </c>
      <c r="BN162" s="46">
        <f t="shared" si="1202"/>
        <v>0</v>
      </c>
    </row>
    <row r="163" spans="3:66" x14ac:dyDescent="0.2">
      <c r="C163" s="321">
        <v>44136</v>
      </c>
      <c r="D163" s="20" t="s">
        <v>5</v>
      </c>
      <c r="E163" s="50">
        <f>SUM(F163:BN163)</f>
        <v>0</v>
      </c>
      <c r="F163" s="279">
        <f>IF(F$6=$C163,F$7,0)</f>
        <v>0</v>
      </c>
      <c r="G163" s="279">
        <f t="shared" ref="G163:BN163" si="1203">IF(G$6=$C163,G$7,0)</f>
        <v>0</v>
      </c>
      <c r="H163" s="279">
        <f t="shared" si="1203"/>
        <v>0</v>
      </c>
      <c r="I163" s="279">
        <f t="shared" si="1203"/>
        <v>0</v>
      </c>
      <c r="J163" s="279">
        <f t="shared" si="1203"/>
        <v>0</v>
      </c>
      <c r="K163" s="279">
        <f t="shared" si="1203"/>
        <v>0</v>
      </c>
      <c r="L163" s="279">
        <f t="shared" si="1203"/>
        <v>0</v>
      </c>
      <c r="M163" s="279">
        <f t="shared" si="1203"/>
        <v>0</v>
      </c>
      <c r="N163" s="279">
        <f t="shared" si="1203"/>
        <v>0</v>
      </c>
      <c r="O163" s="279">
        <f t="shared" si="1203"/>
        <v>0</v>
      </c>
      <c r="P163" s="279">
        <f t="shared" si="1203"/>
        <v>0</v>
      </c>
      <c r="Q163" s="279">
        <f t="shared" si="1203"/>
        <v>0</v>
      </c>
      <c r="R163" s="279">
        <f t="shared" si="1203"/>
        <v>0</v>
      </c>
      <c r="S163" s="279">
        <f t="shared" si="1203"/>
        <v>0</v>
      </c>
      <c r="T163" s="279">
        <f t="shared" si="1203"/>
        <v>0</v>
      </c>
      <c r="U163" s="279">
        <f t="shared" si="1203"/>
        <v>0</v>
      </c>
      <c r="V163" s="279">
        <f t="shared" si="1203"/>
        <v>0</v>
      </c>
      <c r="W163" s="279">
        <f t="shared" si="1203"/>
        <v>0</v>
      </c>
      <c r="X163" s="279">
        <f t="shared" si="1203"/>
        <v>0</v>
      </c>
      <c r="Y163" s="279">
        <f t="shared" si="1203"/>
        <v>0</v>
      </c>
      <c r="Z163" s="279">
        <f t="shared" si="1203"/>
        <v>0</v>
      </c>
      <c r="AA163" s="279">
        <f t="shared" si="1203"/>
        <v>0</v>
      </c>
      <c r="AB163" s="279">
        <f t="shared" si="1203"/>
        <v>0</v>
      </c>
      <c r="AC163" s="279">
        <f t="shared" si="1203"/>
        <v>0</v>
      </c>
      <c r="AD163" s="279">
        <f t="shared" si="1203"/>
        <v>0</v>
      </c>
      <c r="AE163" s="279">
        <f t="shared" si="1203"/>
        <v>0</v>
      </c>
      <c r="AF163" s="279">
        <f t="shared" si="1203"/>
        <v>0</v>
      </c>
      <c r="AG163" s="279">
        <f t="shared" si="1203"/>
        <v>0</v>
      </c>
      <c r="AH163" s="279">
        <f t="shared" si="1203"/>
        <v>0</v>
      </c>
      <c r="AI163" s="279">
        <f t="shared" si="1203"/>
        <v>0</v>
      </c>
      <c r="AJ163" s="279">
        <f t="shared" si="1203"/>
        <v>0</v>
      </c>
      <c r="AK163" s="279">
        <f t="shared" si="1203"/>
        <v>0</v>
      </c>
      <c r="AL163" s="279">
        <f t="shared" si="1203"/>
        <v>0</v>
      </c>
      <c r="AM163" s="279">
        <f t="shared" si="1203"/>
        <v>0</v>
      </c>
      <c r="AN163" s="279">
        <f t="shared" si="1203"/>
        <v>0</v>
      </c>
      <c r="AO163" s="279">
        <f t="shared" si="1203"/>
        <v>0</v>
      </c>
      <c r="AP163" s="279">
        <f t="shared" si="1203"/>
        <v>0</v>
      </c>
      <c r="AQ163" s="279">
        <f t="shared" si="1203"/>
        <v>0</v>
      </c>
      <c r="AR163" s="279">
        <f t="shared" si="1203"/>
        <v>0</v>
      </c>
      <c r="AS163" s="279">
        <f t="shared" si="1203"/>
        <v>0</v>
      </c>
      <c r="AT163" s="279">
        <f t="shared" si="1203"/>
        <v>0</v>
      </c>
      <c r="AU163" s="279">
        <f t="shared" si="1203"/>
        <v>0</v>
      </c>
      <c r="AV163" s="279">
        <f t="shared" si="1203"/>
        <v>0</v>
      </c>
      <c r="AW163" s="279">
        <f t="shared" si="1203"/>
        <v>0</v>
      </c>
      <c r="AX163" s="279">
        <f t="shared" si="1203"/>
        <v>0</v>
      </c>
      <c r="AY163" s="279">
        <f t="shared" si="1203"/>
        <v>0</v>
      </c>
      <c r="AZ163" s="279">
        <f t="shared" si="1203"/>
        <v>0</v>
      </c>
      <c r="BA163" s="279">
        <f t="shared" si="1203"/>
        <v>0</v>
      </c>
      <c r="BB163" s="279">
        <f t="shared" si="1203"/>
        <v>0</v>
      </c>
      <c r="BC163" s="279">
        <f t="shared" si="1203"/>
        <v>0</v>
      </c>
      <c r="BD163" s="279">
        <f t="shared" si="1203"/>
        <v>0</v>
      </c>
      <c r="BE163" s="279">
        <f t="shared" si="1203"/>
        <v>0</v>
      </c>
      <c r="BF163" s="279">
        <f t="shared" si="1203"/>
        <v>0</v>
      </c>
      <c r="BG163" s="279">
        <f t="shared" si="1203"/>
        <v>0</v>
      </c>
      <c r="BH163" s="279">
        <f t="shared" si="1203"/>
        <v>0</v>
      </c>
      <c r="BI163" s="279">
        <f t="shared" si="1203"/>
        <v>0</v>
      </c>
      <c r="BJ163" s="279">
        <f t="shared" si="1203"/>
        <v>0</v>
      </c>
      <c r="BK163" s="279">
        <f t="shared" si="1203"/>
        <v>0</v>
      </c>
      <c r="BL163" s="279">
        <f t="shared" si="1203"/>
        <v>0</v>
      </c>
      <c r="BM163" s="279">
        <f t="shared" si="1203"/>
        <v>0</v>
      </c>
      <c r="BN163" s="279">
        <f t="shared" si="1203"/>
        <v>0</v>
      </c>
    </row>
    <row r="164" spans="3:66" x14ac:dyDescent="0.2">
      <c r="C164" s="322"/>
      <c r="D164" s="23" t="s">
        <v>7</v>
      </c>
      <c r="E164" s="91">
        <f>SUM(F164:BN164)</f>
        <v>14.640000000000011</v>
      </c>
      <c r="F164" s="28">
        <f>IF(F163="",VLOOKUP($C163,'CUSTOS REALIZADOS'!$A$11:$E$995,4),(VLOOKUP($C163,'CUSTOS REALIZADOS'!$A$11:$E$995,5)))</f>
        <v>0.24000000000000002</v>
      </c>
      <c r="G164" s="28">
        <f>IF(G163="",VLOOKUP($C163,'CUSTOS REALIZADOS'!$A$11:$E$995,4),(VLOOKUP($C163,'CUSTOS REALIZADOS'!$A$11:$E$995,5)))</f>
        <v>0.24000000000000002</v>
      </c>
      <c r="H164" s="28">
        <f>IF(H163="",VLOOKUP($C163,'CUSTOS REALIZADOS'!$A$11:$E$995,4),(VLOOKUP($C163,'CUSTOS REALIZADOS'!$A$11:$E$995,5)))</f>
        <v>0.24000000000000002</v>
      </c>
      <c r="I164" s="28">
        <f>IF(I163="",VLOOKUP($C163,'CUSTOS REALIZADOS'!$A$11:$E$995,4),(VLOOKUP($C163,'CUSTOS REALIZADOS'!$A$11:$E$995,5)))</f>
        <v>0.24000000000000002</v>
      </c>
      <c r="J164" s="28">
        <f>IF(J163="",VLOOKUP($C163,'CUSTOS REALIZADOS'!$A$11:$E$995,4),(VLOOKUP($C163,'CUSTOS REALIZADOS'!$A$11:$E$995,5)))</f>
        <v>0.24000000000000002</v>
      </c>
      <c r="K164" s="28">
        <f>IF(K163="",VLOOKUP($C163,'CUSTOS REALIZADOS'!$A$11:$E$995,4),(VLOOKUP($C163,'CUSTOS REALIZADOS'!$A$11:$E$995,5)))</f>
        <v>0.24000000000000002</v>
      </c>
      <c r="L164" s="28">
        <f>IF(L163="",VLOOKUP($C163,'CUSTOS REALIZADOS'!$A$11:$E$995,4),(VLOOKUP($C163,'CUSTOS REALIZADOS'!$A$11:$E$995,5)))</f>
        <v>0.24000000000000002</v>
      </c>
      <c r="M164" s="28">
        <f>IF(M163="",VLOOKUP($C163,'CUSTOS REALIZADOS'!$A$11:$E$995,4),(VLOOKUP($C163,'CUSTOS REALIZADOS'!$A$11:$E$995,5)))</f>
        <v>0.24000000000000002</v>
      </c>
      <c r="N164" s="28">
        <f>IF(N163="",VLOOKUP($C163,'CUSTOS REALIZADOS'!$A$11:$E$995,4),(VLOOKUP($C163,'CUSTOS REALIZADOS'!$A$11:$E$995,5)))</f>
        <v>0.24000000000000002</v>
      </c>
      <c r="O164" s="28">
        <f>IF(O163="",VLOOKUP($C163,'CUSTOS REALIZADOS'!$A$11:$E$995,4),(VLOOKUP($C163,'CUSTOS REALIZADOS'!$A$11:$E$995,5)))</f>
        <v>0.24000000000000002</v>
      </c>
      <c r="P164" s="28">
        <f>IF(P163="",VLOOKUP($C163,'CUSTOS REALIZADOS'!$A$11:$E$995,4),(VLOOKUP($C163,'CUSTOS REALIZADOS'!$A$11:$E$995,5)))</f>
        <v>0.24000000000000002</v>
      </c>
      <c r="Q164" s="28">
        <f>IF(Q163="",VLOOKUP($C163,'CUSTOS REALIZADOS'!$A$11:$E$995,4),(VLOOKUP($C163,'CUSTOS REALIZADOS'!$A$11:$E$995,5)))</f>
        <v>0.24000000000000002</v>
      </c>
      <c r="R164" s="28">
        <f>IF(R163="",VLOOKUP($C163,'CUSTOS REALIZADOS'!$A$11:$E$995,4),(VLOOKUP($C163,'CUSTOS REALIZADOS'!$A$11:$E$995,5)))</f>
        <v>0.24000000000000002</v>
      </c>
      <c r="S164" s="28">
        <f>IF(S163="",VLOOKUP($C163,'CUSTOS REALIZADOS'!$A$11:$E$995,4),(VLOOKUP($C163,'CUSTOS REALIZADOS'!$A$11:$E$995,5)))</f>
        <v>0.24000000000000002</v>
      </c>
      <c r="T164" s="28">
        <f>IF(T163="",VLOOKUP($C163,'CUSTOS REALIZADOS'!$A$11:$E$995,4),(VLOOKUP($C163,'CUSTOS REALIZADOS'!$A$11:$E$995,5)))</f>
        <v>0.24000000000000002</v>
      </c>
      <c r="U164" s="28">
        <f>IF(U163="",VLOOKUP($C163,'CUSTOS REALIZADOS'!$A$11:$E$995,4),(VLOOKUP($C163,'CUSTOS REALIZADOS'!$A$11:$E$995,5)))</f>
        <v>0.24000000000000002</v>
      </c>
      <c r="V164" s="28">
        <f>IF(V163="",VLOOKUP($C163,'CUSTOS REALIZADOS'!$A$11:$E$995,4),(VLOOKUP($C163,'CUSTOS REALIZADOS'!$A$11:$E$995,5)))</f>
        <v>0.24000000000000002</v>
      </c>
      <c r="W164" s="28">
        <f>IF(W163="",VLOOKUP($C163,'CUSTOS REALIZADOS'!$A$11:$E$995,4),(VLOOKUP($C163,'CUSTOS REALIZADOS'!$A$11:$E$995,5)))</f>
        <v>0.24000000000000002</v>
      </c>
      <c r="X164" s="28">
        <f>IF(X163="",VLOOKUP($C163,'CUSTOS REALIZADOS'!$A$11:$E$995,4),(VLOOKUP($C163,'CUSTOS REALIZADOS'!$A$11:$E$995,5)))</f>
        <v>0.24000000000000002</v>
      </c>
      <c r="Y164" s="28">
        <f>IF(Y163="",VLOOKUP($C163,'CUSTOS REALIZADOS'!$A$11:$E$995,4),(VLOOKUP($C163,'CUSTOS REALIZADOS'!$A$11:$E$995,5)))</f>
        <v>0.24000000000000002</v>
      </c>
      <c r="Z164" s="28">
        <f>IF(Z163="",VLOOKUP($C163,'CUSTOS REALIZADOS'!$A$11:$E$995,4),(VLOOKUP($C163,'CUSTOS REALIZADOS'!$A$11:$E$995,5)))</f>
        <v>0.24000000000000002</v>
      </c>
      <c r="AA164" s="28">
        <f>IF(AA163="",VLOOKUP($C163,'CUSTOS REALIZADOS'!$A$11:$E$995,4),(VLOOKUP($C163,'CUSTOS REALIZADOS'!$A$11:$E$995,5)))</f>
        <v>0.24000000000000002</v>
      </c>
      <c r="AB164" s="28">
        <f>IF(AB163="",VLOOKUP($C163,'CUSTOS REALIZADOS'!$A$11:$E$995,4),(VLOOKUP($C163,'CUSTOS REALIZADOS'!$A$11:$E$995,5)))</f>
        <v>0.24000000000000002</v>
      </c>
      <c r="AC164" s="28">
        <f>IF(AC163="",VLOOKUP($C163,'CUSTOS REALIZADOS'!$A$11:$E$995,4),(VLOOKUP($C163,'CUSTOS REALIZADOS'!$A$11:$E$995,5)))</f>
        <v>0.24000000000000002</v>
      </c>
      <c r="AD164" s="28">
        <f>IF(AD163="",VLOOKUP($C163,'CUSTOS REALIZADOS'!$A$11:$E$995,4),(VLOOKUP($C163,'CUSTOS REALIZADOS'!$A$11:$E$995,5)))</f>
        <v>0.24000000000000002</v>
      </c>
      <c r="AE164" s="28">
        <f>IF(AE163="",VLOOKUP($C163,'CUSTOS REALIZADOS'!$A$11:$E$995,4),(VLOOKUP($C163,'CUSTOS REALIZADOS'!$A$11:$E$995,5)))</f>
        <v>0.24000000000000002</v>
      </c>
      <c r="AF164" s="28">
        <f>IF(AF163="",VLOOKUP($C163,'CUSTOS REALIZADOS'!$A$11:$E$995,4),(VLOOKUP($C163,'CUSTOS REALIZADOS'!$A$11:$E$995,5)))</f>
        <v>0.24000000000000002</v>
      </c>
      <c r="AG164" s="28">
        <f>IF(AG163="",VLOOKUP($C163,'CUSTOS REALIZADOS'!$A$11:$E$995,4),(VLOOKUP($C163,'CUSTOS REALIZADOS'!$A$11:$E$995,5)))</f>
        <v>0.24000000000000002</v>
      </c>
      <c r="AH164" s="28">
        <f>IF(AH163="",VLOOKUP($C163,'CUSTOS REALIZADOS'!$A$11:$E$995,4),(VLOOKUP($C163,'CUSTOS REALIZADOS'!$A$11:$E$995,5)))</f>
        <v>0.24000000000000002</v>
      </c>
      <c r="AI164" s="28">
        <f>IF(AI163="",VLOOKUP($C163,'CUSTOS REALIZADOS'!$A$11:$E$995,4),(VLOOKUP($C163,'CUSTOS REALIZADOS'!$A$11:$E$995,5)))</f>
        <v>0.24000000000000002</v>
      </c>
      <c r="AJ164" s="28">
        <f>IF(AJ163="",VLOOKUP($C163,'CUSTOS REALIZADOS'!$A$11:$E$995,4),(VLOOKUP($C163,'CUSTOS REALIZADOS'!$A$11:$E$995,5)))</f>
        <v>0.24000000000000002</v>
      </c>
      <c r="AK164" s="28">
        <f>IF(AK163="",VLOOKUP($C163,'CUSTOS REALIZADOS'!$A$11:$E$995,4),(VLOOKUP($C163,'CUSTOS REALIZADOS'!$A$11:$E$995,5)))</f>
        <v>0.24000000000000002</v>
      </c>
      <c r="AL164" s="28">
        <f>IF(AL163="",VLOOKUP($C163,'CUSTOS REALIZADOS'!$A$11:$E$995,4),(VLOOKUP($C163,'CUSTOS REALIZADOS'!$A$11:$E$995,5)))</f>
        <v>0.24000000000000002</v>
      </c>
      <c r="AM164" s="28">
        <f>IF(AM163="",VLOOKUP($C163,'CUSTOS REALIZADOS'!$A$11:$E$995,4),(VLOOKUP($C163,'CUSTOS REALIZADOS'!$A$11:$E$995,5)))</f>
        <v>0.24000000000000002</v>
      </c>
      <c r="AN164" s="28">
        <f>IF(AN163="",VLOOKUP($C163,'CUSTOS REALIZADOS'!$A$11:$E$995,4),(VLOOKUP($C163,'CUSTOS REALIZADOS'!$A$11:$E$995,5)))</f>
        <v>0.24000000000000002</v>
      </c>
      <c r="AO164" s="28">
        <f>IF(AO163="",VLOOKUP($C163,'CUSTOS REALIZADOS'!$A$11:$E$995,4),(VLOOKUP($C163,'CUSTOS REALIZADOS'!$A$11:$E$995,5)))</f>
        <v>0.24000000000000002</v>
      </c>
      <c r="AP164" s="28">
        <f>IF(AP163="",VLOOKUP($C163,'CUSTOS REALIZADOS'!$A$11:$E$995,4),(VLOOKUP($C163,'CUSTOS REALIZADOS'!$A$11:$E$995,5)))</f>
        <v>0.24000000000000002</v>
      </c>
      <c r="AQ164" s="28">
        <f>IF(AQ163="",VLOOKUP($C163,'CUSTOS REALIZADOS'!$A$11:$E$995,4),(VLOOKUP($C163,'CUSTOS REALIZADOS'!$A$11:$E$995,5)))</f>
        <v>0.24000000000000002</v>
      </c>
      <c r="AR164" s="28">
        <f>IF(AR163="",VLOOKUP($C163,'CUSTOS REALIZADOS'!$A$11:$E$995,4),(VLOOKUP($C163,'CUSTOS REALIZADOS'!$A$11:$E$995,5)))</f>
        <v>0.24000000000000002</v>
      </c>
      <c r="AS164" s="28">
        <f>IF(AS163="",VLOOKUP($C163,'CUSTOS REALIZADOS'!$A$11:$E$995,4),(VLOOKUP($C163,'CUSTOS REALIZADOS'!$A$11:$E$995,5)))</f>
        <v>0.24000000000000002</v>
      </c>
      <c r="AT164" s="28">
        <f>IF(AT163="",VLOOKUP($C163,'CUSTOS REALIZADOS'!$A$11:$E$995,4),(VLOOKUP($C163,'CUSTOS REALIZADOS'!$A$11:$E$995,5)))</f>
        <v>0.24000000000000002</v>
      </c>
      <c r="AU164" s="28">
        <f>IF(AU163="",VLOOKUP($C163,'CUSTOS REALIZADOS'!$A$11:$E$995,4),(VLOOKUP($C163,'CUSTOS REALIZADOS'!$A$11:$E$995,5)))</f>
        <v>0.24000000000000002</v>
      </c>
      <c r="AV164" s="28">
        <f>IF(AV163="",VLOOKUP($C163,'CUSTOS REALIZADOS'!$A$11:$E$995,4),(VLOOKUP($C163,'CUSTOS REALIZADOS'!$A$11:$E$995,5)))</f>
        <v>0.24000000000000002</v>
      </c>
      <c r="AW164" s="28">
        <f>IF(AW163="",VLOOKUP($C163,'CUSTOS REALIZADOS'!$A$11:$E$995,4),(VLOOKUP($C163,'CUSTOS REALIZADOS'!$A$11:$E$995,5)))</f>
        <v>0.24000000000000002</v>
      </c>
      <c r="AX164" s="28">
        <f>IF(AX163="",VLOOKUP($C163,'CUSTOS REALIZADOS'!$A$11:$E$995,4),(VLOOKUP($C163,'CUSTOS REALIZADOS'!$A$11:$E$995,5)))</f>
        <v>0.24000000000000002</v>
      </c>
      <c r="AY164" s="28">
        <f>IF(AY163="",VLOOKUP($C163,'CUSTOS REALIZADOS'!$A$11:$E$995,4),(VLOOKUP($C163,'CUSTOS REALIZADOS'!$A$11:$E$995,5)))</f>
        <v>0.24000000000000002</v>
      </c>
      <c r="AZ164" s="28">
        <f>IF(AZ163="",VLOOKUP($C163,'CUSTOS REALIZADOS'!$A$11:$E$995,4),(VLOOKUP($C163,'CUSTOS REALIZADOS'!$A$11:$E$995,5)))</f>
        <v>0.24000000000000002</v>
      </c>
      <c r="BA164" s="28">
        <f>IF(BA163="",VLOOKUP($C163,'CUSTOS REALIZADOS'!$A$11:$E$995,4),(VLOOKUP($C163,'CUSTOS REALIZADOS'!$A$11:$E$995,5)))</f>
        <v>0.24000000000000002</v>
      </c>
      <c r="BB164" s="28">
        <f>IF(BB163="",VLOOKUP($C163,'CUSTOS REALIZADOS'!$A$11:$E$995,4),(VLOOKUP($C163,'CUSTOS REALIZADOS'!$A$11:$E$995,5)))</f>
        <v>0.24000000000000002</v>
      </c>
      <c r="BC164" s="28">
        <f>IF(BC163="",VLOOKUP($C163,'CUSTOS REALIZADOS'!$A$11:$E$995,4),(VLOOKUP($C163,'CUSTOS REALIZADOS'!$A$11:$E$995,5)))</f>
        <v>0.24000000000000002</v>
      </c>
      <c r="BD164" s="28">
        <f>IF(BD163="",VLOOKUP($C163,'CUSTOS REALIZADOS'!$A$11:$E$995,4),(VLOOKUP($C163,'CUSTOS REALIZADOS'!$A$11:$E$995,5)))</f>
        <v>0.24000000000000002</v>
      </c>
      <c r="BE164" s="28">
        <f>IF(BE163="",VLOOKUP($C163,'CUSTOS REALIZADOS'!$A$11:$E$995,4),(VLOOKUP($C163,'CUSTOS REALIZADOS'!$A$11:$E$995,5)))</f>
        <v>0.24000000000000002</v>
      </c>
      <c r="BF164" s="28">
        <f>IF(BF163="",VLOOKUP($C163,'CUSTOS REALIZADOS'!$A$11:$E$995,4),(VLOOKUP($C163,'CUSTOS REALIZADOS'!$A$11:$E$995,5)))</f>
        <v>0.24000000000000002</v>
      </c>
      <c r="BG164" s="28">
        <f>IF(BG163="",VLOOKUP($C163,'CUSTOS REALIZADOS'!$A$11:$E$995,4),(VLOOKUP($C163,'CUSTOS REALIZADOS'!$A$11:$E$995,5)))</f>
        <v>0.24000000000000002</v>
      </c>
      <c r="BH164" s="28">
        <f>IF(BH163="",VLOOKUP($C163,'CUSTOS REALIZADOS'!$A$11:$E$995,4),(VLOOKUP($C163,'CUSTOS REALIZADOS'!$A$11:$E$995,5)))</f>
        <v>0.24000000000000002</v>
      </c>
      <c r="BI164" s="28">
        <f>IF(BI163="",VLOOKUP($C163,'CUSTOS REALIZADOS'!$A$11:$E$995,4),(VLOOKUP($C163,'CUSTOS REALIZADOS'!$A$11:$E$995,5)))</f>
        <v>0.24000000000000002</v>
      </c>
      <c r="BJ164" s="28">
        <f>IF(BJ163="",VLOOKUP($C163,'CUSTOS REALIZADOS'!$A$11:$E$995,4),(VLOOKUP($C163,'CUSTOS REALIZADOS'!$A$11:$E$995,5)))</f>
        <v>0.24000000000000002</v>
      </c>
      <c r="BK164" s="28">
        <f>IF(BK163="",VLOOKUP($C163,'CUSTOS REALIZADOS'!$A$11:$E$995,4),(VLOOKUP($C163,'CUSTOS REALIZADOS'!$A$11:$E$995,5)))</f>
        <v>0.24000000000000002</v>
      </c>
      <c r="BL164" s="28">
        <f>IF(BL163="",VLOOKUP($C163,'CUSTOS REALIZADOS'!$A$11:$E$995,4),(VLOOKUP($C163,'CUSTOS REALIZADOS'!$A$11:$E$995,5)))</f>
        <v>0.24000000000000002</v>
      </c>
      <c r="BM164" s="28">
        <f>IF(BM163="",VLOOKUP($C163,'CUSTOS REALIZADOS'!$A$11:$E$995,4),(VLOOKUP($C163,'CUSTOS REALIZADOS'!$A$11:$E$995,5)))</f>
        <v>0.24000000000000002</v>
      </c>
      <c r="BN164" s="28">
        <f>IF(BN163="",VLOOKUP($C163,'CUSTOS REALIZADOS'!$A$11:$E$995,4),(VLOOKUP($C163,'CUSTOS REALIZADOS'!$A$11:$E$995,5)))</f>
        <v>0.24000000000000002</v>
      </c>
    </row>
    <row r="165" spans="3:66" x14ac:dyDescent="0.2">
      <c r="C165" s="322"/>
      <c r="D165" s="23" t="s">
        <v>6</v>
      </c>
      <c r="E165" s="27">
        <f>SUM(F165:BN165)</f>
        <v>95000</v>
      </c>
      <c r="F165" s="23">
        <f>IF(AND($C163&gt;=F$6,OR($C163&lt;F$8,F$8="")),F$7*F$28,0)</f>
        <v>0</v>
      </c>
      <c r="G165" s="23">
        <f t="shared" ref="G165:BN165" si="1204">IF(AND($C163&gt;=G$6,OR($C163&lt;G$8,G$8="")),G$7*G$28,0)</f>
        <v>45000</v>
      </c>
      <c r="H165" s="23">
        <f t="shared" si="1204"/>
        <v>50000</v>
      </c>
      <c r="I165" s="23">
        <f t="shared" si="1204"/>
        <v>0</v>
      </c>
      <c r="J165" s="23">
        <f t="shared" si="1204"/>
        <v>0</v>
      </c>
      <c r="K165" s="23">
        <f t="shared" si="1204"/>
        <v>0</v>
      </c>
      <c r="L165" s="23">
        <f t="shared" si="1204"/>
        <v>0</v>
      </c>
      <c r="M165" s="23">
        <f t="shared" si="1204"/>
        <v>0</v>
      </c>
      <c r="N165" s="23">
        <f t="shared" si="1204"/>
        <v>0</v>
      </c>
      <c r="O165" s="23">
        <f t="shared" si="1204"/>
        <v>0</v>
      </c>
      <c r="P165" s="23">
        <f t="shared" si="1204"/>
        <v>0</v>
      </c>
      <c r="Q165" s="23">
        <f t="shared" si="1204"/>
        <v>0</v>
      </c>
      <c r="R165" s="23">
        <f t="shared" si="1204"/>
        <v>0</v>
      </c>
      <c r="S165" s="23">
        <f t="shared" si="1204"/>
        <v>0</v>
      </c>
      <c r="T165" s="23">
        <f t="shared" si="1204"/>
        <v>0</v>
      </c>
      <c r="U165" s="23">
        <f t="shared" si="1204"/>
        <v>0</v>
      </c>
      <c r="V165" s="23">
        <f t="shared" si="1204"/>
        <v>0</v>
      </c>
      <c r="W165" s="23">
        <f t="shared" si="1204"/>
        <v>0</v>
      </c>
      <c r="X165" s="23">
        <f t="shared" si="1204"/>
        <v>0</v>
      </c>
      <c r="Y165" s="23">
        <f t="shared" si="1204"/>
        <v>0</v>
      </c>
      <c r="Z165" s="23">
        <f t="shared" si="1204"/>
        <v>0</v>
      </c>
      <c r="AA165" s="23">
        <f t="shared" si="1204"/>
        <v>0</v>
      </c>
      <c r="AB165" s="23">
        <f t="shared" si="1204"/>
        <v>0</v>
      </c>
      <c r="AC165" s="23">
        <f t="shared" si="1204"/>
        <v>0</v>
      </c>
      <c r="AD165" s="23">
        <f t="shared" si="1204"/>
        <v>0</v>
      </c>
      <c r="AE165" s="23">
        <f t="shared" si="1204"/>
        <v>0</v>
      </c>
      <c r="AF165" s="23">
        <f t="shared" si="1204"/>
        <v>0</v>
      </c>
      <c r="AG165" s="23">
        <f t="shared" si="1204"/>
        <v>0</v>
      </c>
      <c r="AH165" s="23">
        <f t="shared" si="1204"/>
        <v>0</v>
      </c>
      <c r="AI165" s="23">
        <f t="shared" si="1204"/>
        <v>0</v>
      </c>
      <c r="AJ165" s="23">
        <f t="shared" si="1204"/>
        <v>0</v>
      </c>
      <c r="AK165" s="23">
        <f t="shared" si="1204"/>
        <v>0</v>
      </c>
      <c r="AL165" s="23">
        <f t="shared" si="1204"/>
        <v>0</v>
      </c>
      <c r="AM165" s="23">
        <f t="shared" si="1204"/>
        <v>0</v>
      </c>
      <c r="AN165" s="23">
        <f t="shared" si="1204"/>
        <v>0</v>
      </c>
      <c r="AO165" s="23">
        <f t="shared" si="1204"/>
        <v>0</v>
      </c>
      <c r="AP165" s="23">
        <f t="shared" si="1204"/>
        <v>0</v>
      </c>
      <c r="AQ165" s="23">
        <f t="shared" si="1204"/>
        <v>0</v>
      </c>
      <c r="AR165" s="23">
        <f t="shared" si="1204"/>
        <v>0</v>
      </c>
      <c r="AS165" s="23">
        <f t="shared" si="1204"/>
        <v>0</v>
      </c>
      <c r="AT165" s="23">
        <f t="shared" si="1204"/>
        <v>0</v>
      </c>
      <c r="AU165" s="23">
        <f t="shared" si="1204"/>
        <v>0</v>
      </c>
      <c r="AV165" s="23">
        <f t="shared" si="1204"/>
        <v>0</v>
      </c>
      <c r="AW165" s="23">
        <f t="shared" si="1204"/>
        <v>0</v>
      </c>
      <c r="AX165" s="23">
        <f t="shared" si="1204"/>
        <v>0</v>
      </c>
      <c r="AY165" s="23">
        <f t="shared" si="1204"/>
        <v>0</v>
      </c>
      <c r="AZ165" s="23">
        <f t="shared" si="1204"/>
        <v>0</v>
      </c>
      <c r="BA165" s="23">
        <f t="shared" si="1204"/>
        <v>0</v>
      </c>
      <c r="BB165" s="23">
        <f t="shared" si="1204"/>
        <v>0</v>
      </c>
      <c r="BC165" s="23">
        <f t="shared" si="1204"/>
        <v>0</v>
      </c>
      <c r="BD165" s="23">
        <f t="shared" si="1204"/>
        <v>0</v>
      </c>
      <c r="BE165" s="23">
        <f t="shared" si="1204"/>
        <v>0</v>
      </c>
      <c r="BF165" s="23">
        <f t="shared" si="1204"/>
        <v>0</v>
      </c>
      <c r="BG165" s="23">
        <f t="shared" si="1204"/>
        <v>0</v>
      </c>
      <c r="BH165" s="23">
        <f t="shared" si="1204"/>
        <v>0</v>
      </c>
      <c r="BI165" s="23">
        <f t="shared" si="1204"/>
        <v>0</v>
      </c>
      <c r="BJ165" s="23">
        <f t="shared" si="1204"/>
        <v>0</v>
      </c>
      <c r="BK165" s="23">
        <f t="shared" si="1204"/>
        <v>0</v>
      </c>
      <c r="BL165" s="23">
        <f t="shared" si="1204"/>
        <v>0</v>
      </c>
      <c r="BM165" s="23">
        <f t="shared" si="1204"/>
        <v>0</v>
      </c>
      <c r="BN165" s="23">
        <f t="shared" si="1204"/>
        <v>0</v>
      </c>
    </row>
    <row r="166" spans="3:66" x14ac:dyDescent="0.2">
      <c r="C166" s="322"/>
      <c r="D166" s="23" t="s">
        <v>9</v>
      </c>
      <c r="E166" s="27">
        <f>SUM(F166:BN166)</f>
        <v>0</v>
      </c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2"/>
    </row>
    <row r="167" spans="3:66" x14ac:dyDescent="0.2">
      <c r="C167" s="322"/>
      <c r="D167" s="23" t="s">
        <v>14</v>
      </c>
      <c r="E167" s="27">
        <f>SUM(F167:AY167)</f>
        <v>905547.50745993026</v>
      </c>
      <c r="F167" s="23">
        <f>IF(F162=0,F163-F166,F162-F166)</f>
        <v>-158.89586023160732</v>
      </c>
      <c r="G167" s="23">
        <f t="shared" ref="G167" si="1205">IF(G162=0,G163-G166,G162-G166)</f>
        <v>429018.8226253399</v>
      </c>
      <c r="H167" s="23">
        <f t="shared" ref="H167" si="1206">IF(H162=0,H163-H166,H162-H166)</f>
        <v>476687.58069482195</v>
      </c>
      <c r="I167" s="23">
        <f t="shared" ref="I167" si="1207">IF(I162=0,I163-I166,I162-I166)</f>
        <v>0</v>
      </c>
      <c r="J167" s="23">
        <f t="shared" ref="J167" si="1208">IF(J162=0,J163-J166,J162-J166)</f>
        <v>0</v>
      </c>
      <c r="K167" s="23">
        <f t="shared" ref="K167" si="1209">IF(K162=0,K163-K166,K162-K166)</f>
        <v>0</v>
      </c>
      <c r="L167" s="23">
        <f t="shared" ref="L167" si="1210">IF(L162=0,L163-L166,L162-L166)</f>
        <v>0</v>
      </c>
      <c r="M167" s="23">
        <f t="shared" ref="M167" si="1211">IF(M162=0,M163-M166,M162-M166)</f>
        <v>0</v>
      </c>
      <c r="N167" s="23">
        <f t="shared" ref="N167" si="1212">IF(N162=0,N163-N166,N162-N166)</f>
        <v>0</v>
      </c>
      <c r="O167" s="23">
        <f t="shared" ref="O167" si="1213">IF(O162=0,O163-O166,O162-O166)</f>
        <v>0</v>
      </c>
      <c r="P167" s="23">
        <f t="shared" ref="P167" si="1214">IF(P162=0,P163-P166,P162-P166)</f>
        <v>0</v>
      </c>
      <c r="Q167" s="23">
        <f t="shared" ref="Q167" si="1215">IF(Q162=0,Q163-Q166,Q162-Q166)</f>
        <v>0</v>
      </c>
      <c r="R167" s="23">
        <f t="shared" ref="R167" si="1216">IF(R162=0,R163-R166,R162-R166)</f>
        <v>0</v>
      </c>
      <c r="S167" s="23">
        <f t="shared" ref="S167" si="1217">IF(S162=0,S163-S166,S162-S166)</f>
        <v>0</v>
      </c>
      <c r="T167" s="23">
        <f t="shared" ref="T167" si="1218">IF(T162=0,T163-T166,T162-T166)</f>
        <v>0</v>
      </c>
      <c r="U167" s="23">
        <f t="shared" ref="U167" si="1219">IF(U162=0,U163-U166,U162-U166)</f>
        <v>0</v>
      </c>
      <c r="V167" s="23">
        <f t="shared" ref="V167" si="1220">IF(V162=0,V163-V166,V162-V166)</f>
        <v>0</v>
      </c>
      <c r="W167" s="23">
        <f t="shared" ref="W167" si="1221">IF(W162=0,W163-W166,W162-W166)</f>
        <v>0</v>
      </c>
      <c r="X167" s="23">
        <f t="shared" ref="X167" si="1222">IF(X162=0,X163-X166,X162-X166)</f>
        <v>0</v>
      </c>
      <c r="Y167" s="23">
        <f t="shared" ref="Y167" si="1223">IF(Y162=0,Y163-Y166,Y162-Y166)</f>
        <v>0</v>
      </c>
      <c r="Z167" s="23">
        <f t="shared" ref="Z167" si="1224">IF(Z162=0,Z163-Z166,Z162-Z166)</f>
        <v>0</v>
      </c>
      <c r="AA167" s="23">
        <f t="shared" ref="AA167" si="1225">IF(AA162=0,AA163-AA166,AA162-AA166)</f>
        <v>0</v>
      </c>
      <c r="AB167" s="23">
        <f t="shared" ref="AB167" si="1226">IF(AB162=0,AB163-AB166,AB162-AB166)</f>
        <v>0</v>
      </c>
      <c r="AC167" s="23">
        <f t="shared" ref="AC167" si="1227">IF(AC162=0,AC163-AC166,AC162-AC166)</f>
        <v>0</v>
      </c>
      <c r="AD167" s="23">
        <f t="shared" ref="AD167" si="1228">IF(AD162=0,AD163-AD166,AD162-AD166)</f>
        <v>0</v>
      </c>
      <c r="AE167" s="23">
        <f t="shared" ref="AE167" si="1229">IF(AE162=0,AE163-AE166,AE162-AE166)</f>
        <v>0</v>
      </c>
      <c r="AF167" s="23">
        <f t="shared" ref="AF167" si="1230">IF(AF162=0,AF163-AF166,AF162-AF166)</f>
        <v>0</v>
      </c>
      <c r="AG167" s="23">
        <f t="shared" ref="AG167" si="1231">IF(AG162=0,AG163-AG166,AG162-AG166)</f>
        <v>0</v>
      </c>
      <c r="AH167" s="23">
        <f t="shared" ref="AH167" si="1232">IF(AH162=0,AH163-AH166,AH162-AH166)</f>
        <v>0</v>
      </c>
      <c r="AI167" s="23">
        <f t="shared" ref="AI167" si="1233">IF(AI162=0,AI163-AI166,AI162-AI166)</f>
        <v>0</v>
      </c>
      <c r="AJ167" s="23">
        <f t="shared" ref="AJ167" si="1234">IF(AJ162=0,AJ163-AJ166,AJ162-AJ166)</f>
        <v>0</v>
      </c>
      <c r="AK167" s="23">
        <f t="shared" ref="AK167" si="1235">IF(AK162=0,AK163-AK166,AK162-AK166)</f>
        <v>0</v>
      </c>
      <c r="AL167" s="23">
        <f t="shared" ref="AL167" si="1236">IF(AL162=0,AL163-AL166,AL162-AL166)</f>
        <v>0</v>
      </c>
      <c r="AM167" s="23">
        <f t="shared" ref="AM167" si="1237">IF(AM162=0,AM163-AM166,AM162-AM166)</f>
        <v>0</v>
      </c>
      <c r="AN167" s="23">
        <f t="shared" ref="AN167" si="1238">IF(AN162=0,AN163-AN166,AN162-AN166)</f>
        <v>0</v>
      </c>
      <c r="AO167" s="23">
        <f t="shared" ref="AO167" si="1239">IF(AO162=0,AO163-AO166,AO162-AO166)</f>
        <v>0</v>
      </c>
      <c r="AP167" s="23">
        <f t="shared" ref="AP167" si="1240">IF(AP162=0,AP163-AP166,AP162-AP166)</f>
        <v>0</v>
      </c>
      <c r="AQ167" s="23">
        <f t="shared" ref="AQ167" si="1241">IF(AQ162=0,AQ163-AQ166,AQ162-AQ166)</f>
        <v>0</v>
      </c>
      <c r="AR167" s="23">
        <f t="shared" ref="AR167" si="1242">IF(AR162=0,AR163-AR166,AR162-AR166)</f>
        <v>0</v>
      </c>
      <c r="AS167" s="23">
        <f t="shared" ref="AS167" si="1243">IF(AS162=0,AS163-AS166,AS162-AS166)</f>
        <v>0</v>
      </c>
      <c r="AT167" s="23">
        <f t="shared" ref="AT167" si="1244">IF(AT162=0,AT163-AT166,AT162-AT166)</f>
        <v>0</v>
      </c>
      <c r="AU167" s="23">
        <f t="shared" ref="AU167" si="1245">IF(AU162=0,AU163-AU166,AU162-AU166)</f>
        <v>0</v>
      </c>
      <c r="AV167" s="23">
        <f t="shared" ref="AV167" si="1246">IF(AV162=0,AV163-AV166,AV162-AV166)</f>
        <v>0</v>
      </c>
      <c r="AW167" s="23">
        <f t="shared" ref="AW167" si="1247">IF(AW162=0,AW163-AW166,AW162-AW166)</f>
        <v>0</v>
      </c>
      <c r="AX167" s="23">
        <f t="shared" ref="AX167" si="1248">IF(AX162=0,AX163-AX166,AX162-AX166)</f>
        <v>0</v>
      </c>
      <c r="AY167" s="23">
        <f t="shared" ref="AY167" si="1249">IF(AY162=0,AY163-AY166,AY162-AY166)</f>
        <v>0</v>
      </c>
      <c r="AZ167" s="23">
        <f t="shared" ref="AZ167" si="1250">IF(AZ162=0,AZ163-AZ166,AZ162-AZ166)</f>
        <v>0</v>
      </c>
      <c r="BA167" s="23">
        <f t="shared" ref="BA167" si="1251">IF(BA162=0,BA163-BA166,BA162-BA166)</f>
        <v>0</v>
      </c>
      <c r="BB167" s="23">
        <f t="shared" ref="BB167" si="1252">IF(BB162=0,BB163-BB166,BB162-BB166)</f>
        <v>0</v>
      </c>
      <c r="BC167" s="23">
        <f t="shared" ref="BC167" si="1253">IF(BC162=0,BC163-BC166,BC162-BC166)</f>
        <v>0</v>
      </c>
      <c r="BD167" s="23">
        <f t="shared" ref="BD167" si="1254">IF(BD162=0,BD163-BD166,BD162-BD166)</f>
        <v>0</v>
      </c>
      <c r="BE167" s="23">
        <f t="shared" ref="BE167" si="1255">IF(BE162=0,BE163-BE166,BE162-BE166)</f>
        <v>0</v>
      </c>
      <c r="BF167" s="23">
        <f t="shared" ref="BF167" si="1256">IF(BF162=0,BF163-BF166,BF162-BF166)</f>
        <v>0</v>
      </c>
      <c r="BG167" s="23">
        <f t="shared" ref="BG167" si="1257">IF(BG162=0,BG163-BG166,BG162-BG166)</f>
        <v>0</v>
      </c>
      <c r="BH167" s="23">
        <f t="shared" ref="BH167" si="1258">IF(BH162=0,BH163-BH166,BH162-BH166)</f>
        <v>0</v>
      </c>
      <c r="BI167" s="23">
        <f t="shared" ref="BI167" si="1259">IF(BI162=0,BI163-BI166,BI162-BI166)</f>
        <v>0</v>
      </c>
      <c r="BJ167" s="23">
        <f t="shared" ref="BJ167" si="1260">IF(BJ162=0,BJ163-BJ166,BJ162-BJ166)</f>
        <v>0</v>
      </c>
      <c r="BK167" s="23">
        <f t="shared" ref="BK167" si="1261">IF(BK162=0,BK163-BK166,BK162-BK166)</f>
        <v>0</v>
      </c>
      <c r="BL167" s="23">
        <f t="shared" ref="BL167" si="1262">IF(BL162=0,BL163-BL166,BL162-BL166)</f>
        <v>0</v>
      </c>
      <c r="BM167" s="23">
        <f t="shared" ref="BM167" si="1263">IF(BM162=0,BM163-BM166,BM162-BM166)</f>
        <v>0</v>
      </c>
      <c r="BN167" s="23">
        <f t="shared" ref="BN167" si="1264">IF(BN162=0,BN163-BN166,BN162-BN166)</f>
        <v>0</v>
      </c>
    </row>
    <row r="168" spans="3:66" x14ac:dyDescent="0.2">
      <c r="C168" s="322"/>
      <c r="D168" s="23" t="s">
        <v>10</v>
      </c>
      <c r="E168" s="72">
        <v>0</v>
      </c>
      <c r="F168" s="54">
        <v>1.1599999999999999E-2</v>
      </c>
      <c r="G168" s="54">
        <v>1.1599999999999999E-2</v>
      </c>
      <c r="H168" s="54">
        <v>1.1599999999999999E-2</v>
      </c>
      <c r="I168" s="54">
        <v>1.1599999999999999E-2</v>
      </c>
      <c r="J168" s="54">
        <v>1.1599999999999999E-2</v>
      </c>
      <c r="K168" s="54">
        <v>1.1599999999999999E-2</v>
      </c>
      <c r="L168" s="54">
        <v>1.1599999999999999E-2</v>
      </c>
      <c r="M168" s="54">
        <v>1.1599999999999999E-2</v>
      </c>
      <c r="N168" s="54">
        <v>1.1599999999999999E-2</v>
      </c>
      <c r="O168" s="54">
        <v>1.1599999999999999E-2</v>
      </c>
      <c r="P168" s="54">
        <v>1.1599999999999999E-2</v>
      </c>
      <c r="Q168" s="54">
        <v>1.1599999999999999E-2</v>
      </c>
      <c r="R168" s="54">
        <v>1.1599999999999999E-2</v>
      </c>
      <c r="S168" s="54">
        <v>1.1599999999999999E-2</v>
      </c>
      <c r="T168" s="54">
        <v>1.1599999999999999E-2</v>
      </c>
      <c r="U168" s="54">
        <v>1.1599999999999999E-2</v>
      </c>
      <c r="V168" s="54">
        <v>1.1599999999999999E-2</v>
      </c>
      <c r="W168" s="54">
        <v>1.1599999999999999E-2</v>
      </c>
      <c r="X168" s="54">
        <v>1.1599999999999999E-2</v>
      </c>
      <c r="Y168" s="54">
        <v>1.1599999999999999E-2</v>
      </c>
      <c r="Z168" s="54">
        <v>1.1599999999999999E-2</v>
      </c>
      <c r="AA168" s="54">
        <v>1.1599999999999999E-2</v>
      </c>
      <c r="AB168" s="54">
        <v>1.1599999999999999E-2</v>
      </c>
      <c r="AC168" s="54">
        <v>1.1599999999999999E-2</v>
      </c>
      <c r="AD168" s="54">
        <v>1.1599999999999999E-2</v>
      </c>
      <c r="AE168" s="54">
        <v>1.1599999999999999E-2</v>
      </c>
      <c r="AF168" s="54">
        <v>1.1599999999999999E-2</v>
      </c>
      <c r="AG168" s="54">
        <v>1.1599999999999999E-2</v>
      </c>
      <c r="AH168" s="54">
        <v>1.1599999999999999E-2</v>
      </c>
      <c r="AI168" s="54">
        <v>1.1599999999999999E-2</v>
      </c>
      <c r="AJ168" s="54">
        <v>1.1599999999999999E-2</v>
      </c>
      <c r="AK168" s="54">
        <v>1.1599999999999999E-2</v>
      </c>
      <c r="AL168" s="54">
        <v>1.1599999999999999E-2</v>
      </c>
      <c r="AM168" s="54">
        <v>1.1599999999999999E-2</v>
      </c>
      <c r="AN168" s="54">
        <v>1.1599999999999999E-2</v>
      </c>
      <c r="AO168" s="54">
        <v>1.1599999999999999E-2</v>
      </c>
      <c r="AP168" s="54">
        <v>1.1599999999999999E-2</v>
      </c>
      <c r="AQ168" s="54">
        <v>1.1599999999999999E-2</v>
      </c>
      <c r="AR168" s="54">
        <v>1.1599999999999999E-2</v>
      </c>
      <c r="AS168" s="54">
        <v>1.1599999999999999E-2</v>
      </c>
      <c r="AT168" s="54">
        <v>1.1599999999999999E-2</v>
      </c>
      <c r="AU168" s="54">
        <v>1.1599999999999999E-2</v>
      </c>
      <c r="AV168" s="54">
        <v>1.1599999999999999E-2</v>
      </c>
      <c r="AW168" s="54">
        <v>1.1599999999999999E-2</v>
      </c>
      <c r="AX168" s="54">
        <v>1.1599999999999999E-2</v>
      </c>
      <c r="AY168" s="54">
        <v>1.1599999999999999E-2</v>
      </c>
      <c r="AZ168" s="54">
        <v>1.1599999999999999E-2</v>
      </c>
      <c r="BA168" s="54">
        <v>1.1599999999999999E-2</v>
      </c>
      <c r="BB168" s="54">
        <v>1.1599999999999999E-2</v>
      </c>
      <c r="BC168" s="54">
        <v>1.1599999999999999E-2</v>
      </c>
      <c r="BD168" s="54">
        <v>1.1599999999999999E-2</v>
      </c>
      <c r="BE168" s="54">
        <v>1.1599999999999999E-2</v>
      </c>
      <c r="BF168" s="54">
        <v>1.1599999999999999E-2</v>
      </c>
      <c r="BG168" s="54">
        <v>1.1599999999999999E-2</v>
      </c>
      <c r="BH168" s="54">
        <v>1.1599999999999999E-2</v>
      </c>
      <c r="BI168" s="54">
        <v>1.1599999999999999E-2</v>
      </c>
      <c r="BJ168" s="54">
        <v>1.1599999999999999E-2</v>
      </c>
      <c r="BK168" s="54">
        <v>1.1599999999999999E-2</v>
      </c>
      <c r="BL168" s="54">
        <v>1.1599999999999999E-2</v>
      </c>
      <c r="BM168" s="54">
        <v>1.1599999999999999E-2</v>
      </c>
      <c r="BN168" s="54">
        <v>1.1599999999999999E-2</v>
      </c>
    </row>
    <row r="169" spans="3:66" x14ac:dyDescent="0.2">
      <c r="C169" s="322"/>
      <c r="D169" s="23" t="s">
        <v>12</v>
      </c>
      <c r="E169" s="27">
        <f>SUM(F169:AY169)</f>
        <v>10504.351086535189</v>
      </c>
      <c r="F169" s="29">
        <f>+F167*F168</f>
        <v>-1.8431919786866446</v>
      </c>
      <c r="G169" s="29">
        <f>+G167*G168</f>
        <v>4976.6183424539422</v>
      </c>
      <c r="H169" s="29">
        <f>+H167*H168</f>
        <v>5529.5759360599341</v>
      </c>
      <c r="I169" s="29">
        <v>0</v>
      </c>
      <c r="J169" s="29">
        <f t="shared" ref="J169:O169" si="1265">+J167*J168</f>
        <v>0</v>
      </c>
      <c r="K169" s="29">
        <f t="shared" si="1265"/>
        <v>0</v>
      </c>
      <c r="L169" s="29">
        <f t="shared" si="1265"/>
        <v>0</v>
      </c>
      <c r="M169" s="29">
        <f t="shared" si="1265"/>
        <v>0</v>
      </c>
      <c r="N169" s="29">
        <f t="shared" si="1265"/>
        <v>0</v>
      </c>
      <c r="O169" s="29">
        <f t="shared" si="1265"/>
        <v>0</v>
      </c>
      <c r="P169" s="29">
        <f>+P167*P168</f>
        <v>0</v>
      </c>
      <c r="Q169" s="29">
        <v>0</v>
      </c>
      <c r="R169" s="29">
        <f>+R167*R168</f>
        <v>0</v>
      </c>
      <c r="S169" s="29">
        <f>+S167*S168</f>
        <v>0</v>
      </c>
      <c r="T169" s="29">
        <f t="shared" ref="T169" si="1266">+T167*T168</f>
        <v>0</v>
      </c>
      <c r="U169" s="29">
        <f>+U167*U168</f>
        <v>0</v>
      </c>
      <c r="V169" s="29">
        <f t="shared" ref="V169:X169" si="1267">+V167*V168</f>
        <v>0</v>
      </c>
      <c r="W169" s="29">
        <f t="shared" si="1267"/>
        <v>0</v>
      </c>
      <c r="X169" s="29">
        <f t="shared" si="1267"/>
        <v>0</v>
      </c>
      <c r="Y169" s="29">
        <f>+Y167*Y168</f>
        <v>0</v>
      </c>
      <c r="Z169" s="29">
        <f>+Z167*Z168</f>
        <v>0</v>
      </c>
      <c r="AA169" s="29">
        <v>0</v>
      </c>
      <c r="AB169" s="29">
        <f t="shared" ref="AB169:AD169" si="1268">+AB167*AB168</f>
        <v>0</v>
      </c>
      <c r="AC169" s="29">
        <f t="shared" si="1268"/>
        <v>0</v>
      </c>
      <c r="AD169" s="29">
        <f t="shared" si="1268"/>
        <v>0</v>
      </c>
      <c r="AE169" s="29">
        <v>0</v>
      </c>
      <c r="AF169" s="29">
        <f>+AF167*AF168</f>
        <v>0</v>
      </c>
      <c r="AG169" s="29">
        <f t="shared" ref="AG169:AP169" si="1269">+AG167*AG168</f>
        <v>0</v>
      </c>
      <c r="AH169" s="29">
        <f t="shared" si="1269"/>
        <v>0</v>
      </c>
      <c r="AI169" s="29">
        <f t="shared" si="1269"/>
        <v>0</v>
      </c>
      <c r="AJ169" s="29">
        <f t="shared" si="1269"/>
        <v>0</v>
      </c>
      <c r="AK169" s="29">
        <f t="shared" si="1269"/>
        <v>0</v>
      </c>
      <c r="AL169" s="29">
        <f t="shared" si="1269"/>
        <v>0</v>
      </c>
      <c r="AM169" s="29">
        <f t="shared" si="1269"/>
        <v>0</v>
      </c>
      <c r="AN169" s="29">
        <f t="shared" si="1269"/>
        <v>0</v>
      </c>
      <c r="AO169" s="29">
        <f t="shared" si="1269"/>
        <v>0</v>
      </c>
      <c r="AP169" s="29">
        <f t="shared" si="1269"/>
        <v>0</v>
      </c>
      <c r="AQ169" s="29">
        <f>+AQ167*AQ168</f>
        <v>0</v>
      </c>
      <c r="AR169" s="29">
        <f>+AR167*AR168</f>
        <v>0</v>
      </c>
      <c r="AS169" s="29">
        <f t="shared" ref="AS169:AU169" si="1270">+AS167*AS168</f>
        <v>0</v>
      </c>
      <c r="AT169" s="29">
        <f t="shared" si="1270"/>
        <v>0</v>
      </c>
      <c r="AU169" s="29">
        <f t="shared" si="1270"/>
        <v>0</v>
      </c>
      <c r="AV169" s="29">
        <v>0</v>
      </c>
      <c r="AW169" s="29">
        <f t="shared" ref="AW169:AX169" si="1271">+AW167*AW168</f>
        <v>0</v>
      </c>
      <c r="AX169" s="29">
        <f t="shared" si="1271"/>
        <v>0</v>
      </c>
      <c r="AY169" s="29">
        <f>+AY167*AY168</f>
        <v>0</v>
      </c>
      <c r="AZ169" s="29">
        <f t="shared" ref="AZ169:BN169" si="1272">+AZ167*AZ168</f>
        <v>0</v>
      </c>
      <c r="BA169" s="29">
        <f t="shared" si="1272"/>
        <v>0</v>
      </c>
      <c r="BB169" s="29">
        <v>0</v>
      </c>
      <c r="BC169" s="29">
        <f t="shared" si="1272"/>
        <v>0</v>
      </c>
      <c r="BD169" s="29">
        <f t="shared" si="1272"/>
        <v>0</v>
      </c>
      <c r="BE169" s="29">
        <f t="shared" si="1272"/>
        <v>0</v>
      </c>
      <c r="BF169" s="29">
        <f t="shared" si="1272"/>
        <v>0</v>
      </c>
      <c r="BG169" s="29">
        <f t="shared" si="1272"/>
        <v>0</v>
      </c>
      <c r="BH169" s="29">
        <f t="shared" si="1272"/>
        <v>0</v>
      </c>
      <c r="BI169" s="29">
        <f t="shared" si="1272"/>
        <v>0</v>
      </c>
      <c r="BJ169" s="29">
        <f t="shared" si="1272"/>
        <v>0</v>
      </c>
      <c r="BK169" s="29">
        <f t="shared" si="1272"/>
        <v>0</v>
      </c>
      <c r="BL169" s="29">
        <f t="shared" si="1272"/>
        <v>0</v>
      </c>
      <c r="BM169" s="29">
        <f t="shared" si="1272"/>
        <v>0</v>
      </c>
      <c r="BN169" s="29">
        <f t="shared" si="1272"/>
        <v>0</v>
      </c>
    </row>
    <row r="170" spans="3:66" ht="13.5" thickBot="1" x14ac:dyDescent="0.25">
      <c r="C170" s="323"/>
      <c r="D170" s="25" t="s">
        <v>11</v>
      </c>
      <c r="E170" s="30">
        <f>SUM(F170:AY170)</f>
        <v>916051.8585464654</v>
      </c>
      <c r="F170" s="46">
        <f>+F167+F169</f>
        <v>-160.73905221029395</v>
      </c>
      <c r="G170" s="46">
        <f>+G167+G169</f>
        <v>433995.44096779387</v>
      </c>
      <c r="H170" s="46">
        <f>+H167+H169</f>
        <v>482217.15663088189</v>
      </c>
      <c r="I170" s="46">
        <f>+I167+I169</f>
        <v>0</v>
      </c>
      <c r="J170" s="46">
        <f t="shared" ref="J170:AU170" si="1273">+J167+J169</f>
        <v>0</v>
      </c>
      <c r="K170" s="46">
        <f t="shared" si="1273"/>
        <v>0</v>
      </c>
      <c r="L170" s="46">
        <f t="shared" si="1273"/>
        <v>0</v>
      </c>
      <c r="M170" s="46">
        <f t="shared" si="1273"/>
        <v>0</v>
      </c>
      <c r="N170" s="46">
        <f t="shared" si="1273"/>
        <v>0</v>
      </c>
      <c r="O170" s="46">
        <f t="shared" si="1273"/>
        <v>0</v>
      </c>
      <c r="P170" s="46">
        <f t="shared" si="1273"/>
        <v>0</v>
      </c>
      <c r="Q170" s="46">
        <f t="shared" si="1273"/>
        <v>0</v>
      </c>
      <c r="R170" s="46">
        <f t="shared" si="1273"/>
        <v>0</v>
      </c>
      <c r="S170" s="46">
        <f t="shared" si="1273"/>
        <v>0</v>
      </c>
      <c r="T170" s="46">
        <f t="shared" si="1273"/>
        <v>0</v>
      </c>
      <c r="U170" s="46">
        <f t="shared" si="1273"/>
        <v>0</v>
      </c>
      <c r="V170" s="46">
        <f t="shared" si="1273"/>
        <v>0</v>
      </c>
      <c r="W170" s="46">
        <f t="shared" si="1273"/>
        <v>0</v>
      </c>
      <c r="X170" s="46">
        <f t="shared" si="1273"/>
        <v>0</v>
      </c>
      <c r="Y170" s="46">
        <f t="shared" si="1273"/>
        <v>0</v>
      </c>
      <c r="Z170" s="46">
        <f t="shared" si="1273"/>
        <v>0</v>
      </c>
      <c r="AA170" s="46">
        <f t="shared" si="1273"/>
        <v>0</v>
      </c>
      <c r="AB170" s="46">
        <f t="shared" si="1273"/>
        <v>0</v>
      </c>
      <c r="AC170" s="46">
        <f t="shared" si="1273"/>
        <v>0</v>
      </c>
      <c r="AD170" s="46">
        <f t="shared" si="1273"/>
        <v>0</v>
      </c>
      <c r="AE170" s="46">
        <f t="shared" si="1273"/>
        <v>0</v>
      </c>
      <c r="AF170" s="46">
        <f t="shared" si="1273"/>
        <v>0</v>
      </c>
      <c r="AG170" s="46">
        <f t="shared" si="1273"/>
        <v>0</v>
      </c>
      <c r="AH170" s="46">
        <f t="shared" si="1273"/>
        <v>0</v>
      </c>
      <c r="AI170" s="46">
        <f t="shared" si="1273"/>
        <v>0</v>
      </c>
      <c r="AJ170" s="46">
        <f t="shared" si="1273"/>
        <v>0</v>
      </c>
      <c r="AK170" s="46">
        <f t="shared" si="1273"/>
        <v>0</v>
      </c>
      <c r="AL170" s="46">
        <f t="shared" si="1273"/>
        <v>0</v>
      </c>
      <c r="AM170" s="46">
        <f t="shared" si="1273"/>
        <v>0</v>
      </c>
      <c r="AN170" s="46">
        <f t="shared" si="1273"/>
        <v>0</v>
      </c>
      <c r="AO170" s="46">
        <f t="shared" si="1273"/>
        <v>0</v>
      </c>
      <c r="AP170" s="46">
        <f t="shared" si="1273"/>
        <v>0</v>
      </c>
      <c r="AQ170" s="46">
        <f t="shared" si="1273"/>
        <v>0</v>
      </c>
      <c r="AR170" s="46">
        <f t="shared" si="1273"/>
        <v>0</v>
      </c>
      <c r="AS170" s="46">
        <f t="shared" si="1273"/>
        <v>0</v>
      </c>
      <c r="AT170" s="46">
        <f t="shared" si="1273"/>
        <v>0</v>
      </c>
      <c r="AU170" s="46">
        <f t="shared" si="1273"/>
        <v>0</v>
      </c>
      <c r="AV170" s="46">
        <f>+AV167+AV169</f>
        <v>0</v>
      </c>
      <c r="AW170" s="46">
        <f t="shared" ref="AW170:BN170" si="1274">+AW167+AW169</f>
        <v>0</v>
      </c>
      <c r="AX170" s="46">
        <f t="shared" si="1274"/>
        <v>0</v>
      </c>
      <c r="AY170" s="46">
        <f t="shared" si="1274"/>
        <v>0</v>
      </c>
      <c r="AZ170" s="46">
        <f t="shared" si="1274"/>
        <v>0</v>
      </c>
      <c r="BA170" s="46">
        <f t="shared" si="1274"/>
        <v>0</v>
      </c>
      <c r="BB170" s="46">
        <f t="shared" si="1274"/>
        <v>0</v>
      </c>
      <c r="BC170" s="46">
        <f t="shared" si="1274"/>
        <v>0</v>
      </c>
      <c r="BD170" s="46">
        <f t="shared" si="1274"/>
        <v>0</v>
      </c>
      <c r="BE170" s="46">
        <f t="shared" si="1274"/>
        <v>0</v>
      </c>
      <c r="BF170" s="46">
        <f t="shared" si="1274"/>
        <v>0</v>
      </c>
      <c r="BG170" s="46">
        <f t="shared" si="1274"/>
        <v>0</v>
      </c>
      <c r="BH170" s="46">
        <f t="shared" si="1274"/>
        <v>0</v>
      </c>
      <c r="BI170" s="46">
        <f t="shared" si="1274"/>
        <v>0</v>
      </c>
      <c r="BJ170" s="46">
        <f t="shared" si="1274"/>
        <v>0</v>
      </c>
      <c r="BK170" s="46">
        <f t="shared" si="1274"/>
        <v>0</v>
      </c>
      <c r="BL170" s="46">
        <f t="shared" si="1274"/>
        <v>0</v>
      </c>
      <c r="BM170" s="46">
        <f t="shared" si="1274"/>
        <v>0</v>
      </c>
      <c r="BN170" s="46">
        <f t="shared" si="1274"/>
        <v>0</v>
      </c>
    </row>
    <row r="171" spans="3:66" x14ac:dyDescent="0.2">
      <c r="C171" s="321">
        <v>44166</v>
      </c>
      <c r="D171" s="20" t="s">
        <v>5</v>
      </c>
      <c r="E171" s="50">
        <f>SUM(F171:BN171)</f>
        <v>0</v>
      </c>
      <c r="F171" s="279">
        <f>IF(F$6=$C171,F$7,0)</f>
        <v>0</v>
      </c>
      <c r="G171" s="279">
        <f t="shared" ref="G171:BN171" si="1275">IF(G$6=$C171,G$7,0)</f>
        <v>0</v>
      </c>
      <c r="H171" s="279">
        <f t="shared" si="1275"/>
        <v>0</v>
      </c>
      <c r="I171" s="279">
        <f t="shared" si="1275"/>
        <v>0</v>
      </c>
      <c r="J171" s="279">
        <f t="shared" si="1275"/>
        <v>0</v>
      </c>
      <c r="K171" s="279">
        <f t="shared" si="1275"/>
        <v>0</v>
      </c>
      <c r="L171" s="279">
        <f t="shared" si="1275"/>
        <v>0</v>
      </c>
      <c r="M171" s="279">
        <f t="shared" si="1275"/>
        <v>0</v>
      </c>
      <c r="N171" s="279">
        <f t="shared" si="1275"/>
        <v>0</v>
      </c>
      <c r="O171" s="279">
        <f t="shared" si="1275"/>
        <v>0</v>
      </c>
      <c r="P171" s="279">
        <f t="shared" si="1275"/>
        <v>0</v>
      </c>
      <c r="Q171" s="279">
        <f t="shared" si="1275"/>
        <v>0</v>
      </c>
      <c r="R171" s="279">
        <f t="shared" si="1275"/>
        <v>0</v>
      </c>
      <c r="S171" s="279">
        <f t="shared" si="1275"/>
        <v>0</v>
      </c>
      <c r="T171" s="279">
        <f t="shared" si="1275"/>
        <v>0</v>
      </c>
      <c r="U171" s="279">
        <f t="shared" si="1275"/>
        <v>0</v>
      </c>
      <c r="V171" s="279">
        <f t="shared" si="1275"/>
        <v>0</v>
      </c>
      <c r="W171" s="279">
        <f t="shared" si="1275"/>
        <v>0</v>
      </c>
      <c r="X171" s="279">
        <f t="shared" si="1275"/>
        <v>0</v>
      </c>
      <c r="Y171" s="279">
        <f t="shared" si="1275"/>
        <v>0</v>
      </c>
      <c r="Z171" s="279">
        <f t="shared" si="1275"/>
        <v>0</v>
      </c>
      <c r="AA171" s="279">
        <f t="shared" si="1275"/>
        <v>0</v>
      </c>
      <c r="AB171" s="279">
        <f t="shared" si="1275"/>
        <v>0</v>
      </c>
      <c r="AC171" s="279">
        <f t="shared" si="1275"/>
        <v>0</v>
      </c>
      <c r="AD171" s="279">
        <f t="shared" si="1275"/>
        <v>0</v>
      </c>
      <c r="AE171" s="279">
        <f t="shared" si="1275"/>
        <v>0</v>
      </c>
      <c r="AF171" s="279">
        <f t="shared" si="1275"/>
        <v>0</v>
      </c>
      <c r="AG171" s="279">
        <f t="shared" si="1275"/>
        <v>0</v>
      </c>
      <c r="AH171" s="279">
        <f t="shared" si="1275"/>
        <v>0</v>
      </c>
      <c r="AI171" s="279">
        <f t="shared" si="1275"/>
        <v>0</v>
      </c>
      <c r="AJ171" s="279">
        <f t="shared" si="1275"/>
        <v>0</v>
      </c>
      <c r="AK171" s="279">
        <f t="shared" si="1275"/>
        <v>0</v>
      </c>
      <c r="AL171" s="279">
        <f t="shared" si="1275"/>
        <v>0</v>
      </c>
      <c r="AM171" s="279">
        <f t="shared" si="1275"/>
        <v>0</v>
      </c>
      <c r="AN171" s="279">
        <f t="shared" si="1275"/>
        <v>0</v>
      </c>
      <c r="AO171" s="279">
        <f t="shared" si="1275"/>
        <v>0</v>
      </c>
      <c r="AP171" s="279">
        <f t="shared" si="1275"/>
        <v>0</v>
      </c>
      <c r="AQ171" s="279">
        <f t="shared" si="1275"/>
        <v>0</v>
      </c>
      <c r="AR171" s="279">
        <f t="shared" si="1275"/>
        <v>0</v>
      </c>
      <c r="AS171" s="279">
        <f t="shared" si="1275"/>
        <v>0</v>
      </c>
      <c r="AT171" s="279">
        <f t="shared" si="1275"/>
        <v>0</v>
      </c>
      <c r="AU171" s="279">
        <f t="shared" si="1275"/>
        <v>0</v>
      </c>
      <c r="AV171" s="279">
        <f t="shared" si="1275"/>
        <v>0</v>
      </c>
      <c r="AW171" s="279">
        <f t="shared" si="1275"/>
        <v>0</v>
      </c>
      <c r="AX171" s="279">
        <f t="shared" si="1275"/>
        <v>0</v>
      </c>
      <c r="AY171" s="279">
        <f t="shared" si="1275"/>
        <v>0</v>
      </c>
      <c r="AZ171" s="279">
        <f t="shared" si="1275"/>
        <v>0</v>
      </c>
      <c r="BA171" s="279">
        <f t="shared" si="1275"/>
        <v>0</v>
      </c>
      <c r="BB171" s="279">
        <f t="shared" si="1275"/>
        <v>0</v>
      </c>
      <c r="BC171" s="279">
        <f t="shared" si="1275"/>
        <v>0</v>
      </c>
      <c r="BD171" s="279">
        <f t="shared" si="1275"/>
        <v>0</v>
      </c>
      <c r="BE171" s="279">
        <f t="shared" si="1275"/>
        <v>0</v>
      </c>
      <c r="BF171" s="279">
        <f t="shared" si="1275"/>
        <v>0</v>
      </c>
      <c r="BG171" s="279">
        <f t="shared" si="1275"/>
        <v>0</v>
      </c>
      <c r="BH171" s="279">
        <f t="shared" si="1275"/>
        <v>0</v>
      </c>
      <c r="BI171" s="279">
        <f t="shared" si="1275"/>
        <v>0</v>
      </c>
      <c r="BJ171" s="279">
        <f t="shared" si="1275"/>
        <v>0</v>
      </c>
      <c r="BK171" s="279">
        <f t="shared" si="1275"/>
        <v>0</v>
      </c>
      <c r="BL171" s="279">
        <f t="shared" si="1275"/>
        <v>0</v>
      </c>
      <c r="BM171" s="279">
        <f t="shared" si="1275"/>
        <v>0</v>
      </c>
      <c r="BN171" s="279">
        <f t="shared" si="1275"/>
        <v>0</v>
      </c>
    </row>
    <row r="172" spans="3:66" x14ac:dyDescent="0.2">
      <c r="C172" s="322"/>
      <c r="D172" s="23" t="s">
        <v>7</v>
      </c>
      <c r="E172" s="91">
        <f>SUM(F172:BN172)</f>
        <v>14.640000000000011</v>
      </c>
      <c r="F172" s="28">
        <f>IF(F171="",VLOOKUP($C171,'CUSTOS REALIZADOS'!$A$11:$E$995,4),(VLOOKUP($C171,'CUSTOS REALIZADOS'!$A$11:$E$995,5)))</f>
        <v>0.24000000000000002</v>
      </c>
      <c r="G172" s="28">
        <f>IF(G171="",VLOOKUP($C171,'CUSTOS REALIZADOS'!$A$11:$E$995,4),(VLOOKUP($C171,'CUSTOS REALIZADOS'!$A$11:$E$995,5)))</f>
        <v>0.24000000000000002</v>
      </c>
      <c r="H172" s="28">
        <f>IF(H171="",VLOOKUP($C171,'CUSTOS REALIZADOS'!$A$11:$E$995,4),(VLOOKUP($C171,'CUSTOS REALIZADOS'!$A$11:$E$995,5)))</f>
        <v>0.24000000000000002</v>
      </c>
      <c r="I172" s="28">
        <f>IF(I171="",VLOOKUP($C171,'CUSTOS REALIZADOS'!$A$11:$E$995,4),(VLOOKUP($C171,'CUSTOS REALIZADOS'!$A$11:$E$995,5)))</f>
        <v>0.24000000000000002</v>
      </c>
      <c r="J172" s="28">
        <f>IF(J171="",VLOOKUP($C171,'CUSTOS REALIZADOS'!$A$11:$E$995,4),(VLOOKUP($C171,'CUSTOS REALIZADOS'!$A$11:$E$995,5)))</f>
        <v>0.24000000000000002</v>
      </c>
      <c r="K172" s="28">
        <f>IF(K171="",VLOOKUP($C171,'CUSTOS REALIZADOS'!$A$11:$E$995,4),(VLOOKUP($C171,'CUSTOS REALIZADOS'!$A$11:$E$995,5)))</f>
        <v>0.24000000000000002</v>
      </c>
      <c r="L172" s="28">
        <f>IF(L171="",VLOOKUP($C171,'CUSTOS REALIZADOS'!$A$11:$E$995,4),(VLOOKUP($C171,'CUSTOS REALIZADOS'!$A$11:$E$995,5)))</f>
        <v>0.24000000000000002</v>
      </c>
      <c r="M172" s="28">
        <f>IF(M171="",VLOOKUP($C171,'CUSTOS REALIZADOS'!$A$11:$E$995,4),(VLOOKUP($C171,'CUSTOS REALIZADOS'!$A$11:$E$995,5)))</f>
        <v>0.24000000000000002</v>
      </c>
      <c r="N172" s="28">
        <f>IF(N171="",VLOOKUP($C171,'CUSTOS REALIZADOS'!$A$11:$E$995,4),(VLOOKUP($C171,'CUSTOS REALIZADOS'!$A$11:$E$995,5)))</f>
        <v>0.24000000000000002</v>
      </c>
      <c r="O172" s="28">
        <f>IF(O171="",VLOOKUP($C171,'CUSTOS REALIZADOS'!$A$11:$E$995,4),(VLOOKUP($C171,'CUSTOS REALIZADOS'!$A$11:$E$995,5)))</f>
        <v>0.24000000000000002</v>
      </c>
      <c r="P172" s="28">
        <f>IF(P171="",VLOOKUP($C171,'CUSTOS REALIZADOS'!$A$11:$E$995,4),(VLOOKUP($C171,'CUSTOS REALIZADOS'!$A$11:$E$995,5)))</f>
        <v>0.24000000000000002</v>
      </c>
      <c r="Q172" s="28">
        <f>IF(Q171="",VLOOKUP($C171,'CUSTOS REALIZADOS'!$A$11:$E$995,4),(VLOOKUP($C171,'CUSTOS REALIZADOS'!$A$11:$E$995,5)))</f>
        <v>0.24000000000000002</v>
      </c>
      <c r="R172" s="28">
        <f>IF(R171="",VLOOKUP($C171,'CUSTOS REALIZADOS'!$A$11:$E$995,4),(VLOOKUP($C171,'CUSTOS REALIZADOS'!$A$11:$E$995,5)))</f>
        <v>0.24000000000000002</v>
      </c>
      <c r="S172" s="28">
        <f>IF(S171="",VLOOKUP($C171,'CUSTOS REALIZADOS'!$A$11:$E$995,4),(VLOOKUP($C171,'CUSTOS REALIZADOS'!$A$11:$E$995,5)))</f>
        <v>0.24000000000000002</v>
      </c>
      <c r="T172" s="28">
        <f>IF(T171="",VLOOKUP($C171,'CUSTOS REALIZADOS'!$A$11:$E$995,4),(VLOOKUP($C171,'CUSTOS REALIZADOS'!$A$11:$E$995,5)))</f>
        <v>0.24000000000000002</v>
      </c>
      <c r="U172" s="28">
        <f>IF(U171="",VLOOKUP($C171,'CUSTOS REALIZADOS'!$A$11:$E$995,4),(VLOOKUP($C171,'CUSTOS REALIZADOS'!$A$11:$E$995,5)))</f>
        <v>0.24000000000000002</v>
      </c>
      <c r="V172" s="28">
        <f>IF(V171="",VLOOKUP($C171,'CUSTOS REALIZADOS'!$A$11:$E$995,4),(VLOOKUP($C171,'CUSTOS REALIZADOS'!$A$11:$E$995,5)))</f>
        <v>0.24000000000000002</v>
      </c>
      <c r="W172" s="28">
        <f>IF(W171="",VLOOKUP($C171,'CUSTOS REALIZADOS'!$A$11:$E$995,4),(VLOOKUP($C171,'CUSTOS REALIZADOS'!$A$11:$E$995,5)))</f>
        <v>0.24000000000000002</v>
      </c>
      <c r="X172" s="28">
        <f>IF(X171="",VLOOKUP($C171,'CUSTOS REALIZADOS'!$A$11:$E$995,4),(VLOOKUP($C171,'CUSTOS REALIZADOS'!$A$11:$E$995,5)))</f>
        <v>0.24000000000000002</v>
      </c>
      <c r="Y172" s="28">
        <f>IF(Y171="",VLOOKUP($C171,'CUSTOS REALIZADOS'!$A$11:$E$995,4),(VLOOKUP($C171,'CUSTOS REALIZADOS'!$A$11:$E$995,5)))</f>
        <v>0.24000000000000002</v>
      </c>
      <c r="Z172" s="28">
        <f>IF(Z171="",VLOOKUP($C171,'CUSTOS REALIZADOS'!$A$11:$E$995,4),(VLOOKUP($C171,'CUSTOS REALIZADOS'!$A$11:$E$995,5)))</f>
        <v>0.24000000000000002</v>
      </c>
      <c r="AA172" s="28">
        <f>IF(AA171="",VLOOKUP($C171,'CUSTOS REALIZADOS'!$A$11:$E$995,4),(VLOOKUP($C171,'CUSTOS REALIZADOS'!$A$11:$E$995,5)))</f>
        <v>0.24000000000000002</v>
      </c>
      <c r="AB172" s="28">
        <f>IF(AB171="",VLOOKUP($C171,'CUSTOS REALIZADOS'!$A$11:$E$995,4),(VLOOKUP($C171,'CUSTOS REALIZADOS'!$A$11:$E$995,5)))</f>
        <v>0.24000000000000002</v>
      </c>
      <c r="AC172" s="28">
        <f>IF(AC171="",VLOOKUP($C171,'CUSTOS REALIZADOS'!$A$11:$E$995,4),(VLOOKUP($C171,'CUSTOS REALIZADOS'!$A$11:$E$995,5)))</f>
        <v>0.24000000000000002</v>
      </c>
      <c r="AD172" s="28">
        <f>IF(AD171="",VLOOKUP($C171,'CUSTOS REALIZADOS'!$A$11:$E$995,4),(VLOOKUP($C171,'CUSTOS REALIZADOS'!$A$11:$E$995,5)))</f>
        <v>0.24000000000000002</v>
      </c>
      <c r="AE172" s="28">
        <f>IF(AE171="",VLOOKUP($C171,'CUSTOS REALIZADOS'!$A$11:$E$995,4),(VLOOKUP($C171,'CUSTOS REALIZADOS'!$A$11:$E$995,5)))</f>
        <v>0.24000000000000002</v>
      </c>
      <c r="AF172" s="28">
        <f>IF(AF171="",VLOOKUP($C171,'CUSTOS REALIZADOS'!$A$11:$E$995,4),(VLOOKUP($C171,'CUSTOS REALIZADOS'!$A$11:$E$995,5)))</f>
        <v>0.24000000000000002</v>
      </c>
      <c r="AG172" s="28">
        <f>IF(AG171="",VLOOKUP($C171,'CUSTOS REALIZADOS'!$A$11:$E$995,4),(VLOOKUP($C171,'CUSTOS REALIZADOS'!$A$11:$E$995,5)))</f>
        <v>0.24000000000000002</v>
      </c>
      <c r="AH172" s="28">
        <f>IF(AH171="",VLOOKUP($C171,'CUSTOS REALIZADOS'!$A$11:$E$995,4),(VLOOKUP($C171,'CUSTOS REALIZADOS'!$A$11:$E$995,5)))</f>
        <v>0.24000000000000002</v>
      </c>
      <c r="AI172" s="28">
        <f>IF(AI171="",VLOOKUP($C171,'CUSTOS REALIZADOS'!$A$11:$E$995,4),(VLOOKUP($C171,'CUSTOS REALIZADOS'!$A$11:$E$995,5)))</f>
        <v>0.24000000000000002</v>
      </c>
      <c r="AJ172" s="28">
        <f>IF(AJ171="",VLOOKUP($C171,'CUSTOS REALIZADOS'!$A$11:$E$995,4),(VLOOKUP($C171,'CUSTOS REALIZADOS'!$A$11:$E$995,5)))</f>
        <v>0.24000000000000002</v>
      </c>
      <c r="AK172" s="28">
        <f>IF(AK171="",VLOOKUP($C171,'CUSTOS REALIZADOS'!$A$11:$E$995,4),(VLOOKUP($C171,'CUSTOS REALIZADOS'!$A$11:$E$995,5)))</f>
        <v>0.24000000000000002</v>
      </c>
      <c r="AL172" s="28">
        <f>IF(AL171="",VLOOKUP($C171,'CUSTOS REALIZADOS'!$A$11:$E$995,4),(VLOOKUP($C171,'CUSTOS REALIZADOS'!$A$11:$E$995,5)))</f>
        <v>0.24000000000000002</v>
      </c>
      <c r="AM172" s="28">
        <f>IF(AM171="",VLOOKUP($C171,'CUSTOS REALIZADOS'!$A$11:$E$995,4),(VLOOKUP($C171,'CUSTOS REALIZADOS'!$A$11:$E$995,5)))</f>
        <v>0.24000000000000002</v>
      </c>
      <c r="AN172" s="28">
        <f>IF(AN171="",VLOOKUP($C171,'CUSTOS REALIZADOS'!$A$11:$E$995,4),(VLOOKUP($C171,'CUSTOS REALIZADOS'!$A$11:$E$995,5)))</f>
        <v>0.24000000000000002</v>
      </c>
      <c r="AO172" s="28">
        <f>IF(AO171="",VLOOKUP($C171,'CUSTOS REALIZADOS'!$A$11:$E$995,4),(VLOOKUP($C171,'CUSTOS REALIZADOS'!$A$11:$E$995,5)))</f>
        <v>0.24000000000000002</v>
      </c>
      <c r="AP172" s="28">
        <f>IF(AP171="",VLOOKUP($C171,'CUSTOS REALIZADOS'!$A$11:$E$995,4),(VLOOKUP($C171,'CUSTOS REALIZADOS'!$A$11:$E$995,5)))</f>
        <v>0.24000000000000002</v>
      </c>
      <c r="AQ172" s="28">
        <f>IF(AQ171="",VLOOKUP($C171,'CUSTOS REALIZADOS'!$A$11:$E$995,4),(VLOOKUP($C171,'CUSTOS REALIZADOS'!$A$11:$E$995,5)))</f>
        <v>0.24000000000000002</v>
      </c>
      <c r="AR172" s="28">
        <f>IF(AR171="",VLOOKUP($C171,'CUSTOS REALIZADOS'!$A$11:$E$995,4),(VLOOKUP($C171,'CUSTOS REALIZADOS'!$A$11:$E$995,5)))</f>
        <v>0.24000000000000002</v>
      </c>
      <c r="AS172" s="28">
        <f>IF(AS171="",VLOOKUP($C171,'CUSTOS REALIZADOS'!$A$11:$E$995,4),(VLOOKUP($C171,'CUSTOS REALIZADOS'!$A$11:$E$995,5)))</f>
        <v>0.24000000000000002</v>
      </c>
      <c r="AT172" s="28">
        <f>IF(AT171="",VLOOKUP($C171,'CUSTOS REALIZADOS'!$A$11:$E$995,4),(VLOOKUP($C171,'CUSTOS REALIZADOS'!$A$11:$E$995,5)))</f>
        <v>0.24000000000000002</v>
      </c>
      <c r="AU172" s="28">
        <f>IF(AU171="",VLOOKUP($C171,'CUSTOS REALIZADOS'!$A$11:$E$995,4),(VLOOKUP($C171,'CUSTOS REALIZADOS'!$A$11:$E$995,5)))</f>
        <v>0.24000000000000002</v>
      </c>
      <c r="AV172" s="28">
        <f>IF(AV171="",VLOOKUP($C171,'CUSTOS REALIZADOS'!$A$11:$E$995,4),(VLOOKUP($C171,'CUSTOS REALIZADOS'!$A$11:$E$995,5)))</f>
        <v>0.24000000000000002</v>
      </c>
      <c r="AW172" s="28">
        <f>IF(AW171="",VLOOKUP($C171,'CUSTOS REALIZADOS'!$A$11:$E$995,4),(VLOOKUP($C171,'CUSTOS REALIZADOS'!$A$11:$E$995,5)))</f>
        <v>0.24000000000000002</v>
      </c>
      <c r="AX172" s="28">
        <f>IF(AX171="",VLOOKUP($C171,'CUSTOS REALIZADOS'!$A$11:$E$995,4),(VLOOKUP($C171,'CUSTOS REALIZADOS'!$A$11:$E$995,5)))</f>
        <v>0.24000000000000002</v>
      </c>
      <c r="AY172" s="28">
        <f>IF(AY171="",VLOOKUP($C171,'CUSTOS REALIZADOS'!$A$11:$E$995,4),(VLOOKUP($C171,'CUSTOS REALIZADOS'!$A$11:$E$995,5)))</f>
        <v>0.24000000000000002</v>
      </c>
      <c r="AZ172" s="28">
        <f>IF(AZ171="",VLOOKUP($C171,'CUSTOS REALIZADOS'!$A$11:$E$995,4),(VLOOKUP($C171,'CUSTOS REALIZADOS'!$A$11:$E$995,5)))</f>
        <v>0.24000000000000002</v>
      </c>
      <c r="BA172" s="28">
        <f>IF(BA171="",VLOOKUP($C171,'CUSTOS REALIZADOS'!$A$11:$E$995,4),(VLOOKUP($C171,'CUSTOS REALIZADOS'!$A$11:$E$995,5)))</f>
        <v>0.24000000000000002</v>
      </c>
      <c r="BB172" s="28">
        <f>IF(BB171="",VLOOKUP($C171,'CUSTOS REALIZADOS'!$A$11:$E$995,4),(VLOOKUP($C171,'CUSTOS REALIZADOS'!$A$11:$E$995,5)))</f>
        <v>0.24000000000000002</v>
      </c>
      <c r="BC172" s="28">
        <f>IF(BC171="",VLOOKUP($C171,'CUSTOS REALIZADOS'!$A$11:$E$995,4),(VLOOKUP($C171,'CUSTOS REALIZADOS'!$A$11:$E$995,5)))</f>
        <v>0.24000000000000002</v>
      </c>
      <c r="BD172" s="28">
        <f>IF(BD171="",VLOOKUP($C171,'CUSTOS REALIZADOS'!$A$11:$E$995,4),(VLOOKUP($C171,'CUSTOS REALIZADOS'!$A$11:$E$995,5)))</f>
        <v>0.24000000000000002</v>
      </c>
      <c r="BE172" s="28">
        <f>IF(BE171="",VLOOKUP($C171,'CUSTOS REALIZADOS'!$A$11:$E$995,4),(VLOOKUP($C171,'CUSTOS REALIZADOS'!$A$11:$E$995,5)))</f>
        <v>0.24000000000000002</v>
      </c>
      <c r="BF172" s="28">
        <f>IF(BF171="",VLOOKUP($C171,'CUSTOS REALIZADOS'!$A$11:$E$995,4),(VLOOKUP($C171,'CUSTOS REALIZADOS'!$A$11:$E$995,5)))</f>
        <v>0.24000000000000002</v>
      </c>
      <c r="BG172" s="28">
        <f>IF(BG171="",VLOOKUP($C171,'CUSTOS REALIZADOS'!$A$11:$E$995,4),(VLOOKUP($C171,'CUSTOS REALIZADOS'!$A$11:$E$995,5)))</f>
        <v>0.24000000000000002</v>
      </c>
      <c r="BH172" s="28">
        <f>IF(BH171="",VLOOKUP($C171,'CUSTOS REALIZADOS'!$A$11:$E$995,4),(VLOOKUP($C171,'CUSTOS REALIZADOS'!$A$11:$E$995,5)))</f>
        <v>0.24000000000000002</v>
      </c>
      <c r="BI172" s="28">
        <f>IF(BI171="",VLOOKUP($C171,'CUSTOS REALIZADOS'!$A$11:$E$995,4),(VLOOKUP($C171,'CUSTOS REALIZADOS'!$A$11:$E$995,5)))</f>
        <v>0.24000000000000002</v>
      </c>
      <c r="BJ172" s="28">
        <f>IF(BJ171="",VLOOKUP($C171,'CUSTOS REALIZADOS'!$A$11:$E$995,4),(VLOOKUP($C171,'CUSTOS REALIZADOS'!$A$11:$E$995,5)))</f>
        <v>0.24000000000000002</v>
      </c>
      <c r="BK172" s="28">
        <f>IF(BK171="",VLOOKUP($C171,'CUSTOS REALIZADOS'!$A$11:$E$995,4),(VLOOKUP($C171,'CUSTOS REALIZADOS'!$A$11:$E$995,5)))</f>
        <v>0.24000000000000002</v>
      </c>
      <c r="BL172" s="28">
        <f>IF(BL171="",VLOOKUP($C171,'CUSTOS REALIZADOS'!$A$11:$E$995,4),(VLOOKUP($C171,'CUSTOS REALIZADOS'!$A$11:$E$995,5)))</f>
        <v>0.24000000000000002</v>
      </c>
      <c r="BM172" s="28">
        <f>IF(BM171="",VLOOKUP($C171,'CUSTOS REALIZADOS'!$A$11:$E$995,4),(VLOOKUP($C171,'CUSTOS REALIZADOS'!$A$11:$E$995,5)))</f>
        <v>0.24000000000000002</v>
      </c>
      <c r="BN172" s="28">
        <f>IF(BN171="",VLOOKUP($C171,'CUSTOS REALIZADOS'!$A$11:$E$995,4),(VLOOKUP($C171,'CUSTOS REALIZADOS'!$A$11:$E$995,5)))</f>
        <v>0.24000000000000002</v>
      </c>
    </row>
    <row r="173" spans="3:66" x14ac:dyDescent="0.2">
      <c r="C173" s="322"/>
      <c r="D173" s="23" t="s">
        <v>6</v>
      </c>
      <c r="E173" s="27">
        <f>SUM(F173:BN173)</f>
        <v>95000</v>
      </c>
      <c r="F173" s="23">
        <f>IF(AND($C171&gt;=F$6,OR($C171&lt;F$8,F$8="")),F$7*F$28,0)</f>
        <v>0</v>
      </c>
      <c r="G173" s="23">
        <f t="shared" ref="G173:BN173" si="1276">IF(AND($C171&gt;=G$6,OR($C171&lt;G$8,G$8="")),G$7*G$28,0)</f>
        <v>45000</v>
      </c>
      <c r="H173" s="23">
        <f t="shared" si="1276"/>
        <v>50000</v>
      </c>
      <c r="I173" s="23">
        <f t="shared" si="1276"/>
        <v>0</v>
      </c>
      <c r="J173" s="23">
        <f t="shared" si="1276"/>
        <v>0</v>
      </c>
      <c r="K173" s="23">
        <f t="shared" si="1276"/>
        <v>0</v>
      </c>
      <c r="L173" s="23">
        <f t="shared" si="1276"/>
        <v>0</v>
      </c>
      <c r="M173" s="23">
        <f t="shared" si="1276"/>
        <v>0</v>
      </c>
      <c r="N173" s="23">
        <f t="shared" si="1276"/>
        <v>0</v>
      </c>
      <c r="O173" s="23">
        <f t="shared" si="1276"/>
        <v>0</v>
      </c>
      <c r="P173" s="23">
        <f t="shared" si="1276"/>
        <v>0</v>
      </c>
      <c r="Q173" s="23">
        <f t="shared" si="1276"/>
        <v>0</v>
      </c>
      <c r="R173" s="23">
        <f t="shared" si="1276"/>
        <v>0</v>
      </c>
      <c r="S173" s="23">
        <f t="shared" si="1276"/>
        <v>0</v>
      </c>
      <c r="T173" s="23">
        <f t="shared" si="1276"/>
        <v>0</v>
      </c>
      <c r="U173" s="23">
        <f t="shared" si="1276"/>
        <v>0</v>
      </c>
      <c r="V173" s="23">
        <f t="shared" si="1276"/>
        <v>0</v>
      </c>
      <c r="W173" s="23">
        <f t="shared" si="1276"/>
        <v>0</v>
      </c>
      <c r="X173" s="23">
        <f t="shared" si="1276"/>
        <v>0</v>
      </c>
      <c r="Y173" s="23">
        <f t="shared" si="1276"/>
        <v>0</v>
      </c>
      <c r="Z173" s="23">
        <f t="shared" si="1276"/>
        <v>0</v>
      </c>
      <c r="AA173" s="23">
        <f t="shared" si="1276"/>
        <v>0</v>
      </c>
      <c r="AB173" s="23">
        <f t="shared" si="1276"/>
        <v>0</v>
      </c>
      <c r="AC173" s="23">
        <f t="shared" si="1276"/>
        <v>0</v>
      </c>
      <c r="AD173" s="23">
        <f t="shared" si="1276"/>
        <v>0</v>
      </c>
      <c r="AE173" s="23">
        <f t="shared" si="1276"/>
        <v>0</v>
      </c>
      <c r="AF173" s="23">
        <f t="shared" si="1276"/>
        <v>0</v>
      </c>
      <c r="AG173" s="23">
        <f t="shared" si="1276"/>
        <v>0</v>
      </c>
      <c r="AH173" s="23">
        <f t="shared" si="1276"/>
        <v>0</v>
      </c>
      <c r="AI173" s="23">
        <f t="shared" si="1276"/>
        <v>0</v>
      </c>
      <c r="AJ173" s="23">
        <f t="shared" si="1276"/>
        <v>0</v>
      </c>
      <c r="AK173" s="23">
        <f t="shared" si="1276"/>
        <v>0</v>
      </c>
      <c r="AL173" s="23">
        <f t="shared" si="1276"/>
        <v>0</v>
      </c>
      <c r="AM173" s="23">
        <f t="shared" si="1276"/>
        <v>0</v>
      </c>
      <c r="AN173" s="23">
        <f t="shared" si="1276"/>
        <v>0</v>
      </c>
      <c r="AO173" s="23">
        <f t="shared" si="1276"/>
        <v>0</v>
      </c>
      <c r="AP173" s="23">
        <f t="shared" si="1276"/>
        <v>0</v>
      </c>
      <c r="AQ173" s="23">
        <f t="shared" si="1276"/>
        <v>0</v>
      </c>
      <c r="AR173" s="23">
        <f t="shared" si="1276"/>
        <v>0</v>
      </c>
      <c r="AS173" s="23">
        <f t="shared" si="1276"/>
        <v>0</v>
      </c>
      <c r="AT173" s="23">
        <f t="shared" si="1276"/>
        <v>0</v>
      </c>
      <c r="AU173" s="23">
        <f t="shared" si="1276"/>
        <v>0</v>
      </c>
      <c r="AV173" s="23">
        <f t="shared" si="1276"/>
        <v>0</v>
      </c>
      <c r="AW173" s="23">
        <f t="shared" si="1276"/>
        <v>0</v>
      </c>
      <c r="AX173" s="23">
        <f t="shared" si="1276"/>
        <v>0</v>
      </c>
      <c r="AY173" s="23">
        <f t="shared" si="1276"/>
        <v>0</v>
      </c>
      <c r="AZ173" s="23">
        <f t="shared" si="1276"/>
        <v>0</v>
      </c>
      <c r="BA173" s="23">
        <f t="shared" si="1276"/>
        <v>0</v>
      </c>
      <c r="BB173" s="23">
        <f t="shared" si="1276"/>
        <v>0</v>
      </c>
      <c r="BC173" s="23">
        <f t="shared" si="1276"/>
        <v>0</v>
      </c>
      <c r="BD173" s="23">
        <f t="shared" si="1276"/>
        <v>0</v>
      </c>
      <c r="BE173" s="23">
        <f t="shared" si="1276"/>
        <v>0</v>
      </c>
      <c r="BF173" s="23">
        <f t="shared" si="1276"/>
        <v>0</v>
      </c>
      <c r="BG173" s="23">
        <f t="shared" si="1276"/>
        <v>0</v>
      </c>
      <c r="BH173" s="23">
        <f t="shared" si="1276"/>
        <v>0</v>
      </c>
      <c r="BI173" s="23">
        <f t="shared" si="1276"/>
        <v>0</v>
      </c>
      <c r="BJ173" s="23">
        <f t="shared" si="1276"/>
        <v>0</v>
      </c>
      <c r="BK173" s="23">
        <f t="shared" si="1276"/>
        <v>0</v>
      </c>
      <c r="BL173" s="23">
        <f t="shared" si="1276"/>
        <v>0</v>
      </c>
      <c r="BM173" s="23">
        <f t="shared" si="1276"/>
        <v>0</v>
      </c>
      <c r="BN173" s="23">
        <f t="shared" si="1276"/>
        <v>0</v>
      </c>
    </row>
    <row r="174" spans="3:66" x14ac:dyDescent="0.2">
      <c r="C174" s="322"/>
      <c r="D174" s="23" t="s">
        <v>9</v>
      </c>
      <c r="E174" s="27">
        <f>SUM(F174:BN174)</f>
        <v>0</v>
      </c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</row>
    <row r="175" spans="3:66" x14ac:dyDescent="0.2">
      <c r="C175" s="322"/>
      <c r="D175" s="23" t="s">
        <v>14</v>
      </c>
      <c r="E175" s="27">
        <f>SUM(F175:AY175)</f>
        <v>916051.8585464654</v>
      </c>
      <c r="F175" s="23">
        <f>IF(F170=0,F171-F174,F170-F174)</f>
        <v>-160.73905221029395</v>
      </c>
      <c r="G175" s="23">
        <f t="shared" ref="G175" si="1277">IF(G170=0,G171-G174,G170-G174)</f>
        <v>433995.44096779387</v>
      </c>
      <c r="H175" s="23">
        <f t="shared" ref="H175" si="1278">IF(H170=0,H171-H174,H170-H174)</f>
        <v>482217.15663088189</v>
      </c>
      <c r="I175" s="23">
        <f t="shared" ref="I175" si="1279">IF(I170=0,I171-I174,I170-I174)</f>
        <v>0</v>
      </c>
      <c r="J175" s="23">
        <f t="shared" ref="J175" si="1280">IF(J170=0,J171-J174,J170-J174)</f>
        <v>0</v>
      </c>
      <c r="K175" s="23">
        <f t="shared" ref="K175" si="1281">IF(K170=0,K171-K174,K170-K174)</f>
        <v>0</v>
      </c>
      <c r="L175" s="23">
        <f t="shared" ref="L175" si="1282">IF(L170=0,L171-L174,L170-L174)</f>
        <v>0</v>
      </c>
      <c r="M175" s="23">
        <f t="shared" ref="M175" si="1283">IF(M170=0,M171-M174,M170-M174)</f>
        <v>0</v>
      </c>
      <c r="N175" s="23">
        <f t="shared" ref="N175" si="1284">IF(N170=0,N171-N174,N170-N174)</f>
        <v>0</v>
      </c>
      <c r="O175" s="23">
        <f t="shared" ref="O175" si="1285">IF(O170=0,O171-O174,O170-O174)</f>
        <v>0</v>
      </c>
      <c r="P175" s="23">
        <f t="shared" ref="P175" si="1286">IF(P170=0,P171-P174,P170-P174)</f>
        <v>0</v>
      </c>
      <c r="Q175" s="23">
        <f t="shared" ref="Q175" si="1287">IF(Q170=0,Q171-Q174,Q170-Q174)</f>
        <v>0</v>
      </c>
      <c r="R175" s="23">
        <f t="shared" ref="R175" si="1288">IF(R170=0,R171-R174,R170-R174)</f>
        <v>0</v>
      </c>
      <c r="S175" s="23">
        <f t="shared" ref="S175" si="1289">IF(S170=0,S171-S174,S170-S174)</f>
        <v>0</v>
      </c>
      <c r="T175" s="23">
        <f t="shared" ref="T175" si="1290">IF(T170=0,T171-T174,T170-T174)</f>
        <v>0</v>
      </c>
      <c r="U175" s="23">
        <f t="shared" ref="U175" si="1291">IF(U170=0,U171-U174,U170-U174)</f>
        <v>0</v>
      </c>
      <c r="V175" s="23">
        <f t="shared" ref="V175" si="1292">IF(V170=0,V171-V174,V170-V174)</f>
        <v>0</v>
      </c>
      <c r="W175" s="23">
        <f t="shared" ref="W175" si="1293">IF(W170=0,W171-W174,W170-W174)</f>
        <v>0</v>
      </c>
      <c r="X175" s="23">
        <f t="shared" ref="X175" si="1294">IF(X170=0,X171-X174,X170-X174)</f>
        <v>0</v>
      </c>
      <c r="Y175" s="23">
        <f t="shared" ref="Y175" si="1295">IF(Y170=0,Y171-Y174,Y170-Y174)</f>
        <v>0</v>
      </c>
      <c r="Z175" s="23">
        <f t="shared" ref="Z175" si="1296">IF(Z170=0,Z171-Z174,Z170-Z174)</f>
        <v>0</v>
      </c>
      <c r="AA175" s="23">
        <f t="shared" ref="AA175" si="1297">IF(AA170=0,AA171-AA174,AA170-AA174)</f>
        <v>0</v>
      </c>
      <c r="AB175" s="23">
        <f t="shared" ref="AB175" si="1298">IF(AB170=0,AB171-AB174,AB170-AB174)</f>
        <v>0</v>
      </c>
      <c r="AC175" s="23">
        <f t="shared" ref="AC175" si="1299">IF(AC170=0,AC171-AC174,AC170-AC174)</f>
        <v>0</v>
      </c>
      <c r="AD175" s="23">
        <f t="shared" ref="AD175" si="1300">IF(AD170=0,AD171-AD174,AD170-AD174)</f>
        <v>0</v>
      </c>
      <c r="AE175" s="23">
        <f t="shared" ref="AE175" si="1301">IF(AE170=0,AE171-AE174,AE170-AE174)</f>
        <v>0</v>
      </c>
      <c r="AF175" s="23">
        <f t="shared" ref="AF175" si="1302">IF(AF170=0,AF171-AF174,AF170-AF174)</f>
        <v>0</v>
      </c>
      <c r="AG175" s="23">
        <f t="shared" ref="AG175" si="1303">IF(AG170=0,AG171-AG174,AG170-AG174)</f>
        <v>0</v>
      </c>
      <c r="AH175" s="23">
        <f t="shared" ref="AH175" si="1304">IF(AH170=0,AH171-AH174,AH170-AH174)</f>
        <v>0</v>
      </c>
      <c r="AI175" s="23">
        <f t="shared" ref="AI175" si="1305">IF(AI170=0,AI171-AI174,AI170-AI174)</f>
        <v>0</v>
      </c>
      <c r="AJ175" s="23">
        <f t="shared" ref="AJ175" si="1306">IF(AJ170=0,AJ171-AJ174,AJ170-AJ174)</f>
        <v>0</v>
      </c>
      <c r="AK175" s="23">
        <f t="shared" ref="AK175" si="1307">IF(AK170=0,AK171-AK174,AK170-AK174)</f>
        <v>0</v>
      </c>
      <c r="AL175" s="23">
        <f t="shared" ref="AL175" si="1308">IF(AL170=0,AL171-AL174,AL170-AL174)</f>
        <v>0</v>
      </c>
      <c r="AM175" s="23">
        <f t="shared" ref="AM175" si="1309">IF(AM170=0,AM171-AM174,AM170-AM174)</f>
        <v>0</v>
      </c>
      <c r="AN175" s="23">
        <f t="shared" ref="AN175" si="1310">IF(AN170=0,AN171-AN174,AN170-AN174)</f>
        <v>0</v>
      </c>
      <c r="AO175" s="23">
        <f t="shared" ref="AO175" si="1311">IF(AO170=0,AO171-AO174,AO170-AO174)</f>
        <v>0</v>
      </c>
      <c r="AP175" s="23">
        <f t="shared" ref="AP175" si="1312">IF(AP170=0,AP171-AP174,AP170-AP174)</f>
        <v>0</v>
      </c>
      <c r="AQ175" s="23">
        <f t="shared" ref="AQ175" si="1313">IF(AQ170=0,AQ171-AQ174,AQ170-AQ174)</f>
        <v>0</v>
      </c>
      <c r="AR175" s="23">
        <f t="shared" ref="AR175" si="1314">IF(AR170=0,AR171-AR174,AR170-AR174)</f>
        <v>0</v>
      </c>
      <c r="AS175" s="23">
        <f t="shared" ref="AS175" si="1315">IF(AS170=0,AS171-AS174,AS170-AS174)</f>
        <v>0</v>
      </c>
      <c r="AT175" s="23">
        <f t="shared" ref="AT175" si="1316">IF(AT170=0,AT171-AT174,AT170-AT174)</f>
        <v>0</v>
      </c>
      <c r="AU175" s="23">
        <f t="shared" ref="AU175" si="1317">IF(AU170=0,AU171-AU174,AU170-AU174)</f>
        <v>0</v>
      </c>
      <c r="AV175" s="23">
        <f t="shared" ref="AV175" si="1318">IF(AV170=0,AV171-AV174,AV170-AV174)</f>
        <v>0</v>
      </c>
      <c r="AW175" s="23">
        <f t="shared" ref="AW175" si="1319">IF(AW170=0,AW171-AW174,AW170-AW174)</f>
        <v>0</v>
      </c>
      <c r="AX175" s="23">
        <f t="shared" ref="AX175" si="1320">IF(AX170=0,AX171-AX174,AX170-AX174)</f>
        <v>0</v>
      </c>
      <c r="AY175" s="23">
        <f t="shared" ref="AY175" si="1321">IF(AY170=0,AY171-AY174,AY170-AY174)</f>
        <v>0</v>
      </c>
      <c r="AZ175" s="23">
        <f t="shared" ref="AZ175" si="1322">IF(AZ170=0,AZ171-AZ174,AZ170-AZ174)</f>
        <v>0</v>
      </c>
      <c r="BA175" s="23">
        <f t="shared" ref="BA175" si="1323">IF(BA170=0,BA171-BA174,BA170-BA174)</f>
        <v>0</v>
      </c>
      <c r="BB175" s="23">
        <f t="shared" ref="BB175" si="1324">IF(BB170=0,BB171-BB174,BB170-BB174)</f>
        <v>0</v>
      </c>
      <c r="BC175" s="23">
        <f t="shared" ref="BC175" si="1325">IF(BC170=0,BC171-BC174,BC170-BC174)</f>
        <v>0</v>
      </c>
      <c r="BD175" s="23">
        <f t="shared" ref="BD175" si="1326">IF(BD170=0,BD171-BD174,BD170-BD174)</f>
        <v>0</v>
      </c>
      <c r="BE175" s="23">
        <f t="shared" ref="BE175" si="1327">IF(BE170=0,BE171-BE174,BE170-BE174)</f>
        <v>0</v>
      </c>
      <c r="BF175" s="23">
        <f t="shared" ref="BF175" si="1328">IF(BF170=0,BF171-BF174,BF170-BF174)</f>
        <v>0</v>
      </c>
      <c r="BG175" s="23">
        <f t="shared" ref="BG175" si="1329">IF(BG170=0,BG171-BG174,BG170-BG174)</f>
        <v>0</v>
      </c>
      <c r="BH175" s="23">
        <f t="shared" ref="BH175" si="1330">IF(BH170=0,BH171-BH174,BH170-BH174)</f>
        <v>0</v>
      </c>
      <c r="BI175" s="23">
        <f t="shared" ref="BI175" si="1331">IF(BI170=0,BI171-BI174,BI170-BI174)</f>
        <v>0</v>
      </c>
      <c r="BJ175" s="23">
        <f t="shared" ref="BJ175" si="1332">IF(BJ170=0,BJ171-BJ174,BJ170-BJ174)</f>
        <v>0</v>
      </c>
      <c r="BK175" s="23">
        <f t="shared" ref="BK175" si="1333">IF(BK170=0,BK171-BK174,BK170-BK174)</f>
        <v>0</v>
      </c>
      <c r="BL175" s="23">
        <f t="shared" ref="BL175" si="1334">IF(BL170=0,BL171-BL174,BL170-BL174)</f>
        <v>0</v>
      </c>
      <c r="BM175" s="23">
        <f t="shared" ref="BM175" si="1335">IF(BM170=0,BM171-BM174,BM170-BM174)</f>
        <v>0</v>
      </c>
      <c r="BN175" s="23">
        <f t="shared" ref="BN175" si="1336">IF(BN170=0,BN171-BN174,BN170-BN174)</f>
        <v>0</v>
      </c>
    </row>
    <row r="176" spans="3:66" x14ac:dyDescent="0.2">
      <c r="C176" s="322"/>
      <c r="D176" s="23" t="s">
        <v>10</v>
      </c>
      <c r="E176" s="72">
        <f>F176</f>
        <v>1.7299999999999999E-2</v>
      </c>
      <c r="F176" s="54">
        <v>1.7299999999999999E-2</v>
      </c>
      <c r="G176" s="54">
        <v>1.7299999999999999E-2</v>
      </c>
      <c r="H176" s="54">
        <v>1.7299999999999999E-2</v>
      </c>
      <c r="I176" s="54">
        <v>1.7299999999999999E-2</v>
      </c>
      <c r="J176" s="54">
        <v>1.7299999999999999E-2</v>
      </c>
      <c r="K176" s="54">
        <v>1.7299999999999999E-2</v>
      </c>
      <c r="L176" s="54">
        <v>1.7299999999999999E-2</v>
      </c>
      <c r="M176" s="54">
        <v>1.7299999999999999E-2</v>
      </c>
      <c r="N176" s="54">
        <v>1.7299999999999999E-2</v>
      </c>
      <c r="O176" s="54">
        <v>1.7299999999999999E-2</v>
      </c>
      <c r="P176" s="54">
        <v>1.7299999999999999E-2</v>
      </c>
      <c r="Q176" s="54">
        <v>1.7299999999999999E-2</v>
      </c>
      <c r="R176" s="54">
        <v>1.7299999999999999E-2</v>
      </c>
      <c r="S176" s="54">
        <v>1.7299999999999999E-2</v>
      </c>
      <c r="T176" s="54">
        <v>1.7299999999999999E-2</v>
      </c>
      <c r="U176" s="54">
        <v>1.7299999999999999E-2</v>
      </c>
      <c r="V176" s="54">
        <v>1.7299999999999999E-2</v>
      </c>
      <c r="W176" s="54">
        <v>1.7299999999999999E-2</v>
      </c>
      <c r="X176" s="54">
        <v>1.7299999999999999E-2</v>
      </c>
      <c r="Y176" s="54">
        <v>1.7299999999999999E-2</v>
      </c>
      <c r="Z176" s="54">
        <v>1.7299999999999999E-2</v>
      </c>
      <c r="AA176" s="54">
        <v>1.7299999999999999E-2</v>
      </c>
      <c r="AB176" s="54">
        <v>1.7299999999999999E-2</v>
      </c>
      <c r="AC176" s="54">
        <v>1.7299999999999999E-2</v>
      </c>
      <c r="AD176" s="54">
        <v>1.7299999999999999E-2</v>
      </c>
      <c r="AE176" s="54">
        <v>1.7299999999999999E-2</v>
      </c>
      <c r="AF176" s="54">
        <v>1.7299999999999999E-2</v>
      </c>
      <c r="AG176" s="54">
        <v>1.7299999999999999E-2</v>
      </c>
      <c r="AH176" s="54">
        <v>1.7299999999999999E-2</v>
      </c>
      <c r="AI176" s="54">
        <v>1.7299999999999999E-2</v>
      </c>
      <c r="AJ176" s="54">
        <v>1.7299999999999999E-2</v>
      </c>
      <c r="AK176" s="54">
        <v>1.7299999999999999E-2</v>
      </c>
      <c r="AL176" s="54">
        <v>1.7299999999999999E-2</v>
      </c>
      <c r="AM176" s="54">
        <v>1.7299999999999999E-2</v>
      </c>
      <c r="AN176" s="54">
        <v>1.7299999999999999E-2</v>
      </c>
      <c r="AO176" s="54">
        <v>1.7299999999999999E-2</v>
      </c>
      <c r="AP176" s="54">
        <v>1.7299999999999999E-2</v>
      </c>
      <c r="AQ176" s="54">
        <v>1.7299999999999999E-2</v>
      </c>
      <c r="AR176" s="54">
        <v>1.7299999999999999E-2</v>
      </c>
      <c r="AS176" s="54">
        <v>1.7299999999999999E-2</v>
      </c>
      <c r="AT176" s="54">
        <v>1.7299999999999999E-2</v>
      </c>
      <c r="AU176" s="54">
        <v>1.7299999999999999E-2</v>
      </c>
      <c r="AV176" s="54">
        <v>1.7299999999999999E-2</v>
      </c>
      <c r="AW176" s="54">
        <v>1.7299999999999999E-2</v>
      </c>
      <c r="AX176" s="54">
        <v>1.7299999999999999E-2</v>
      </c>
      <c r="AY176" s="54">
        <v>1.7299999999999999E-2</v>
      </c>
      <c r="AZ176" s="54">
        <v>1.7299999999999999E-2</v>
      </c>
      <c r="BA176" s="54">
        <v>1.7299999999999999E-2</v>
      </c>
      <c r="BB176" s="54">
        <v>1.7299999999999999E-2</v>
      </c>
      <c r="BC176" s="54">
        <v>1.7299999999999999E-2</v>
      </c>
      <c r="BD176" s="54">
        <v>1.7299999999999999E-2</v>
      </c>
      <c r="BE176" s="54">
        <v>1.7299999999999999E-2</v>
      </c>
      <c r="BF176" s="54">
        <v>1.7299999999999999E-2</v>
      </c>
      <c r="BG176" s="54">
        <v>1.7299999999999999E-2</v>
      </c>
      <c r="BH176" s="54">
        <v>1.7299999999999999E-2</v>
      </c>
      <c r="BI176" s="54">
        <v>1.7299999999999999E-2</v>
      </c>
      <c r="BJ176" s="54">
        <v>1.7299999999999999E-2</v>
      </c>
      <c r="BK176" s="54">
        <v>1.7299999999999999E-2</v>
      </c>
      <c r="BL176" s="54">
        <v>1.7299999999999999E-2</v>
      </c>
      <c r="BM176" s="54">
        <v>1.7299999999999999E-2</v>
      </c>
      <c r="BN176" s="54">
        <v>1.7299999999999999E-2</v>
      </c>
    </row>
    <row r="177" spans="3:82" x14ac:dyDescent="0.2">
      <c r="C177" s="322"/>
      <c r="D177" s="23" t="s">
        <v>12</v>
      </c>
      <c r="E177" s="27">
        <f>SUM(F177:AY177)</f>
        <v>15847.697152853852</v>
      </c>
      <c r="F177" s="29">
        <f>+F175*F176</f>
        <v>-2.7807856032380851</v>
      </c>
      <c r="G177" s="29">
        <f>+G175*G176</f>
        <v>7508.1211287428332</v>
      </c>
      <c r="H177" s="29">
        <f>+H175*H176</f>
        <v>8342.3568097142561</v>
      </c>
      <c r="I177" s="29">
        <f t="shared" ref="I177:O177" si="1337">+I175*I176</f>
        <v>0</v>
      </c>
      <c r="J177" s="29">
        <f t="shared" si="1337"/>
        <v>0</v>
      </c>
      <c r="K177" s="29">
        <f t="shared" si="1337"/>
        <v>0</v>
      </c>
      <c r="L177" s="29">
        <f t="shared" si="1337"/>
        <v>0</v>
      </c>
      <c r="M177" s="29">
        <f t="shared" si="1337"/>
        <v>0</v>
      </c>
      <c r="N177" s="29">
        <v>0</v>
      </c>
      <c r="O177" s="29">
        <f t="shared" si="1337"/>
        <v>0</v>
      </c>
      <c r="P177" s="29">
        <f>+P175*P176</f>
        <v>0</v>
      </c>
      <c r="Q177" s="29">
        <f t="shared" ref="Q177" si="1338">+Q175*Q176</f>
        <v>0</v>
      </c>
      <c r="R177" s="29">
        <f>+R175*R176</f>
        <v>0</v>
      </c>
      <c r="S177" s="29">
        <f>+S175*S176</f>
        <v>0</v>
      </c>
      <c r="T177" s="29">
        <f t="shared" ref="T177" si="1339">+T175*T176</f>
        <v>0</v>
      </c>
      <c r="U177" s="29">
        <f>+U175*U176</f>
        <v>0</v>
      </c>
      <c r="V177" s="29">
        <f t="shared" ref="V177:X177" si="1340">+V175*V176</f>
        <v>0</v>
      </c>
      <c r="W177" s="29">
        <f t="shared" si="1340"/>
        <v>0</v>
      </c>
      <c r="X177" s="29">
        <f t="shared" si="1340"/>
        <v>0</v>
      </c>
      <c r="Y177" s="29">
        <f>+Y175*Y176</f>
        <v>0</v>
      </c>
      <c r="Z177" s="29">
        <f>+Z175*Z176</f>
        <v>0</v>
      </c>
      <c r="AA177" s="29">
        <f>+AA175*AA176</f>
        <v>0</v>
      </c>
      <c r="AB177" s="29">
        <f t="shared" ref="AB177:AD177" si="1341">+AB175*AB176</f>
        <v>0</v>
      </c>
      <c r="AC177" s="29">
        <f t="shared" si="1341"/>
        <v>0</v>
      </c>
      <c r="AD177" s="29">
        <f t="shared" si="1341"/>
        <v>0</v>
      </c>
      <c r="AE177" s="29">
        <v>0</v>
      </c>
      <c r="AF177" s="29">
        <f>+AF175*AF176</f>
        <v>0</v>
      </c>
      <c r="AG177" s="29">
        <f t="shared" ref="AG177:AP177" si="1342">+AG175*AG176</f>
        <v>0</v>
      </c>
      <c r="AH177" s="29">
        <f t="shared" si="1342"/>
        <v>0</v>
      </c>
      <c r="AI177" s="29">
        <f t="shared" si="1342"/>
        <v>0</v>
      </c>
      <c r="AJ177" s="29">
        <f t="shared" si="1342"/>
        <v>0</v>
      </c>
      <c r="AK177" s="29">
        <f t="shared" si="1342"/>
        <v>0</v>
      </c>
      <c r="AL177" s="29">
        <f t="shared" si="1342"/>
        <v>0</v>
      </c>
      <c r="AM177" s="29">
        <f t="shared" si="1342"/>
        <v>0</v>
      </c>
      <c r="AN177" s="29">
        <f t="shared" si="1342"/>
        <v>0</v>
      </c>
      <c r="AO177" s="29">
        <f t="shared" si="1342"/>
        <v>0</v>
      </c>
      <c r="AP177" s="29">
        <f t="shared" si="1342"/>
        <v>0</v>
      </c>
      <c r="AQ177" s="29">
        <f>+AQ175*AQ176</f>
        <v>0</v>
      </c>
      <c r="AR177" s="29">
        <f>+AR175*AR176</f>
        <v>0</v>
      </c>
      <c r="AS177" s="29">
        <f t="shared" ref="AS177:AU177" si="1343">+AS175*AS176</f>
        <v>0</v>
      </c>
      <c r="AT177" s="29">
        <f t="shared" si="1343"/>
        <v>0</v>
      </c>
      <c r="AU177" s="29">
        <f t="shared" si="1343"/>
        <v>0</v>
      </c>
      <c r="AV177" s="29">
        <v>0</v>
      </c>
      <c r="AW177" s="29">
        <f t="shared" ref="AW177:AX177" si="1344">+AW175*AW176</f>
        <v>0</v>
      </c>
      <c r="AX177" s="29">
        <f t="shared" si="1344"/>
        <v>0</v>
      </c>
      <c r="AY177" s="29">
        <f>+AY175*AY176</f>
        <v>0</v>
      </c>
      <c r="AZ177" s="29">
        <f t="shared" ref="AZ177:BN177" si="1345">+AZ175*AZ176</f>
        <v>0</v>
      </c>
      <c r="BA177" s="29">
        <f t="shared" si="1345"/>
        <v>0</v>
      </c>
      <c r="BB177" s="29">
        <v>0</v>
      </c>
      <c r="BC177" s="29">
        <f t="shared" si="1345"/>
        <v>0</v>
      </c>
      <c r="BD177" s="29">
        <f t="shared" si="1345"/>
        <v>0</v>
      </c>
      <c r="BE177" s="29">
        <f t="shared" si="1345"/>
        <v>0</v>
      </c>
      <c r="BF177" s="29">
        <f t="shared" si="1345"/>
        <v>0</v>
      </c>
      <c r="BG177" s="29">
        <f t="shared" si="1345"/>
        <v>0</v>
      </c>
      <c r="BH177" s="29">
        <f t="shared" si="1345"/>
        <v>0</v>
      </c>
      <c r="BI177" s="29">
        <f t="shared" si="1345"/>
        <v>0</v>
      </c>
      <c r="BJ177" s="29">
        <f t="shared" si="1345"/>
        <v>0</v>
      </c>
      <c r="BK177" s="29">
        <f t="shared" si="1345"/>
        <v>0</v>
      </c>
      <c r="BL177" s="29">
        <f t="shared" si="1345"/>
        <v>0</v>
      </c>
      <c r="BM177" s="29">
        <f t="shared" si="1345"/>
        <v>0</v>
      </c>
      <c r="BN177" s="29">
        <f t="shared" si="1345"/>
        <v>0</v>
      </c>
    </row>
    <row r="178" spans="3:82" ht="13.5" thickBot="1" x14ac:dyDescent="0.25">
      <c r="C178" s="323"/>
      <c r="D178" s="25" t="s">
        <v>11</v>
      </c>
      <c r="E178" s="30">
        <f>SUM(F178:AY178)</f>
        <v>931899.55569931935</v>
      </c>
      <c r="F178" s="46">
        <f>+F175+F177</f>
        <v>-163.51983781353204</v>
      </c>
      <c r="G178" s="46">
        <f>+G175+G177</f>
        <v>441503.56209653668</v>
      </c>
      <c r="H178" s="46">
        <f>+H175+H177</f>
        <v>490559.51344059617</v>
      </c>
      <c r="I178" s="46">
        <f t="shared" ref="I178:AU178" si="1346">+I175+I177</f>
        <v>0</v>
      </c>
      <c r="J178" s="46">
        <f t="shared" si="1346"/>
        <v>0</v>
      </c>
      <c r="K178" s="46">
        <f t="shared" si="1346"/>
        <v>0</v>
      </c>
      <c r="L178" s="46">
        <f t="shared" si="1346"/>
        <v>0</v>
      </c>
      <c r="M178" s="46">
        <f t="shared" si="1346"/>
        <v>0</v>
      </c>
      <c r="N178" s="46">
        <f t="shared" si="1346"/>
        <v>0</v>
      </c>
      <c r="O178" s="46">
        <f t="shared" si="1346"/>
        <v>0</v>
      </c>
      <c r="P178" s="46">
        <f t="shared" si="1346"/>
        <v>0</v>
      </c>
      <c r="Q178" s="46">
        <f t="shared" si="1346"/>
        <v>0</v>
      </c>
      <c r="R178" s="46">
        <f t="shared" si="1346"/>
        <v>0</v>
      </c>
      <c r="S178" s="46">
        <f t="shared" si="1346"/>
        <v>0</v>
      </c>
      <c r="T178" s="46">
        <f t="shared" si="1346"/>
        <v>0</v>
      </c>
      <c r="U178" s="46">
        <f t="shared" si="1346"/>
        <v>0</v>
      </c>
      <c r="V178" s="46">
        <f t="shared" si="1346"/>
        <v>0</v>
      </c>
      <c r="W178" s="46">
        <f t="shared" si="1346"/>
        <v>0</v>
      </c>
      <c r="X178" s="46">
        <f t="shared" si="1346"/>
        <v>0</v>
      </c>
      <c r="Y178" s="46">
        <f t="shared" si="1346"/>
        <v>0</v>
      </c>
      <c r="Z178" s="46">
        <f t="shared" si="1346"/>
        <v>0</v>
      </c>
      <c r="AA178" s="46">
        <f t="shared" si="1346"/>
        <v>0</v>
      </c>
      <c r="AB178" s="46">
        <f t="shared" si="1346"/>
        <v>0</v>
      </c>
      <c r="AC178" s="46">
        <f t="shared" si="1346"/>
        <v>0</v>
      </c>
      <c r="AD178" s="46">
        <f t="shared" si="1346"/>
        <v>0</v>
      </c>
      <c r="AE178" s="46">
        <f t="shared" si="1346"/>
        <v>0</v>
      </c>
      <c r="AF178" s="46">
        <f t="shared" si="1346"/>
        <v>0</v>
      </c>
      <c r="AG178" s="46">
        <f t="shared" si="1346"/>
        <v>0</v>
      </c>
      <c r="AH178" s="46">
        <f t="shared" si="1346"/>
        <v>0</v>
      </c>
      <c r="AI178" s="46">
        <f t="shared" si="1346"/>
        <v>0</v>
      </c>
      <c r="AJ178" s="46">
        <f t="shared" si="1346"/>
        <v>0</v>
      </c>
      <c r="AK178" s="46">
        <f t="shared" si="1346"/>
        <v>0</v>
      </c>
      <c r="AL178" s="46">
        <f t="shared" si="1346"/>
        <v>0</v>
      </c>
      <c r="AM178" s="46">
        <f t="shared" si="1346"/>
        <v>0</v>
      </c>
      <c r="AN178" s="46">
        <f t="shared" si="1346"/>
        <v>0</v>
      </c>
      <c r="AO178" s="46">
        <f t="shared" si="1346"/>
        <v>0</v>
      </c>
      <c r="AP178" s="46">
        <f t="shared" si="1346"/>
        <v>0</v>
      </c>
      <c r="AQ178" s="46">
        <f t="shared" si="1346"/>
        <v>0</v>
      </c>
      <c r="AR178" s="46">
        <f t="shared" si="1346"/>
        <v>0</v>
      </c>
      <c r="AS178" s="46">
        <f t="shared" si="1346"/>
        <v>0</v>
      </c>
      <c r="AT178" s="46">
        <f t="shared" si="1346"/>
        <v>0</v>
      </c>
      <c r="AU178" s="46">
        <f t="shared" si="1346"/>
        <v>0</v>
      </c>
      <c r="AV178" s="46">
        <f>+AV175+AV177</f>
        <v>0</v>
      </c>
      <c r="AW178" s="46">
        <f t="shared" ref="AW178:BN178" si="1347">+AW175+AW177</f>
        <v>0</v>
      </c>
      <c r="AX178" s="46">
        <f t="shared" si="1347"/>
        <v>0</v>
      </c>
      <c r="AY178" s="46">
        <f t="shared" si="1347"/>
        <v>0</v>
      </c>
      <c r="AZ178" s="46">
        <f t="shared" si="1347"/>
        <v>0</v>
      </c>
      <c r="BA178" s="46">
        <f t="shared" si="1347"/>
        <v>0</v>
      </c>
      <c r="BB178" s="46">
        <f t="shared" si="1347"/>
        <v>0</v>
      </c>
      <c r="BC178" s="46">
        <f t="shared" si="1347"/>
        <v>0</v>
      </c>
      <c r="BD178" s="46">
        <f t="shared" si="1347"/>
        <v>0</v>
      </c>
      <c r="BE178" s="46">
        <f t="shared" si="1347"/>
        <v>0</v>
      </c>
      <c r="BF178" s="46">
        <f t="shared" si="1347"/>
        <v>0</v>
      </c>
      <c r="BG178" s="46">
        <f t="shared" si="1347"/>
        <v>0</v>
      </c>
      <c r="BH178" s="46">
        <f t="shared" si="1347"/>
        <v>0</v>
      </c>
      <c r="BI178" s="46">
        <f t="shared" si="1347"/>
        <v>0</v>
      </c>
      <c r="BJ178" s="46">
        <f t="shared" si="1347"/>
        <v>0</v>
      </c>
      <c r="BK178" s="46">
        <f t="shared" si="1347"/>
        <v>0</v>
      </c>
      <c r="BL178" s="46">
        <f t="shared" si="1347"/>
        <v>0</v>
      </c>
      <c r="BM178" s="46">
        <f t="shared" si="1347"/>
        <v>0</v>
      </c>
      <c r="BN178" s="46">
        <f t="shared" si="1347"/>
        <v>0</v>
      </c>
    </row>
    <row r="179" spans="3:82" x14ac:dyDescent="0.2">
      <c r="C179" s="321">
        <v>44197</v>
      </c>
      <c r="D179" s="20" t="s">
        <v>5</v>
      </c>
      <c r="E179" s="50">
        <f>SUM(F179:BN179)</f>
        <v>0</v>
      </c>
      <c r="F179" s="279">
        <f>IF(F$6=$C179,F$7,0)</f>
        <v>0</v>
      </c>
      <c r="G179" s="279">
        <f t="shared" ref="G179:BN179" si="1348">IF(G$6=$C179,G$7,0)</f>
        <v>0</v>
      </c>
      <c r="H179" s="279">
        <f t="shared" si="1348"/>
        <v>0</v>
      </c>
      <c r="I179" s="279">
        <f t="shared" si="1348"/>
        <v>0</v>
      </c>
      <c r="J179" s="279">
        <f t="shared" si="1348"/>
        <v>0</v>
      </c>
      <c r="K179" s="279">
        <f t="shared" si="1348"/>
        <v>0</v>
      </c>
      <c r="L179" s="279">
        <f t="shared" si="1348"/>
        <v>0</v>
      </c>
      <c r="M179" s="279">
        <f t="shared" si="1348"/>
        <v>0</v>
      </c>
      <c r="N179" s="279">
        <f t="shared" si="1348"/>
        <v>0</v>
      </c>
      <c r="O179" s="279">
        <f t="shared" si="1348"/>
        <v>0</v>
      </c>
      <c r="P179" s="279">
        <f t="shared" si="1348"/>
        <v>0</v>
      </c>
      <c r="Q179" s="279">
        <f t="shared" si="1348"/>
        <v>0</v>
      </c>
      <c r="R179" s="279">
        <f t="shared" si="1348"/>
        <v>0</v>
      </c>
      <c r="S179" s="279">
        <f t="shared" si="1348"/>
        <v>0</v>
      </c>
      <c r="T179" s="279">
        <f t="shared" si="1348"/>
        <v>0</v>
      </c>
      <c r="U179" s="279">
        <f t="shared" si="1348"/>
        <v>0</v>
      </c>
      <c r="V179" s="279">
        <f t="shared" si="1348"/>
        <v>0</v>
      </c>
      <c r="W179" s="279">
        <f t="shared" si="1348"/>
        <v>0</v>
      </c>
      <c r="X179" s="279">
        <f t="shared" si="1348"/>
        <v>0</v>
      </c>
      <c r="Y179" s="279">
        <f t="shared" si="1348"/>
        <v>0</v>
      </c>
      <c r="Z179" s="279">
        <f t="shared" si="1348"/>
        <v>0</v>
      </c>
      <c r="AA179" s="279">
        <f t="shared" si="1348"/>
        <v>0</v>
      </c>
      <c r="AB179" s="279">
        <f t="shared" si="1348"/>
        <v>0</v>
      </c>
      <c r="AC179" s="279">
        <f t="shared" si="1348"/>
        <v>0</v>
      </c>
      <c r="AD179" s="279">
        <f t="shared" si="1348"/>
        <v>0</v>
      </c>
      <c r="AE179" s="279">
        <f t="shared" si="1348"/>
        <v>0</v>
      </c>
      <c r="AF179" s="279">
        <f t="shared" si="1348"/>
        <v>0</v>
      </c>
      <c r="AG179" s="279">
        <f t="shared" si="1348"/>
        <v>0</v>
      </c>
      <c r="AH179" s="279">
        <f t="shared" si="1348"/>
        <v>0</v>
      </c>
      <c r="AI179" s="279">
        <f t="shared" si="1348"/>
        <v>0</v>
      </c>
      <c r="AJ179" s="279">
        <f t="shared" si="1348"/>
        <v>0</v>
      </c>
      <c r="AK179" s="279">
        <f t="shared" si="1348"/>
        <v>0</v>
      </c>
      <c r="AL179" s="279">
        <f t="shared" si="1348"/>
        <v>0</v>
      </c>
      <c r="AM179" s="279">
        <f t="shared" si="1348"/>
        <v>0</v>
      </c>
      <c r="AN179" s="279">
        <f t="shared" si="1348"/>
        <v>0</v>
      </c>
      <c r="AO179" s="279">
        <f t="shared" si="1348"/>
        <v>0</v>
      </c>
      <c r="AP179" s="279">
        <f t="shared" si="1348"/>
        <v>0</v>
      </c>
      <c r="AQ179" s="279">
        <f t="shared" si="1348"/>
        <v>0</v>
      </c>
      <c r="AR179" s="279">
        <f t="shared" si="1348"/>
        <v>0</v>
      </c>
      <c r="AS179" s="279">
        <f t="shared" si="1348"/>
        <v>0</v>
      </c>
      <c r="AT179" s="279">
        <f t="shared" si="1348"/>
        <v>0</v>
      </c>
      <c r="AU179" s="279">
        <f t="shared" si="1348"/>
        <v>0</v>
      </c>
      <c r="AV179" s="279">
        <f t="shared" si="1348"/>
        <v>0</v>
      </c>
      <c r="AW179" s="279">
        <f t="shared" si="1348"/>
        <v>0</v>
      </c>
      <c r="AX179" s="279">
        <f t="shared" si="1348"/>
        <v>0</v>
      </c>
      <c r="AY179" s="279">
        <f t="shared" si="1348"/>
        <v>0</v>
      </c>
      <c r="AZ179" s="279">
        <f t="shared" si="1348"/>
        <v>0</v>
      </c>
      <c r="BA179" s="279">
        <f t="shared" si="1348"/>
        <v>0</v>
      </c>
      <c r="BB179" s="279">
        <f t="shared" si="1348"/>
        <v>0</v>
      </c>
      <c r="BC179" s="279">
        <f t="shared" si="1348"/>
        <v>0</v>
      </c>
      <c r="BD179" s="279">
        <f t="shared" si="1348"/>
        <v>0</v>
      </c>
      <c r="BE179" s="279">
        <f t="shared" si="1348"/>
        <v>0</v>
      </c>
      <c r="BF179" s="279">
        <f t="shared" si="1348"/>
        <v>0</v>
      </c>
      <c r="BG179" s="279">
        <f t="shared" si="1348"/>
        <v>0</v>
      </c>
      <c r="BH179" s="279">
        <f t="shared" si="1348"/>
        <v>0</v>
      </c>
      <c r="BI179" s="279">
        <f t="shared" si="1348"/>
        <v>0</v>
      </c>
      <c r="BJ179" s="279">
        <f t="shared" si="1348"/>
        <v>0</v>
      </c>
      <c r="BK179" s="279">
        <f t="shared" si="1348"/>
        <v>0</v>
      </c>
      <c r="BL179" s="279">
        <f t="shared" si="1348"/>
        <v>0</v>
      </c>
      <c r="BM179" s="279">
        <f t="shared" si="1348"/>
        <v>0</v>
      </c>
      <c r="BN179" s="279">
        <f t="shared" si="1348"/>
        <v>0</v>
      </c>
    </row>
    <row r="180" spans="3:82" x14ac:dyDescent="0.2">
      <c r="C180" s="322"/>
      <c r="D180" s="23" t="s">
        <v>7</v>
      </c>
      <c r="E180" s="91">
        <f>SUM(F180:BN180)</f>
        <v>14.640000000000011</v>
      </c>
      <c r="F180" s="28">
        <f>IF(F179="",VLOOKUP($C179,'CUSTOS REALIZADOS'!$A$11:$E$995,4),(VLOOKUP($C179,'CUSTOS REALIZADOS'!$A$11:$E$995,5)))</f>
        <v>0.24000000000000002</v>
      </c>
      <c r="G180" s="28">
        <f>IF(G179="",VLOOKUP($C179,'CUSTOS REALIZADOS'!$A$11:$E$995,4),(VLOOKUP($C179,'CUSTOS REALIZADOS'!$A$11:$E$995,5)))</f>
        <v>0.24000000000000002</v>
      </c>
      <c r="H180" s="28">
        <f>IF(H179="",VLOOKUP($C179,'CUSTOS REALIZADOS'!$A$11:$E$995,4),(VLOOKUP($C179,'CUSTOS REALIZADOS'!$A$11:$E$995,5)))</f>
        <v>0.24000000000000002</v>
      </c>
      <c r="I180" s="28">
        <f>IF(I179="",VLOOKUP($C179,'CUSTOS REALIZADOS'!$A$11:$E$995,4),(VLOOKUP($C179,'CUSTOS REALIZADOS'!$A$11:$E$995,5)))</f>
        <v>0.24000000000000002</v>
      </c>
      <c r="J180" s="28">
        <f>IF(J179="",VLOOKUP($C179,'CUSTOS REALIZADOS'!$A$11:$E$995,4),(VLOOKUP($C179,'CUSTOS REALIZADOS'!$A$11:$E$995,5)))</f>
        <v>0.24000000000000002</v>
      </c>
      <c r="K180" s="28">
        <f>IF(K179="",VLOOKUP($C179,'CUSTOS REALIZADOS'!$A$11:$E$995,4),(VLOOKUP($C179,'CUSTOS REALIZADOS'!$A$11:$E$995,5)))</f>
        <v>0.24000000000000002</v>
      </c>
      <c r="L180" s="28">
        <f>IF(L179="",VLOOKUP($C179,'CUSTOS REALIZADOS'!$A$11:$E$995,4),(VLOOKUP($C179,'CUSTOS REALIZADOS'!$A$11:$E$995,5)))</f>
        <v>0.24000000000000002</v>
      </c>
      <c r="M180" s="28">
        <f>IF(M179="",VLOOKUP($C179,'CUSTOS REALIZADOS'!$A$11:$E$995,4),(VLOOKUP($C179,'CUSTOS REALIZADOS'!$A$11:$E$995,5)))</f>
        <v>0.24000000000000002</v>
      </c>
      <c r="N180" s="28">
        <f>IF(N179="",VLOOKUP($C179,'CUSTOS REALIZADOS'!$A$11:$E$995,4),(VLOOKUP($C179,'CUSTOS REALIZADOS'!$A$11:$E$995,5)))</f>
        <v>0.24000000000000002</v>
      </c>
      <c r="O180" s="28">
        <f>IF(O179="",VLOOKUP($C179,'CUSTOS REALIZADOS'!$A$11:$E$995,4),(VLOOKUP($C179,'CUSTOS REALIZADOS'!$A$11:$E$995,5)))</f>
        <v>0.24000000000000002</v>
      </c>
      <c r="P180" s="28">
        <f>IF(P179="",VLOOKUP($C179,'CUSTOS REALIZADOS'!$A$11:$E$995,4),(VLOOKUP($C179,'CUSTOS REALIZADOS'!$A$11:$E$995,5)))</f>
        <v>0.24000000000000002</v>
      </c>
      <c r="Q180" s="28">
        <f>IF(Q179="",VLOOKUP($C179,'CUSTOS REALIZADOS'!$A$11:$E$995,4),(VLOOKUP($C179,'CUSTOS REALIZADOS'!$A$11:$E$995,5)))</f>
        <v>0.24000000000000002</v>
      </c>
      <c r="R180" s="28">
        <f>IF(R179="",VLOOKUP($C179,'CUSTOS REALIZADOS'!$A$11:$E$995,4),(VLOOKUP($C179,'CUSTOS REALIZADOS'!$A$11:$E$995,5)))</f>
        <v>0.24000000000000002</v>
      </c>
      <c r="S180" s="28">
        <f>IF(S179="",VLOOKUP($C179,'CUSTOS REALIZADOS'!$A$11:$E$995,4),(VLOOKUP($C179,'CUSTOS REALIZADOS'!$A$11:$E$995,5)))</f>
        <v>0.24000000000000002</v>
      </c>
      <c r="T180" s="28">
        <f>IF(T179="",VLOOKUP($C179,'CUSTOS REALIZADOS'!$A$11:$E$995,4),(VLOOKUP($C179,'CUSTOS REALIZADOS'!$A$11:$E$995,5)))</f>
        <v>0.24000000000000002</v>
      </c>
      <c r="U180" s="28">
        <f>IF(U179="",VLOOKUP($C179,'CUSTOS REALIZADOS'!$A$11:$E$995,4),(VLOOKUP($C179,'CUSTOS REALIZADOS'!$A$11:$E$995,5)))</f>
        <v>0.24000000000000002</v>
      </c>
      <c r="V180" s="28">
        <f>IF(V179="",VLOOKUP($C179,'CUSTOS REALIZADOS'!$A$11:$E$995,4),(VLOOKUP($C179,'CUSTOS REALIZADOS'!$A$11:$E$995,5)))</f>
        <v>0.24000000000000002</v>
      </c>
      <c r="W180" s="28">
        <f>IF(W179="",VLOOKUP($C179,'CUSTOS REALIZADOS'!$A$11:$E$995,4),(VLOOKUP($C179,'CUSTOS REALIZADOS'!$A$11:$E$995,5)))</f>
        <v>0.24000000000000002</v>
      </c>
      <c r="X180" s="28">
        <f>IF(X179="",VLOOKUP($C179,'CUSTOS REALIZADOS'!$A$11:$E$995,4),(VLOOKUP($C179,'CUSTOS REALIZADOS'!$A$11:$E$995,5)))</f>
        <v>0.24000000000000002</v>
      </c>
      <c r="Y180" s="28">
        <f>IF(Y179="",VLOOKUP($C179,'CUSTOS REALIZADOS'!$A$11:$E$995,4),(VLOOKUP($C179,'CUSTOS REALIZADOS'!$A$11:$E$995,5)))</f>
        <v>0.24000000000000002</v>
      </c>
      <c r="Z180" s="28">
        <f>IF(Z179="",VLOOKUP($C179,'CUSTOS REALIZADOS'!$A$11:$E$995,4),(VLOOKUP($C179,'CUSTOS REALIZADOS'!$A$11:$E$995,5)))</f>
        <v>0.24000000000000002</v>
      </c>
      <c r="AA180" s="28">
        <f>IF(AA179="",VLOOKUP($C179,'CUSTOS REALIZADOS'!$A$11:$E$995,4),(VLOOKUP($C179,'CUSTOS REALIZADOS'!$A$11:$E$995,5)))</f>
        <v>0.24000000000000002</v>
      </c>
      <c r="AB180" s="28">
        <f>IF(AB179="",VLOOKUP($C179,'CUSTOS REALIZADOS'!$A$11:$E$995,4),(VLOOKUP($C179,'CUSTOS REALIZADOS'!$A$11:$E$995,5)))</f>
        <v>0.24000000000000002</v>
      </c>
      <c r="AC180" s="28">
        <f>IF(AC179="",VLOOKUP($C179,'CUSTOS REALIZADOS'!$A$11:$E$995,4),(VLOOKUP($C179,'CUSTOS REALIZADOS'!$A$11:$E$995,5)))</f>
        <v>0.24000000000000002</v>
      </c>
      <c r="AD180" s="28">
        <f>IF(AD179="",VLOOKUP($C179,'CUSTOS REALIZADOS'!$A$11:$E$995,4),(VLOOKUP($C179,'CUSTOS REALIZADOS'!$A$11:$E$995,5)))</f>
        <v>0.24000000000000002</v>
      </c>
      <c r="AE180" s="28">
        <f>IF(AE179="",VLOOKUP($C179,'CUSTOS REALIZADOS'!$A$11:$E$995,4),(VLOOKUP($C179,'CUSTOS REALIZADOS'!$A$11:$E$995,5)))</f>
        <v>0.24000000000000002</v>
      </c>
      <c r="AF180" s="28">
        <f>IF(AF179="",VLOOKUP($C179,'CUSTOS REALIZADOS'!$A$11:$E$995,4),(VLOOKUP($C179,'CUSTOS REALIZADOS'!$A$11:$E$995,5)))</f>
        <v>0.24000000000000002</v>
      </c>
      <c r="AG180" s="28">
        <f>IF(AG179="",VLOOKUP($C179,'CUSTOS REALIZADOS'!$A$11:$E$995,4),(VLOOKUP($C179,'CUSTOS REALIZADOS'!$A$11:$E$995,5)))</f>
        <v>0.24000000000000002</v>
      </c>
      <c r="AH180" s="28">
        <f>IF(AH179="",VLOOKUP($C179,'CUSTOS REALIZADOS'!$A$11:$E$995,4),(VLOOKUP($C179,'CUSTOS REALIZADOS'!$A$11:$E$995,5)))</f>
        <v>0.24000000000000002</v>
      </c>
      <c r="AI180" s="28">
        <f>IF(AI179="",VLOOKUP($C179,'CUSTOS REALIZADOS'!$A$11:$E$995,4),(VLOOKUP($C179,'CUSTOS REALIZADOS'!$A$11:$E$995,5)))</f>
        <v>0.24000000000000002</v>
      </c>
      <c r="AJ180" s="28">
        <f>IF(AJ179="",VLOOKUP($C179,'CUSTOS REALIZADOS'!$A$11:$E$995,4),(VLOOKUP($C179,'CUSTOS REALIZADOS'!$A$11:$E$995,5)))</f>
        <v>0.24000000000000002</v>
      </c>
      <c r="AK180" s="28">
        <f>IF(AK179="",VLOOKUP($C179,'CUSTOS REALIZADOS'!$A$11:$E$995,4),(VLOOKUP($C179,'CUSTOS REALIZADOS'!$A$11:$E$995,5)))</f>
        <v>0.24000000000000002</v>
      </c>
      <c r="AL180" s="28">
        <f>IF(AL179="",VLOOKUP($C179,'CUSTOS REALIZADOS'!$A$11:$E$995,4),(VLOOKUP($C179,'CUSTOS REALIZADOS'!$A$11:$E$995,5)))</f>
        <v>0.24000000000000002</v>
      </c>
      <c r="AM180" s="28">
        <f>IF(AM179="",VLOOKUP($C179,'CUSTOS REALIZADOS'!$A$11:$E$995,4),(VLOOKUP($C179,'CUSTOS REALIZADOS'!$A$11:$E$995,5)))</f>
        <v>0.24000000000000002</v>
      </c>
      <c r="AN180" s="28">
        <f>IF(AN179="",VLOOKUP($C179,'CUSTOS REALIZADOS'!$A$11:$E$995,4),(VLOOKUP($C179,'CUSTOS REALIZADOS'!$A$11:$E$995,5)))</f>
        <v>0.24000000000000002</v>
      </c>
      <c r="AO180" s="28">
        <f>IF(AO179="",VLOOKUP($C179,'CUSTOS REALIZADOS'!$A$11:$E$995,4),(VLOOKUP($C179,'CUSTOS REALIZADOS'!$A$11:$E$995,5)))</f>
        <v>0.24000000000000002</v>
      </c>
      <c r="AP180" s="28">
        <f>IF(AP179="",VLOOKUP($C179,'CUSTOS REALIZADOS'!$A$11:$E$995,4),(VLOOKUP($C179,'CUSTOS REALIZADOS'!$A$11:$E$995,5)))</f>
        <v>0.24000000000000002</v>
      </c>
      <c r="AQ180" s="28">
        <f>IF(AQ179="",VLOOKUP($C179,'CUSTOS REALIZADOS'!$A$11:$E$995,4),(VLOOKUP($C179,'CUSTOS REALIZADOS'!$A$11:$E$995,5)))</f>
        <v>0.24000000000000002</v>
      </c>
      <c r="AR180" s="28">
        <f>IF(AR179="",VLOOKUP($C179,'CUSTOS REALIZADOS'!$A$11:$E$995,4),(VLOOKUP($C179,'CUSTOS REALIZADOS'!$A$11:$E$995,5)))</f>
        <v>0.24000000000000002</v>
      </c>
      <c r="AS180" s="28">
        <f>IF(AS179="",VLOOKUP($C179,'CUSTOS REALIZADOS'!$A$11:$E$995,4),(VLOOKUP($C179,'CUSTOS REALIZADOS'!$A$11:$E$995,5)))</f>
        <v>0.24000000000000002</v>
      </c>
      <c r="AT180" s="28">
        <f>IF(AT179="",VLOOKUP($C179,'CUSTOS REALIZADOS'!$A$11:$E$995,4),(VLOOKUP($C179,'CUSTOS REALIZADOS'!$A$11:$E$995,5)))</f>
        <v>0.24000000000000002</v>
      </c>
      <c r="AU180" s="28">
        <f>IF(AU179="",VLOOKUP($C179,'CUSTOS REALIZADOS'!$A$11:$E$995,4),(VLOOKUP($C179,'CUSTOS REALIZADOS'!$A$11:$E$995,5)))</f>
        <v>0.24000000000000002</v>
      </c>
      <c r="AV180" s="28">
        <f>IF(AV179="",VLOOKUP($C179,'CUSTOS REALIZADOS'!$A$11:$E$995,4),(VLOOKUP($C179,'CUSTOS REALIZADOS'!$A$11:$E$995,5)))</f>
        <v>0.24000000000000002</v>
      </c>
      <c r="AW180" s="28">
        <f>IF(AW179="",VLOOKUP($C179,'CUSTOS REALIZADOS'!$A$11:$E$995,4),(VLOOKUP($C179,'CUSTOS REALIZADOS'!$A$11:$E$995,5)))</f>
        <v>0.24000000000000002</v>
      </c>
      <c r="AX180" s="28">
        <f>IF(AX179="",VLOOKUP($C179,'CUSTOS REALIZADOS'!$A$11:$E$995,4),(VLOOKUP($C179,'CUSTOS REALIZADOS'!$A$11:$E$995,5)))</f>
        <v>0.24000000000000002</v>
      </c>
      <c r="AY180" s="28">
        <f>IF(AY179="",VLOOKUP($C179,'CUSTOS REALIZADOS'!$A$11:$E$995,4),(VLOOKUP($C179,'CUSTOS REALIZADOS'!$A$11:$E$995,5)))</f>
        <v>0.24000000000000002</v>
      </c>
      <c r="AZ180" s="28">
        <f>IF(AZ179="",VLOOKUP($C179,'CUSTOS REALIZADOS'!$A$11:$E$995,4),(VLOOKUP($C179,'CUSTOS REALIZADOS'!$A$11:$E$995,5)))</f>
        <v>0.24000000000000002</v>
      </c>
      <c r="BA180" s="28">
        <f>IF(BA179="",VLOOKUP($C179,'CUSTOS REALIZADOS'!$A$11:$E$995,4),(VLOOKUP($C179,'CUSTOS REALIZADOS'!$A$11:$E$995,5)))</f>
        <v>0.24000000000000002</v>
      </c>
      <c r="BB180" s="28">
        <f>IF(BB179="",VLOOKUP($C179,'CUSTOS REALIZADOS'!$A$11:$E$995,4),(VLOOKUP($C179,'CUSTOS REALIZADOS'!$A$11:$E$995,5)))</f>
        <v>0.24000000000000002</v>
      </c>
      <c r="BC180" s="28">
        <f>IF(BC179="",VLOOKUP($C179,'CUSTOS REALIZADOS'!$A$11:$E$995,4),(VLOOKUP($C179,'CUSTOS REALIZADOS'!$A$11:$E$995,5)))</f>
        <v>0.24000000000000002</v>
      </c>
      <c r="BD180" s="28">
        <f>IF(BD179="",VLOOKUP($C179,'CUSTOS REALIZADOS'!$A$11:$E$995,4),(VLOOKUP($C179,'CUSTOS REALIZADOS'!$A$11:$E$995,5)))</f>
        <v>0.24000000000000002</v>
      </c>
      <c r="BE180" s="28">
        <f>IF(BE179="",VLOOKUP($C179,'CUSTOS REALIZADOS'!$A$11:$E$995,4),(VLOOKUP($C179,'CUSTOS REALIZADOS'!$A$11:$E$995,5)))</f>
        <v>0.24000000000000002</v>
      </c>
      <c r="BF180" s="28">
        <f>IF(BF179="",VLOOKUP($C179,'CUSTOS REALIZADOS'!$A$11:$E$995,4),(VLOOKUP($C179,'CUSTOS REALIZADOS'!$A$11:$E$995,5)))</f>
        <v>0.24000000000000002</v>
      </c>
      <c r="BG180" s="28">
        <f>IF(BG179="",VLOOKUP($C179,'CUSTOS REALIZADOS'!$A$11:$E$995,4),(VLOOKUP($C179,'CUSTOS REALIZADOS'!$A$11:$E$995,5)))</f>
        <v>0.24000000000000002</v>
      </c>
      <c r="BH180" s="28">
        <f>IF(BH179="",VLOOKUP($C179,'CUSTOS REALIZADOS'!$A$11:$E$995,4),(VLOOKUP($C179,'CUSTOS REALIZADOS'!$A$11:$E$995,5)))</f>
        <v>0.24000000000000002</v>
      </c>
      <c r="BI180" s="28">
        <f>IF(BI179="",VLOOKUP($C179,'CUSTOS REALIZADOS'!$A$11:$E$995,4),(VLOOKUP($C179,'CUSTOS REALIZADOS'!$A$11:$E$995,5)))</f>
        <v>0.24000000000000002</v>
      </c>
      <c r="BJ180" s="28">
        <f>IF(BJ179="",VLOOKUP($C179,'CUSTOS REALIZADOS'!$A$11:$E$995,4),(VLOOKUP($C179,'CUSTOS REALIZADOS'!$A$11:$E$995,5)))</f>
        <v>0.24000000000000002</v>
      </c>
      <c r="BK180" s="28">
        <f>IF(BK179="",VLOOKUP($C179,'CUSTOS REALIZADOS'!$A$11:$E$995,4),(VLOOKUP($C179,'CUSTOS REALIZADOS'!$A$11:$E$995,5)))</f>
        <v>0.24000000000000002</v>
      </c>
      <c r="BL180" s="28">
        <f>IF(BL179="",VLOOKUP($C179,'CUSTOS REALIZADOS'!$A$11:$E$995,4),(VLOOKUP($C179,'CUSTOS REALIZADOS'!$A$11:$E$995,5)))</f>
        <v>0.24000000000000002</v>
      </c>
      <c r="BM180" s="28">
        <f>IF(BM179="",VLOOKUP($C179,'CUSTOS REALIZADOS'!$A$11:$E$995,4),(VLOOKUP($C179,'CUSTOS REALIZADOS'!$A$11:$E$995,5)))</f>
        <v>0.24000000000000002</v>
      </c>
      <c r="BN180" s="28">
        <f>IF(BN179="",VLOOKUP($C179,'CUSTOS REALIZADOS'!$A$11:$E$995,4),(VLOOKUP($C179,'CUSTOS REALIZADOS'!$A$11:$E$995,5)))</f>
        <v>0.24000000000000002</v>
      </c>
    </row>
    <row r="181" spans="3:82" x14ac:dyDescent="0.2">
      <c r="C181" s="322"/>
      <c r="D181" s="23" t="s">
        <v>6</v>
      </c>
      <c r="E181" s="27">
        <f>SUM(F181:BN181)</f>
        <v>95000</v>
      </c>
      <c r="F181" s="23">
        <f>IF(AND($C179&gt;=F$6,OR($C179&lt;F$8,F$8="")),F$7*F$28,0)</f>
        <v>0</v>
      </c>
      <c r="G181" s="23">
        <f t="shared" ref="G181:BN181" si="1349">IF(AND($C179&gt;=G$6,OR($C179&lt;G$8,G$8="")),G$7*G$28,0)</f>
        <v>45000</v>
      </c>
      <c r="H181" s="23">
        <f t="shared" si="1349"/>
        <v>50000</v>
      </c>
      <c r="I181" s="23">
        <f t="shared" si="1349"/>
        <v>0</v>
      </c>
      <c r="J181" s="23">
        <f t="shared" si="1349"/>
        <v>0</v>
      </c>
      <c r="K181" s="23">
        <f t="shared" si="1349"/>
        <v>0</v>
      </c>
      <c r="L181" s="23">
        <f t="shared" si="1349"/>
        <v>0</v>
      </c>
      <c r="M181" s="23">
        <f t="shared" si="1349"/>
        <v>0</v>
      </c>
      <c r="N181" s="23">
        <f t="shared" si="1349"/>
        <v>0</v>
      </c>
      <c r="O181" s="23">
        <f t="shared" si="1349"/>
        <v>0</v>
      </c>
      <c r="P181" s="23">
        <f t="shared" si="1349"/>
        <v>0</v>
      </c>
      <c r="Q181" s="23">
        <f t="shared" si="1349"/>
        <v>0</v>
      </c>
      <c r="R181" s="23">
        <f t="shared" si="1349"/>
        <v>0</v>
      </c>
      <c r="S181" s="23">
        <f t="shared" si="1349"/>
        <v>0</v>
      </c>
      <c r="T181" s="23">
        <f t="shared" si="1349"/>
        <v>0</v>
      </c>
      <c r="U181" s="23">
        <f t="shared" si="1349"/>
        <v>0</v>
      </c>
      <c r="V181" s="23">
        <f t="shared" si="1349"/>
        <v>0</v>
      </c>
      <c r="W181" s="23">
        <f t="shared" si="1349"/>
        <v>0</v>
      </c>
      <c r="X181" s="23">
        <f t="shared" si="1349"/>
        <v>0</v>
      </c>
      <c r="Y181" s="23">
        <f t="shared" si="1349"/>
        <v>0</v>
      </c>
      <c r="Z181" s="23">
        <f t="shared" si="1349"/>
        <v>0</v>
      </c>
      <c r="AA181" s="23">
        <f t="shared" si="1349"/>
        <v>0</v>
      </c>
      <c r="AB181" s="23">
        <f t="shared" si="1349"/>
        <v>0</v>
      </c>
      <c r="AC181" s="23">
        <f t="shared" si="1349"/>
        <v>0</v>
      </c>
      <c r="AD181" s="23">
        <f t="shared" si="1349"/>
        <v>0</v>
      </c>
      <c r="AE181" s="23">
        <f t="shared" si="1349"/>
        <v>0</v>
      </c>
      <c r="AF181" s="23">
        <f t="shared" si="1349"/>
        <v>0</v>
      </c>
      <c r="AG181" s="23">
        <f t="shared" si="1349"/>
        <v>0</v>
      </c>
      <c r="AH181" s="23">
        <f t="shared" si="1349"/>
        <v>0</v>
      </c>
      <c r="AI181" s="23">
        <f t="shared" si="1349"/>
        <v>0</v>
      </c>
      <c r="AJ181" s="23">
        <f t="shared" si="1349"/>
        <v>0</v>
      </c>
      <c r="AK181" s="23">
        <f t="shared" si="1349"/>
        <v>0</v>
      </c>
      <c r="AL181" s="23">
        <f t="shared" si="1349"/>
        <v>0</v>
      </c>
      <c r="AM181" s="23">
        <f t="shared" si="1349"/>
        <v>0</v>
      </c>
      <c r="AN181" s="23">
        <f t="shared" si="1349"/>
        <v>0</v>
      </c>
      <c r="AO181" s="23">
        <f t="shared" si="1349"/>
        <v>0</v>
      </c>
      <c r="AP181" s="23">
        <f t="shared" si="1349"/>
        <v>0</v>
      </c>
      <c r="AQ181" s="23">
        <f t="shared" si="1349"/>
        <v>0</v>
      </c>
      <c r="AR181" s="23">
        <f t="shared" si="1349"/>
        <v>0</v>
      </c>
      <c r="AS181" s="23">
        <f t="shared" si="1349"/>
        <v>0</v>
      </c>
      <c r="AT181" s="23">
        <f t="shared" si="1349"/>
        <v>0</v>
      </c>
      <c r="AU181" s="23">
        <f t="shared" si="1349"/>
        <v>0</v>
      </c>
      <c r="AV181" s="23">
        <f t="shared" si="1349"/>
        <v>0</v>
      </c>
      <c r="AW181" s="23">
        <f t="shared" si="1349"/>
        <v>0</v>
      </c>
      <c r="AX181" s="23">
        <f t="shared" si="1349"/>
        <v>0</v>
      </c>
      <c r="AY181" s="23">
        <f t="shared" si="1349"/>
        <v>0</v>
      </c>
      <c r="AZ181" s="23">
        <f t="shared" si="1349"/>
        <v>0</v>
      </c>
      <c r="BA181" s="23">
        <f t="shared" si="1349"/>
        <v>0</v>
      </c>
      <c r="BB181" s="23">
        <f t="shared" si="1349"/>
        <v>0</v>
      </c>
      <c r="BC181" s="23">
        <f t="shared" si="1349"/>
        <v>0</v>
      </c>
      <c r="BD181" s="23">
        <f t="shared" si="1349"/>
        <v>0</v>
      </c>
      <c r="BE181" s="23">
        <f t="shared" si="1349"/>
        <v>0</v>
      </c>
      <c r="BF181" s="23">
        <f t="shared" si="1349"/>
        <v>0</v>
      </c>
      <c r="BG181" s="23">
        <f t="shared" si="1349"/>
        <v>0</v>
      </c>
      <c r="BH181" s="23">
        <f t="shared" si="1349"/>
        <v>0</v>
      </c>
      <c r="BI181" s="23">
        <f t="shared" si="1349"/>
        <v>0</v>
      </c>
      <c r="BJ181" s="23">
        <f t="shared" si="1349"/>
        <v>0</v>
      </c>
      <c r="BK181" s="23">
        <f t="shared" si="1349"/>
        <v>0</v>
      </c>
      <c r="BL181" s="23">
        <f t="shared" si="1349"/>
        <v>0</v>
      </c>
      <c r="BM181" s="23">
        <f t="shared" si="1349"/>
        <v>0</v>
      </c>
      <c r="BN181" s="23">
        <f t="shared" si="1349"/>
        <v>0</v>
      </c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/>
      <c r="CC181" s="65"/>
      <c r="CD181" s="65"/>
    </row>
    <row r="182" spans="3:82" x14ac:dyDescent="0.2">
      <c r="C182" s="322"/>
      <c r="D182" s="23" t="s">
        <v>9</v>
      </c>
      <c r="E182" s="225">
        <f>SUM(F182:BN182)</f>
        <v>0</v>
      </c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</row>
    <row r="183" spans="3:82" x14ac:dyDescent="0.2">
      <c r="C183" s="322"/>
      <c r="D183" s="23" t="s">
        <v>14</v>
      </c>
      <c r="E183" s="27">
        <f>SUM(F183:AY183)</f>
        <v>931899.55569931935</v>
      </c>
      <c r="F183" s="23">
        <f>IF(F178=0,F179-F182,F178-F182)</f>
        <v>-163.51983781353204</v>
      </c>
      <c r="G183" s="23">
        <f t="shared" ref="G183" si="1350">IF(G178=0,G179-G182,G178-G182)</f>
        <v>441503.56209653668</v>
      </c>
      <c r="H183" s="23">
        <f t="shared" ref="H183" si="1351">IF(H178=0,H179-H182,H178-H182)</f>
        <v>490559.51344059617</v>
      </c>
      <c r="I183" s="23">
        <f t="shared" ref="I183" si="1352">IF(I178=0,I179-I182,I178-I182)</f>
        <v>0</v>
      </c>
      <c r="J183" s="23">
        <f t="shared" ref="J183" si="1353">IF(J178=0,J179-J182,J178-J182)</f>
        <v>0</v>
      </c>
      <c r="K183" s="23">
        <f t="shared" ref="K183" si="1354">IF(K178=0,K179-K182,K178-K182)</f>
        <v>0</v>
      </c>
      <c r="L183" s="23">
        <f t="shared" ref="L183" si="1355">IF(L178=0,L179-L182,L178-L182)</f>
        <v>0</v>
      </c>
      <c r="M183" s="23">
        <f t="shared" ref="M183" si="1356">IF(M178=0,M179-M182,M178-M182)</f>
        <v>0</v>
      </c>
      <c r="N183" s="23">
        <f t="shared" ref="N183" si="1357">IF(N178=0,N179-N182,N178-N182)</f>
        <v>0</v>
      </c>
      <c r="O183" s="23">
        <f t="shared" ref="O183" si="1358">IF(O178=0,O179-O182,O178-O182)</f>
        <v>0</v>
      </c>
      <c r="P183" s="23">
        <f t="shared" ref="P183" si="1359">IF(P178=0,P179-P182,P178-P182)</f>
        <v>0</v>
      </c>
      <c r="Q183" s="23">
        <f t="shared" ref="Q183" si="1360">IF(Q178=0,Q179-Q182,Q178-Q182)</f>
        <v>0</v>
      </c>
      <c r="R183" s="23">
        <f t="shared" ref="R183" si="1361">IF(R178=0,R179-R182,R178-R182)</f>
        <v>0</v>
      </c>
      <c r="S183" s="23">
        <f t="shared" ref="S183" si="1362">IF(S178=0,S179-S182,S178-S182)</f>
        <v>0</v>
      </c>
      <c r="T183" s="23">
        <f t="shared" ref="T183" si="1363">IF(T178=0,T179-T182,T178-T182)</f>
        <v>0</v>
      </c>
      <c r="U183" s="23">
        <f t="shared" ref="U183" si="1364">IF(U178=0,U179-U182,U178-U182)</f>
        <v>0</v>
      </c>
      <c r="V183" s="23">
        <f t="shared" ref="V183" si="1365">IF(V178=0,V179-V182,V178-V182)</f>
        <v>0</v>
      </c>
      <c r="W183" s="23">
        <f t="shared" ref="W183" si="1366">IF(W178=0,W179-W182,W178-W182)</f>
        <v>0</v>
      </c>
      <c r="X183" s="23">
        <f t="shared" ref="X183" si="1367">IF(X178=0,X179-X182,X178-X182)</f>
        <v>0</v>
      </c>
      <c r="Y183" s="23">
        <f t="shared" ref="Y183" si="1368">IF(Y178=0,Y179-Y182,Y178-Y182)</f>
        <v>0</v>
      </c>
      <c r="Z183" s="23">
        <f t="shared" ref="Z183" si="1369">IF(Z178=0,Z179-Z182,Z178-Z182)</f>
        <v>0</v>
      </c>
      <c r="AA183" s="23">
        <f t="shared" ref="AA183" si="1370">IF(AA178=0,AA179-AA182,AA178-AA182)</f>
        <v>0</v>
      </c>
      <c r="AB183" s="23">
        <f t="shared" ref="AB183" si="1371">IF(AB178=0,AB179-AB182,AB178-AB182)</f>
        <v>0</v>
      </c>
      <c r="AC183" s="23">
        <f t="shared" ref="AC183" si="1372">IF(AC178=0,AC179-AC182,AC178-AC182)</f>
        <v>0</v>
      </c>
      <c r="AD183" s="23">
        <f t="shared" ref="AD183" si="1373">IF(AD178=0,AD179-AD182,AD178-AD182)</f>
        <v>0</v>
      </c>
      <c r="AE183" s="23">
        <f t="shared" ref="AE183" si="1374">IF(AE178=0,AE179-AE182,AE178-AE182)</f>
        <v>0</v>
      </c>
      <c r="AF183" s="23">
        <f t="shared" ref="AF183" si="1375">IF(AF178=0,AF179-AF182,AF178-AF182)</f>
        <v>0</v>
      </c>
      <c r="AG183" s="23">
        <f t="shared" ref="AG183" si="1376">IF(AG178=0,AG179-AG182,AG178-AG182)</f>
        <v>0</v>
      </c>
      <c r="AH183" s="23">
        <f t="shared" ref="AH183" si="1377">IF(AH178=0,AH179-AH182,AH178-AH182)</f>
        <v>0</v>
      </c>
      <c r="AI183" s="23">
        <f t="shared" ref="AI183" si="1378">IF(AI178=0,AI179-AI182,AI178-AI182)</f>
        <v>0</v>
      </c>
      <c r="AJ183" s="23">
        <f t="shared" ref="AJ183" si="1379">IF(AJ178=0,AJ179-AJ182,AJ178-AJ182)</f>
        <v>0</v>
      </c>
      <c r="AK183" s="23">
        <f t="shared" ref="AK183" si="1380">IF(AK178=0,AK179-AK182,AK178-AK182)</f>
        <v>0</v>
      </c>
      <c r="AL183" s="23">
        <f t="shared" ref="AL183" si="1381">IF(AL178=0,AL179-AL182,AL178-AL182)</f>
        <v>0</v>
      </c>
      <c r="AM183" s="23">
        <f t="shared" ref="AM183" si="1382">IF(AM178=0,AM179-AM182,AM178-AM182)</f>
        <v>0</v>
      </c>
      <c r="AN183" s="23">
        <f t="shared" ref="AN183" si="1383">IF(AN178=0,AN179-AN182,AN178-AN182)</f>
        <v>0</v>
      </c>
      <c r="AO183" s="23">
        <f t="shared" ref="AO183" si="1384">IF(AO178=0,AO179-AO182,AO178-AO182)</f>
        <v>0</v>
      </c>
      <c r="AP183" s="23">
        <f t="shared" ref="AP183" si="1385">IF(AP178=0,AP179-AP182,AP178-AP182)</f>
        <v>0</v>
      </c>
      <c r="AQ183" s="23">
        <f t="shared" ref="AQ183" si="1386">IF(AQ178=0,AQ179-AQ182,AQ178-AQ182)</f>
        <v>0</v>
      </c>
      <c r="AR183" s="23">
        <f t="shared" ref="AR183" si="1387">IF(AR178=0,AR179-AR182,AR178-AR182)</f>
        <v>0</v>
      </c>
      <c r="AS183" s="23">
        <f t="shared" ref="AS183" si="1388">IF(AS178=0,AS179-AS182,AS178-AS182)</f>
        <v>0</v>
      </c>
      <c r="AT183" s="23">
        <f t="shared" ref="AT183" si="1389">IF(AT178=0,AT179-AT182,AT178-AT182)</f>
        <v>0</v>
      </c>
      <c r="AU183" s="23">
        <f t="shared" ref="AU183" si="1390">IF(AU178=0,AU179-AU182,AU178-AU182)</f>
        <v>0</v>
      </c>
      <c r="AV183" s="23">
        <f t="shared" ref="AV183" si="1391">IF(AV178=0,AV179-AV182,AV178-AV182)</f>
        <v>0</v>
      </c>
      <c r="AW183" s="23">
        <f t="shared" ref="AW183" si="1392">IF(AW178=0,AW179-AW182,AW178-AW182)</f>
        <v>0</v>
      </c>
      <c r="AX183" s="23">
        <f t="shared" ref="AX183" si="1393">IF(AX178=0,AX179-AX182,AX178-AX182)</f>
        <v>0</v>
      </c>
      <c r="AY183" s="23">
        <f t="shared" ref="AY183" si="1394">IF(AY178=0,AY179-AY182,AY178-AY182)</f>
        <v>0</v>
      </c>
      <c r="AZ183" s="23">
        <f t="shared" ref="AZ183" si="1395">IF(AZ178=0,AZ179-AZ182,AZ178-AZ182)</f>
        <v>0</v>
      </c>
      <c r="BA183" s="23">
        <f t="shared" ref="BA183" si="1396">IF(BA178=0,BA179-BA182,BA178-BA182)</f>
        <v>0</v>
      </c>
      <c r="BB183" s="23">
        <f t="shared" ref="BB183" si="1397">IF(BB178=0,BB179-BB182,BB178-BB182)</f>
        <v>0</v>
      </c>
      <c r="BC183" s="23">
        <f t="shared" ref="BC183" si="1398">IF(BC178=0,BC179-BC182,BC178-BC182)</f>
        <v>0</v>
      </c>
      <c r="BD183" s="23">
        <f t="shared" ref="BD183" si="1399">IF(BD178=0,BD179-BD182,BD178-BD182)</f>
        <v>0</v>
      </c>
      <c r="BE183" s="23">
        <f t="shared" ref="BE183" si="1400">IF(BE178=0,BE179-BE182,BE178-BE182)</f>
        <v>0</v>
      </c>
      <c r="BF183" s="23">
        <f t="shared" ref="BF183" si="1401">IF(BF178=0,BF179-BF182,BF178-BF182)</f>
        <v>0</v>
      </c>
      <c r="BG183" s="23">
        <f t="shared" ref="BG183" si="1402">IF(BG178=0,BG179-BG182,BG178-BG182)</f>
        <v>0</v>
      </c>
      <c r="BH183" s="23">
        <f t="shared" ref="BH183" si="1403">IF(BH178=0,BH179-BH182,BH178-BH182)</f>
        <v>0</v>
      </c>
      <c r="BI183" s="23">
        <f t="shared" ref="BI183" si="1404">IF(BI178=0,BI179-BI182,BI178-BI182)</f>
        <v>0</v>
      </c>
      <c r="BJ183" s="23">
        <f t="shared" ref="BJ183" si="1405">IF(BJ178=0,BJ179-BJ182,BJ178-BJ182)</f>
        <v>0</v>
      </c>
      <c r="BK183" s="23">
        <f t="shared" ref="BK183" si="1406">IF(BK178=0,BK179-BK182,BK178-BK182)</f>
        <v>0</v>
      </c>
      <c r="BL183" s="23">
        <f t="shared" ref="BL183" si="1407">IF(BL178=0,BL179-BL182,BL178-BL182)</f>
        <v>0</v>
      </c>
      <c r="BM183" s="23">
        <f t="shared" ref="BM183" si="1408">IF(BM178=0,BM179-BM182,BM178-BM182)</f>
        <v>0</v>
      </c>
      <c r="BN183" s="23">
        <f t="shared" ref="BN183" si="1409">IF(BN178=0,BN179-BN182,BN178-BN182)</f>
        <v>0</v>
      </c>
    </row>
    <row r="184" spans="3:82" x14ac:dyDescent="0.2">
      <c r="C184" s="322"/>
      <c r="D184" s="23" t="s">
        <v>10</v>
      </c>
      <c r="E184" s="72">
        <v>1.2800000000000001E-2</v>
      </c>
      <c r="F184" s="54">
        <v>1.2800000000000001E-2</v>
      </c>
      <c r="G184" s="54">
        <v>1.2800000000000001E-2</v>
      </c>
      <c r="H184" s="54">
        <v>1.2800000000000001E-2</v>
      </c>
      <c r="I184" s="54">
        <v>1.2800000000000001E-2</v>
      </c>
      <c r="J184" s="54">
        <v>1.2800000000000001E-2</v>
      </c>
      <c r="K184" s="54">
        <v>1.2800000000000001E-2</v>
      </c>
      <c r="L184" s="54">
        <v>1.2800000000000001E-2</v>
      </c>
      <c r="M184" s="54">
        <v>1.2800000000000001E-2</v>
      </c>
      <c r="N184" s="54">
        <v>1.2800000000000001E-2</v>
      </c>
      <c r="O184" s="54">
        <v>1.2800000000000001E-2</v>
      </c>
      <c r="P184" s="54">
        <v>1.2800000000000001E-2</v>
      </c>
      <c r="Q184" s="54">
        <v>1.2800000000000001E-2</v>
      </c>
      <c r="R184" s="54">
        <v>1.2800000000000001E-2</v>
      </c>
      <c r="S184" s="54">
        <v>1.2800000000000001E-2</v>
      </c>
      <c r="T184" s="54">
        <v>1.2800000000000001E-2</v>
      </c>
      <c r="U184" s="54">
        <v>1.2800000000000001E-2</v>
      </c>
      <c r="V184" s="54">
        <v>1.2800000000000001E-2</v>
      </c>
      <c r="W184" s="54">
        <v>1.2800000000000001E-2</v>
      </c>
      <c r="X184" s="54">
        <v>1.2800000000000001E-2</v>
      </c>
      <c r="Y184" s="54">
        <v>1.2800000000000001E-2</v>
      </c>
      <c r="Z184" s="54">
        <v>1.2800000000000001E-2</v>
      </c>
      <c r="AA184" s="54">
        <v>1.2800000000000001E-2</v>
      </c>
      <c r="AB184" s="54">
        <v>1.2800000000000001E-2</v>
      </c>
      <c r="AC184" s="54">
        <v>1.2800000000000001E-2</v>
      </c>
      <c r="AD184" s="54">
        <v>1.2800000000000001E-2</v>
      </c>
      <c r="AE184" s="54">
        <v>1.2800000000000001E-2</v>
      </c>
      <c r="AF184" s="54">
        <v>1.2800000000000001E-2</v>
      </c>
      <c r="AG184" s="54">
        <v>1.2800000000000001E-2</v>
      </c>
      <c r="AH184" s="54">
        <v>1.2800000000000001E-2</v>
      </c>
      <c r="AI184" s="54">
        <v>1.2800000000000001E-2</v>
      </c>
      <c r="AJ184" s="54">
        <v>1.2800000000000001E-2</v>
      </c>
      <c r="AK184" s="54">
        <v>1.2800000000000001E-2</v>
      </c>
      <c r="AL184" s="54">
        <v>1.2800000000000001E-2</v>
      </c>
      <c r="AM184" s="54">
        <v>1.2800000000000001E-2</v>
      </c>
      <c r="AN184" s="54">
        <v>1.2800000000000001E-2</v>
      </c>
      <c r="AO184" s="54">
        <v>1.2800000000000001E-2</v>
      </c>
      <c r="AP184" s="54">
        <v>1.2800000000000001E-2</v>
      </c>
      <c r="AQ184" s="54">
        <v>1.2800000000000001E-2</v>
      </c>
      <c r="AR184" s="54">
        <v>1.2800000000000001E-2</v>
      </c>
      <c r="AS184" s="54">
        <v>1.2800000000000001E-2</v>
      </c>
      <c r="AT184" s="54">
        <v>1.2800000000000001E-2</v>
      </c>
      <c r="AU184" s="54">
        <v>1.2800000000000001E-2</v>
      </c>
      <c r="AV184" s="54">
        <v>1.2800000000000001E-2</v>
      </c>
      <c r="AW184" s="54">
        <v>1.2800000000000001E-2</v>
      </c>
      <c r="AX184" s="54">
        <v>1.2800000000000001E-2</v>
      </c>
      <c r="AY184" s="54">
        <v>1.2800000000000001E-2</v>
      </c>
      <c r="AZ184" s="54">
        <v>1.2800000000000001E-2</v>
      </c>
      <c r="BA184" s="54">
        <v>1.2800000000000001E-2</v>
      </c>
      <c r="BB184" s="54">
        <v>1.2800000000000001E-2</v>
      </c>
      <c r="BC184" s="54">
        <v>1.2800000000000001E-2</v>
      </c>
      <c r="BD184" s="54">
        <v>1.2800000000000001E-2</v>
      </c>
      <c r="BE184" s="54">
        <v>1.2800000000000001E-2</v>
      </c>
      <c r="BF184" s="54">
        <v>1.2800000000000001E-2</v>
      </c>
      <c r="BG184" s="54">
        <v>1.2800000000000001E-2</v>
      </c>
      <c r="BH184" s="54">
        <v>1.2800000000000001E-2</v>
      </c>
      <c r="BI184" s="54">
        <v>1.2800000000000001E-2</v>
      </c>
      <c r="BJ184" s="54">
        <v>1.2800000000000001E-2</v>
      </c>
      <c r="BK184" s="54">
        <v>1.2800000000000001E-2</v>
      </c>
      <c r="BL184" s="54">
        <v>1.2800000000000001E-2</v>
      </c>
      <c r="BM184" s="54">
        <v>1.2800000000000001E-2</v>
      </c>
      <c r="BN184" s="54">
        <v>1.2800000000000001E-2</v>
      </c>
    </row>
    <row r="185" spans="3:82" x14ac:dyDescent="0.2">
      <c r="C185" s="322"/>
      <c r="D185" s="23" t="s">
        <v>12</v>
      </c>
      <c r="E185" s="27">
        <f>SUM(F185:AY185)</f>
        <v>11928.314312951288</v>
      </c>
      <c r="F185" s="29">
        <f>+F183*F184</f>
        <v>-2.0930539240132102</v>
      </c>
      <c r="G185" s="29">
        <f>+G183*G184</f>
        <v>5651.2455948356701</v>
      </c>
      <c r="H185" s="29">
        <f>+H183*H184</f>
        <v>6279.1617720396316</v>
      </c>
      <c r="I185" s="29">
        <f t="shared" ref="I185:N185" si="1410">+I183*I184</f>
        <v>0</v>
      </c>
      <c r="J185" s="29">
        <v>0</v>
      </c>
      <c r="K185" s="29">
        <f t="shared" si="1410"/>
        <v>0</v>
      </c>
      <c r="L185" s="29">
        <f t="shared" si="1410"/>
        <v>0</v>
      </c>
      <c r="M185" s="29">
        <f t="shared" si="1410"/>
        <v>0</v>
      </c>
      <c r="N185" s="29">
        <f t="shared" si="1410"/>
        <v>0</v>
      </c>
      <c r="O185" s="29">
        <f>+O183*O184</f>
        <v>0</v>
      </c>
      <c r="P185" s="29">
        <f>+P183*P184</f>
        <v>0</v>
      </c>
      <c r="Q185" s="29">
        <f t="shared" ref="Q185:Z185" si="1411">+Q183*Q184</f>
        <v>0</v>
      </c>
      <c r="R185" s="29">
        <f t="shared" si="1411"/>
        <v>0</v>
      </c>
      <c r="S185" s="29">
        <f t="shared" si="1411"/>
        <v>0</v>
      </c>
      <c r="T185" s="29">
        <f t="shared" si="1411"/>
        <v>0</v>
      </c>
      <c r="U185" s="29">
        <f t="shared" si="1411"/>
        <v>0</v>
      </c>
      <c r="V185" s="29">
        <f t="shared" si="1411"/>
        <v>0</v>
      </c>
      <c r="W185" s="29">
        <f t="shared" si="1411"/>
        <v>0</v>
      </c>
      <c r="X185" s="29">
        <f t="shared" si="1411"/>
        <v>0</v>
      </c>
      <c r="Y185" s="29">
        <f t="shared" si="1411"/>
        <v>0</v>
      </c>
      <c r="Z185" s="29">
        <f t="shared" si="1411"/>
        <v>0</v>
      </c>
      <c r="AA185" s="29">
        <f>+AA183*AA184</f>
        <v>0</v>
      </c>
      <c r="AB185" s="29">
        <f t="shared" ref="AB185:AD185" si="1412">+AB183*AB184</f>
        <v>0</v>
      </c>
      <c r="AC185" s="29">
        <f t="shared" si="1412"/>
        <v>0</v>
      </c>
      <c r="AD185" s="29">
        <f t="shared" si="1412"/>
        <v>0</v>
      </c>
      <c r="AE185" s="29">
        <v>0</v>
      </c>
      <c r="AF185" s="29">
        <f>+AF183*AF184</f>
        <v>0</v>
      </c>
      <c r="AG185" s="29">
        <f t="shared" ref="AG185:AP185" si="1413">+AG183*AG184</f>
        <v>0</v>
      </c>
      <c r="AH185" s="29">
        <f t="shared" si="1413"/>
        <v>0</v>
      </c>
      <c r="AI185" s="29">
        <f t="shared" si="1413"/>
        <v>0</v>
      </c>
      <c r="AJ185" s="29">
        <f t="shared" si="1413"/>
        <v>0</v>
      </c>
      <c r="AK185" s="29">
        <f t="shared" si="1413"/>
        <v>0</v>
      </c>
      <c r="AL185" s="29">
        <f t="shared" si="1413"/>
        <v>0</v>
      </c>
      <c r="AM185" s="29">
        <f t="shared" si="1413"/>
        <v>0</v>
      </c>
      <c r="AN185" s="29">
        <f t="shared" si="1413"/>
        <v>0</v>
      </c>
      <c r="AO185" s="29">
        <f t="shared" si="1413"/>
        <v>0</v>
      </c>
      <c r="AP185" s="29">
        <f t="shared" si="1413"/>
        <v>0</v>
      </c>
      <c r="AQ185" s="29">
        <f>+AQ183*AQ184</f>
        <v>0</v>
      </c>
      <c r="AR185" s="29">
        <f>+AR183*AR184</f>
        <v>0</v>
      </c>
      <c r="AS185" s="29">
        <f t="shared" ref="AS185:AU185" si="1414">+AS183*AS184</f>
        <v>0</v>
      </c>
      <c r="AT185" s="29">
        <f t="shared" si="1414"/>
        <v>0</v>
      </c>
      <c r="AU185" s="29">
        <f t="shared" si="1414"/>
        <v>0</v>
      </c>
      <c r="AV185" s="29">
        <v>0</v>
      </c>
      <c r="AW185" s="29">
        <f t="shared" ref="AW185:AX185" si="1415">+AW183*AW184</f>
        <v>0</v>
      </c>
      <c r="AX185" s="29">
        <f t="shared" si="1415"/>
        <v>0</v>
      </c>
      <c r="AY185" s="29">
        <f>+AY183*AY184</f>
        <v>0</v>
      </c>
      <c r="AZ185" s="29">
        <f t="shared" ref="AZ185:BN185" si="1416">+AZ183*AZ184</f>
        <v>0</v>
      </c>
      <c r="BA185" s="29">
        <f t="shared" si="1416"/>
        <v>0</v>
      </c>
      <c r="BB185" s="29">
        <v>0</v>
      </c>
      <c r="BC185" s="29">
        <f t="shared" si="1416"/>
        <v>0</v>
      </c>
      <c r="BD185" s="29">
        <f t="shared" si="1416"/>
        <v>0</v>
      </c>
      <c r="BE185" s="29">
        <f t="shared" si="1416"/>
        <v>0</v>
      </c>
      <c r="BF185" s="29">
        <f t="shared" si="1416"/>
        <v>0</v>
      </c>
      <c r="BG185" s="29">
        <f t="shared" si="1416"/>
        <v>0</v>
      </c>
      <c r="BH185" s="29">
        <f t="shared" si="1416"/>
        <v>0</v>
      </c>
      <c r="BI185" s="29">
        <f t="shared" si="1416"/>
        <v>0</v>
      </c>
      <c r="BJ185" s="29">
        <f t="shared" si="1416"/>
        <v>0</v>
      </c>
      <c r="BK185" s="29">
        <f t="shared" si="1416"/>
        <v>0</v>
      </c>
      <c r="BL185" s="29">
        <f t="shared" si="1416"/>
        <v>0</v>
      </c>
      <c r="BM185" s="29">
        <f t="shared" si="1416"/>
        <v>0</v>
      </c>
      <c r="BN185" s="29">
        <f t="shared" si="1416"/>
        <v>0</v>
      </c>
    </row>
    <row r="186" spans="3:82" ht="13.5" thickBot="1" x14ac:dyDescent="0.25">
      <c r="C186" s="323"/>
      <c r="D186" s="25" t="s">
        <v>11</v>
      </c>
      <c r="E186" s="30">
        <f>SUM(F186:BN186)</f>
        <v>943827.87001227052</v>
      </c>
      <c r="F186" s="46">
        <f>+F183+F185</f>
        <v>-165.61289173754525</v>
      </c>
      <c r="G186" s="46">
        <f>+G183+G185</f>
        <v>447154.80769137235</v>
      </c>
      <c r="H186" s="46">
        <f>+H183+H185</f>
        <v>496838.67521263578</v>
      </c>
      <c r="I186" s="46">
        <f t="shared" ref="I186:AU186" si="1417">+I183+I185</f>
        <v>0</v>
      </c>
      <c r="J186" s="46">
        <f t="shared" si="1417"/>
        <v>0</v>
      </c>
      <c r="K186" s="46">
        <f t="shared" si="1417"/>
        <v>0</v>
      </c>
      <c r="L186" s="46">
        <f t="shared" si="1417"/>
        <v>0</v>
      </c>
      <c r="M186" s="46">
        <f t="shared" si="1417"/>
        <v>0</v>
      </c>
      <c r="N186" s="46">
        <f t="shared" si="1417"/>
        <v>0</v>
      </c>
      <c r="O186" s="46">
        <f t="shared" si="1417"/>
        <v>0</v>
      </c>
      <c r="P186" s="46">
        <f t="shared" si="1417"/>
        <v>0</v>
      </c>
      <c r="Q186" s="46">
        <f t="shared" si="1417"/>
        <v>0</v>
      </c>
      <c r="R186" s="46">
        <f t="shared" si="1417"/>
        <v>0</v>
      </c>
      <c r="S186" s="46">
        <f t="shared" si="1417"/>
        <v>0</v>
      </c>
      <c r="T186" s="46">
        <f t="shared" si="1417"/>
        <v>0</v>
      </c>
      <c r="U186" s="46">
        <f t="shared" si="1417"/>
        <v>0</v>
      </c>
      <c r="V186" s="46">
        <f t="shared" si="1417"/>
        <v>0</v>
      </c>
      <c r="W186" s="46">
        <f t="shared" si="1417"/>
        <v>0</v>
      </c>
      <c r="X186" s="46">
        <f t="shared" si="1417"/>
        <v>0</v>
      </c>
      <c r="Y186" s="46">
        <f t="shared" si="1417"/>
        <v>0</v>
      </c>
      <c r="Z186" s="46">
        <f t="shared" si="1417"/>
        <v>0</v>
      </c>
      <c r="AA186" s="46">
        <f t="shared" si="1417"/>
        <v>0</v>
      </c>
      <c r="AB186" s="46">
        <f t="shared" si="1417"/>
        <v>0</v>
      </c>
      <c r="AC186" s="46">
        <f t="shared" si="1417"/>
        <v>0</v>
      </c>
      <c r="AD186" s="46">
        <f t="shared" si="1417"/>
        <v>0</v>
      </c>
      <c r="AE186" s="46">
        <f t="shared" si="1417"/>
        <v>0</v>
      </c>
      <c r="AF186" s="46">
        <f t="shared" si="1417"/>
        <v>0</v>
      </c>
      <c r="AG186" s="46">
        <f t="shared" si="1417"/>
        <v>0</v>
      </c>
      <c r="AH186" s="46">
        <f t="shared" si="1417"/>
        <v>0</v>
      </c>
      <c r="AI186" s="46">
        <f t="shared" si="1417"/>
        <v>0</v>
      </c>
      <c r="AJ186" s="46">
        <f t="shared" si="1417"/>
        <v>0</v>
      </c>
      <c r="AK186" s="46">
        <f t="shared" si="1417"/>
        <v>0</v>
      </c>
      <c r="AL186" s="46">
        <f t="shared" si="1417"/>
        <v>0</v>
      </c>
      <c r="AM186" s="46">
        <f t="shared" si="1417"/>
        <v>0</v>
      </c>
      <c r="AN186" s="46">
        <f t="shared" si="1417"/>
        <v>0</v>
      </c>
      <c r="AO186" s="46">
        <f t="shared" si="1417"/>
        <v>0</v>
      </c>
      <c r="AP186" s="46">
        <f t="shared" si="1417"/>
        <v>0</v>
      </c>
      <c r="AQ186" s="46">
        <f t="shared" si="1417"/>
        <v>0</v>
      </c>
      <c r="AR186" s="46">
        <f t="shared" si="1417"/>
        <v>0</v>
      </c>
      <c r="AS186" s="46">
        <f t="shared" si="1417"/>
        <v>0</v>
      </c>
      <c r="AT186" s="46">
        <f t="shared" si="1417"/>
        <v>0</v>
      </c>
      <c r="AU186" s="46">
        <f t="shared" si="1417"/>
        <v>0</v>
      </c>
      <c r="AV186" s="46">
        <f>+AV183+AV185</f>
        <v>0</v>
      </c>
      <c r="AW186" s="46">
        <f t="shared" ref="AW186:BN186" si="1418">+AW183+AW185</f>
        <v>0</v>
      </c>
      <c r="AX186" s="46">
        <f t="shared" si="1418"/>
        <v>0</v>
      </c>
      <c r="AY186" s="46">
        <f t="shared" si="1418"/>
        <v>0</v>
      </c>
      <c r="AZ186" s="46">
        <f t="shared" si="1418"/>
        <v>0</v>
      </c>
      <c r="BA186" s="46">
        <f t="shared" si="1418"/>
        <v>0</v>
      </c>
      <c r="BB186" s="46">
        <f t="shared" si="1418"/>
        <v>0</v>
      </c>
      <c r="BC186" s="46">
        <f t="shared" si="1418"/>
        <v>0</v>
      </c>
      <c r="BD186" s="46">
        <f t="shared" si="1418"/>
        <v>0</v>
      </c>
      <c r="BE186" s="46">
        <f t="shared" si="1418"/>
        <v>0</v>
      </c>
      <c r="BF186" s="46">
        <f t="shared" si="1418"/>
        <v>0</v>
      </c>
      <c r="BG186" s="46">
        <f t="shared" si="1418"/>
        <v>0</v>
      </c>
      <c r="BH186" s="46">
        <f t="shared" si="1418"/>
        <v>0</v>
      </c>
      <c r="BI186" s="46">
        <f t="shared" si="1418"/>
        <v>0</v>
      </c>
      <c r="BJ186" s="46">
        <f t="shared" si="1418"/>
        <v>0</v>
      </c>
      <c r="BK186" s="46">
        <f t="shared" si="1418"/>
        <v>0</v>
      </c>
      <c r="BL186" s="46">
        <f t="shared" si="1418"/>
        <v>0</v>
      </c>
      <c r="BM186" s="46">
        <f t="shared" si="1418"/>
        <v>0</v>
      </c>
      <c r="BN186" s="46">
        <f t="shared" si="1418"/>
        <v>0</v>
      </c>
    </row>
    <row r="187" spans="3:82" x14ac:dyDescent="0.2">
      <c r="C187" s="321">
        <v>44228</v>
      </c>
      <c r="D187" s="20" t="s">
        <v>5</v>
      </c>
      <c r="E187" s="50">
        <f>SUM(F187:BN187)</f>
        <v>0</v>
      </c>
      <c r="F187" s="279">
        <f>IF(F$6=$C187,F$7,0)</f>
        <v>0</v>
      </c>
      <c r="G187" s="279">
        <f t="shared" ref="G187:BN187" si="1419">IF(G$6=$C187,G$7,0)</f>
        <v>0</v>
      </c>
      <c r="H187" s="279">
        <f t="shared" si="1419"/>
        <v>0</v>
      </c>
      <c r="I187" s="279">
        <f t="shared" si="1419"/>
        <v>0</v>
      </c>
      <c r="J187" s="279">
        <f t="shared" si="1419"/>
        <v>0</v>
      </c>
      <c r="K187" s="279">
        <f t="shared" si="1419"/>
        <v>0</v>
      </c>
      <c r="L187" s="279">
        <f t="shared" si="1419"/>
        <v>0</v>
      </c>
      <c r="M187" s="279">
        <f t="shared" si="1419"/>
        <v>0</v>
      </c>
      <c r="N187" s="279">
        <f t="shared" si="1419"/>
        <v>0</v>
      </c>
      <c r="O187" s="279">
        <f t="shared" si="1419"/>
        <v>0</v>
      </c>
      <c r="P187" s="279">
        <f t="shared" si="1419"/>
        <v>0</v>
      </c>
      <c r="Q187" s="279">
        <f t="shared" si="1419"/>
        <v>0</v>
      </c>
      <c r="R187" s="279">
        <f t="shared" si="1419"/>
        <v>0</v>
      </c>
      <c r="S187" s="279">
        <f t="shared" si="1419"/>
        <v>0</v>
      </c>
      <c r="T187" s="279">
        <f t="shared" si="1419"/>
        <v>0</v>
      </c>
      <c r="U187" s="279">
        <f t="shared" si="1419"/>
        <v>0</v>
      </c>
      <c r="V187" s="279">
        <f t="shared" si="1419"/>
        <v>0</v>
      </c>
      <c r="W187" s="279">
        <f t="shared" si="1419"/>
        <v>0</v>
      </c>
      <c r="X187" s="279">
        <f t="shared" si="1419"/>
        <v>0</v>
      </c>
      <c r="Y187" s="279">
        <f t="shared" si="1419"/>
        <v>0</v>
      </c>
      <c r="Z187" s="279">
        <f t="shared" si="1419"/>
        <v>0</v>
      </c>
      <c r="AA187" s="279">
        <f t="shared" si="1419"/>
        <v>0</v>
      </c>
      <c r="AB187" s="279">
        <f t="shared" si="1419"/>
        <v>0</v>
      </c>
      <c r="AC187" s="279">
        <f t="shared" si="1419"/>
        <v>0</v>
      </c>
      <c r="AD187" s="279">
        <f t="shared" si="1419"/>
        <v>0</v>
      </c>
      <c r="AE187" s="279">
        <f t="shared" si="1419"/>
        <v>0</v>
      </c>
      <c r="AF187" s="279">
        <f t="shared" si="1419"/>
        <v>0</v>
      </c>
      <c r="AG187" s="279">
        <f t="shared" si="1419"/>
        <v>0</v>
      </c>
      <c r="AH187" s="279">
        <f t="shared" si="1419"/>
        <v>0</v>
      </c>
      <c r="AI187" s="279">
        <f t="shared" si="1419"/>
        <v>0</v>
      </c>
      <c r="AJ187" s="279">
        <f t="shared" si="1419"/>
        <v>0</v>
      </c>
      <c r="AK187" s="279">
        <f t="shared" si="1419"/>
        <v>0</v>
      </c>
      <c r="AL187" s="279">
        <f t="shared" si="1419"/>
        <v>0</v>
      </c>
      <c r="AM187" s="279">
        <f t="shared" si="1419"/>
        <v>0</v>
      </c>
      <c r="AN187" s="279">
        <f t="shared" si="1419"/>
        <v>0</v>
      </c>
      <c r="AO187" s="279">
        <f t="shared" si="1419"/>
        <v>0</v>
      </c>
      <c r="AP187" s="279">
        <f t="shared" si="1419"/>
        <v>0</v>
      </c>
      <c r="AQ187" s="279">
        <f t="shared" si="1419"/>
        <v>0</v>
      </c>
      <c r="AR187" s="279">
        <f t="shared" si="1419"/>
        <v>0</v>
      </c>
      <c r="AS187" s="279">
        <f t="shared" si="1419"/>
        <v>0</v>
      </c>
      <c r="AT187" s="279">
        <f t="shared" si="1419"/>
        <v>0</v>
      </c>
      <c r="AU187" s="279">
        <f t="shared" si="1419"/>
        <v>0</v>
      </c>
      <c r="AV187" s="279">
        <f t="shared" si="1419"/>
        <v>0</v>
      </c>
      <c r="AW187" s="279">
        <f t="shared" si="1419"/>
        <v>0</v>
      </c>
      <c r="AX187" s="279">
        <f t="shared" si="1419"/>
        <v>0</v>
      </c>
      <c r="AY187" s="279">
        <f t="shared" si="1419"/>
        <v>0</v>
      </c>
      <c r="AZ187" s="279">
        <f t="shared" si="1419"/>
        <v>0</v>
      </c>
      <c r="BA187" s="279">
        <f t="shared" si="1419"/>
        <v>0</v>
      </c>
      <c r="BB187" s="279">
        <f t="shared" si="1419"/>
        <v>0</v>
      </c>
      <c r="BC187" s="279">
        <f t="shared" si="1419"/>
        <v>0</v>
      </c>
      <c r="BD187" s="279">
        <f t="shared" si="1419"/>
        <v>0</v>
      </c>
      <c r="BE187" s="279">
        <f t="shared" si="1419"/>
        <v>0</v>
      </c>
      <c r="BF187" s="279">
        <f t="shared" si="1419"/>
        <v>0</v>
      </c>
      <c r="BG187" s="279">
        <f t="shared" si="1419"/>
        <v>0</v>
      </c>
      <c r="BH187" s="279">
        <f t="shared" si="1419"/>
        <v>0</v>
      </c>
      <c r="BI187" s="279">
        <f t="shared" si="1419"/>
        <v>0</v>
      </c>
      <c r="BJ187" s="279">
        <f t="shared" si="1419"/>
        <v>0</v>
      </c>
      <c r="BK187" s="279">
        <f t="shared" si="1419"/>
        <v>0</v>
      </c>
      <c r="BL187" s="279">
        <f t="shared" si="1419"/>
        <v>0</v>
      </c>
      <c r="BM187" s="279">
        <f t="shared" si="1419"/>
        <v>0</v>
      </c>
      <c r="BN187" s="279">
        <f t="shared" si="1419"/>
        <v>0</v>
      </c>
    </row>
    <row r="188" spans="3:82" x14ac:dyDescent="0.2">
      <c r="C188" s="322"/>
      <c r="D188" s="23" t="s">
        <v>7</v>
      </c>
      <c r="E188" s="91">
        <f>SUM(F188:BN188)</f>
        <v>14.640000000000011</v>
      </c>
      <c r="F188" s="28">
        <f>IF(F187="",VLOOKUP($C187,'CUSTOS REALIZADOS'!$A$11:$E$995,4),(VLOOKUP($C187,'CUSTOS REALIZADOS'!$A$11:$E$995,5)))</f>
        <v>0.24000000000000002</v>
      </c>
      <c r="G188" s="28">
        <f>IF(G187="",VLOOKUP($C187,'CUSTOS REALIZADOS'!$A$11:$E$995,4),(VLOOKUP($C187,'CUSTOS REALIZADOS'!$A$11:$E$995,5)))</f>
        <v>0.24000000000000002</v>
      </c>
      <c r="H188" s="28">
        <f>IF(H187="",VLOOKUP($C187,'CUSTOS REALIZADOS'!$A$11:$E$995,4),(VLOOKUP($C187,'CUSTOS REALIZADOS'!$A$11:$E$995,5)))</f>
        <v>0.24000000000000002</v>
      </c>
      <c r="I188" s="28">
        <f>IF(I187="",VLOOKUP($C187,'CUSTOS REALIZADOS'!$A$11:$E$995,4),(VLOOKUP($C187,'CUSTOS REALIZADOS'!$A$11:$E$995,5)))</f>
        <v>0.24000000000000002</v>
      </c>
      <c r="J188" s="28">
        <f>IF(J187="",VLOOKUP($C187,'CUSTOS REALIZADOS'!$A$11:$E$995,4),(VLOOKUP($C187,'CUSTOS REALIZADOS'!$A$11:$E$995,5)))</f>
        <v>0.24000000000000002</v>
      </c>
      <c r="K188" s="28">
        <f>IF(K187="",VLOOKUP($C187,'CUSTOS REALIZADOS'!$A$11:$E$995,4),(VLOOKUP($C187,'CUSTOS REALIZADOS'!$A$11:$E$995,5)))</f>
        <v>0.24000000000000002</v>
      </c>
      <c r="L188" s="28">
        <f>IF(L187="",VLOOKUP($C187,'CUSTOS REALIZADOS'!$A$11:$E$995,4),(VLOOKUP($C187,'CUSTOS REALIZADOS'!$A$11:$E$995,5)))</f>
        <v>0.24000000000000002</v>
      </c>
      <c r="M188" s="28">
        <f>IF(M187="",VLOOKUP($C187,'CUSTOS REALIZADOS'!$A$11:$E$995,4),(VLOOKUP($C187,'CUSTOS REALIZADOS'!$A$11:$E$995,5)))</f>
        <v>0.24000000000000002</v>
      </c>
      <c r="N188" s="28">
        <f>IF(N187="",VLOOKUP($C187,'CUSTOS REALIZADOS'!$A$11:$E$995,4),(VLOOKUP($C187,'CUSTOS REALIZADOS'!$A$11:$E$995,5)))</f>
        <v>0.24000000000000002</v>
      </c>
      <c r="O188" s="28">
        <f>IF(O187="",VLOOKUP($C187,'CUSTOS REALIZADOS'!$A$11:$E$995,4),(VLOOKUP($C187,'CUSTOS REALIZADOS'!$A$11:$E$995,5)))</f>
        <v>0.24000000000000002</v>
      </c>
      <c r="P188" s="28">
        <f>IF(P187="",VLOOKUP($C187,'CUSTOS REALIZADOS'!$A$11:$E$995,4),(VLOOKUP($C187,'CUSTOS REALIZADOS'!$A$11:$E$995,5)))</f>
        <v>0.24000000000000002</v>
      </c>
      <c r="Q188" s="28">
        <f>IF(Q187="",VLOOKUP($C187,'CUSTOS REALIZADOS'!$A$11:$E$995,4),(VLOOKUP($C187,'CUSTOS REALIZADOS'!$A$11:$E$995,5)))</f>
        <v>0.24000000000000002</v>
      </c>
      <c r="R188" s="28">
        <f>IF(R187="",VLOOKUP($C187,'CUSTOS REALIZADOS'!$A$11:$E$995,4),(VLOOKUP($C187,'CUSTOS REALIZADOS'!$A$11:$E$995,5)))</f>
        <v>0.24000000000000002</v>
      </c>
      <c r="S188" s="28">
        <f>IF(S187="",VLOOKUP($C187,'CUSTOS REALIZADOS'!$A$11:$E$995,4),(VLOOKUP($C187,'CUSTOS REALIZADOS'!$A$11:$E$995,5)))</f>
        <v>0.24000000000000002</v>
      </c>
      <c r="T188" s="28">
        <f>IF(T187="",VLOOKUP($C187,'CUSTOS REALIZADOS'!$A$11:$E$995,4),(VLOOKUP($C187,'CUSTOS REALIZADOS'!$A$11:$E$995,5)))</f>
        <v>0.24000000000000002</v>
      </c>
      <c r="U188" s="28">
        <f>IF(U187="",VLOOKUP($C187,'CUSTOS REALIZADOS'!$A$11:$E$995,4),(VLOOKUP($C187,'CUSTOS REALIZADOS'!$A$11:$E$995,5)))</f>
        <v>0.24000000000000002</v>
      </c>
      <c r="V188" s="28">
        <f>IF(V187="",VLOOKUP($C187,'CUSTOS REALIZADOS'!$A$11:$E$995,4),(VLOOKUP($C187,'CUSTOS REALIZADOS'!$A$11:$E$995,5)))</f>
        <v>0.24000000000000002</v>
      </c>
      <c r="W188" s="28">
        <f>IF(W187="",VLOOKUP($C187,'CUSTOS REALIZADOS'!$A$11:$E$995,4),(VLOOKUP($C187,'CUSTOS REALIZADOS'!$A$11:$E$995,5)))</f>
        <v>0.24000000000000002</v>
      </c>
      <c r="X188" s="28">
        <f>IF(X187="",VLOOKUP($C187,'CUSTOS REALIZADOS'!$A$11:$E$995,4),(VLOOKUP($C187,'CUSTOS REALIZADOS'!$A$11:$E$995,5)))</f>
        <v>0.24000000000000002</v>
      </c>
      <c r="Y188" s="28">
        <f>IF(Y187="",VLOOKUP($C187,'CUSTOS REALIZADOS'!$A$11:$E$995,4),(VLOOKUP($C187,'CUSTOS REALIZADOS'!$A$11:$E$995,5)))</f>
        <v>0.24000000000000002</v>
      </c>
      <c r="Z188" s="28">
        <f>IF(Z187="",VLOOKUP($C187,'CUSTOS REALIZADOS'!$A$11:$E$995,4),(VLOOKUP($C187,'CUSTOS REALIZADOS'!$A$11:$E$995,5)))</f>
        <v>0.24000000000000002</v>
      </c>
      <c r="AA188" s="28">
        <f>IF(AA187="",VLOOKUP($C187,'CUSTOS REALIZADOS'!$A$11:$E$995,4),(VLOOKUP($C187,'CUSTOS REALIZADOS'!$A$11:$E$995,5)))</f>
        <v>0.24000000000000002</v>
      </c>
      <c r="AB188" s="28">
        <f>IF(AB187="",VLOOKUP($C187,'CUSTOS REALIZADOS'!$A$11:$E$995,4),(VLOOKUP($C187,'CUSTOS REALIZADOS'!$A$11:$E$995,5)))</f>
        <v>0.24000000000000002</v>
      </c>
      <c r="AC188" s="28">
        <f>IF(AC187="",VLOOKUP($C187,'CUSTOS REALIZADOS'!$A$11:$E$995,4),(VLOOKUP($C187,'CUSTOS REALIZADOS'!$A$11:$E$995,5)))</f>
        <v>0.24000000000000002</v>
      </c>
      <c r="AD188" s="28">
        <f>IF(AD187="",VLOOKUP($C187,'CUSTOS REALIZADOS'!$A$11:$E$995,4),(VLOOKUP($C187,'CUSTOS REALIZADOS'!$A$11:$E$995,5)))</f>
        <v>0.24000000000000002</v>
      </c>
      <c r="AE188" s="28">
        <f>IF(AE187="",VLOOKUP($C187,'CUSTOS REALIZADOS'!$A$11:$E$995,4),(VLOOKUP($C187,'CUSTOS REALIZADOS'!$A$11:$E$995,5)))</f>
        <v>0.24000000000000002</v>
      </c>
      <c r="AF188" s="28">
        <f>IF(AF187="",VLOOKUP($C187,'CUSTOS REALIZADOS'!$A$11:$E$995,4),(VLOOKUP($C187,'CUSTOS REALIZADOS'!$A$11:$E$995,5)))</f>
        <v>0.24000000000000002</v>
      </c>
      <c r="AG188" s="28">
        <f>IF(AG187="",VLOOKUP($C187,'CUSTOS REALIZADOS'!$A$11:$E$995,4),(VLOOKUP($C187,'CUSTOS REALIZADOS'!$A$11:$E$995,5)))</f>
        <v>0.24000000000000002</v>
      </c>
      <c r="AH188" s="28">
        <f>IF(AH187="",VLOOKUP($C187,'CUSTOS REALIZADOS'!$A$11:$E$995,4),(VLOOKUP($C187,'CUSTOS REALIZADOS'!$A$11:$E$995,5)))</f>
        <v>0.24000000000000002</v>
      </c>
      <c r="AI188" s="28">
        <f>IF(AI187="",VLOOKUP($C187,'CUSTOS REALIZADOS'!$A$11:$E$995,4),(VLOOKUP($C187,'CUSTOS REALIZADOS'!$A$11:$E$995,5)))</f>
        <v>0.24000000000000002</v>
      </c>
      <c r="AJ188" s="28">
        <f>IF(AJ187="",VLOOKUP($C187,'CUSTOS REALIZADOS'!$A$11:$E$995,4),(VLOOKUP($C187,'CUSTOS REALIZADOS'!$A$11:$E$995,5)))</f>
        <v>0.24000000000000002</v>
      </c>
      <c r="AK188" s="28">
        <f>IF(AK187="",VLOOKUP($C187,'CUSTOS REALIZADOS'!$A$11:$E$995,4),(VLOOKUP($C187,'CUSTOS REALIZADOS'!$A$11:$E$995,5)))</f>
        <v>0.24000000000000002</v>
      </c>
      <c r="AL188" s="28">
        <f>IF(AL187="",VLOOKUP($C187,'CUSTOS REALIZADOS'!$A$11:$E$995,4),(VLOOKUP($C187,'CUSTOS REALIZADOS'!$A$11:$E$995,5)))</f>
        <v>0.24000000000000002</v>
      </c>
      <c r="AM188" s="28">
        <f>IF(AM187="",VLOOKUP($C187,'CUSTOS REALIZADOS'!$A$11:$E$995,4),(VLOOKUP($C187,'CUSTOS REALIZADOS'!$A$11:$E$995,5)))</f>
        <v>0.24000000000000002</v>
      </c>
      <c r="AN188" s="28">
        <f>IF(AN187="",VLOOKUP($C187,'CUSTOS REALIZADOS'!$A$11:$E$995,4),(VLOOKUP($C187,'CUSTOS REALIZADOS'!$A$11:$E$995,5)))</f>
        <v>0.24000000000000002</v>
      </c>
      <c r="AO188" s="28">
        <f>IF(AO187="",VLOOKUP($C187,'CUSTOS REALIZADOS'!$A$11:$E$995,4),(VLOOKUP($C187,'CUSTOS REALIZADOS'!$A$11:$E$995,5)))</f>
        <v>0.24000000000000002</v>
      </c>
      <c r="AP188" s="151">
        <f>IF(AP187="",VLOOKUP($C187,'CUSTOS REALIZADOS'!$A$11:$E$995,4),(VLOOKUP($C187,'CUSTOS REALIZADOS'!$A$11:$E$995,5)))</f>
        <v>0.24000000000000002</v>
      </c>
      <c r="AQ188" s="28">
        <f>IF(AQ187="",VLOOKUP($C187,'CUSTOS REALIZADOS'!$A$11:$E$995,4),(VLOOKUP($C187,'CUSTOS REALIZADOS'!$A$11:$E$995,5)))</f>
        <v>0.24000000000000002</v>
      </c>
      <c r="AR188" s="28">
        <f>IF(AR187="",VLOOKUP($C187,'CUSTOS REALIZADOS'!$A$11:$E$995,4),(VLOOKUP($C187,'CUSTOS REALIZADOS'!$A$11:$E$995,5)))</f>
        <v>0.24000000000000002</v>
      </c>
      <c r="AS188" s="28">
        <f>IF(AS187="",VLOOKUP($C187,'CUSTOS REALIZADOS'!$A$11:$E$995,4),(VLOOKUP($C187,'CUSTOS REALIZADOS'!$A$11:$E$995,5)))</f>
        <v>0.24000000000000002</v>
      </c>
      <c r="AT188" s="28">
        <f>IF(AT187="",VLOOKUP($C187,'CUSTOS REALIZADOS'!$A$11:$E$995,4),(VLOOKUP($C187,'CUSTOS REALIZADOS'!$A$11:$E$995,5)))</f>
        <v>0.24000000000000002</v>
      </c>
      <c r="AU188" s="28">
        <f>IF(AU187="",VLOOKUP($C187,'CUSTOS REALIZADOS'!$A$11:$E$995,4),(VLOOKUP($C187,'CUSTOS REALIZADOS'!$A$11:$E$995,5)))</f>
        <v>0.24000000000000002</v>
      </c>
      <c r="AV188" s="28">
        <f>IF(AV187="",VLOOKUP($C187,'CUSTOS REALIZADOS'!$A$11:$E$995,4),(VLOOKUP($C187,'CUSTOS REALIZADOS'!$A$11:$E$995,5)))</f>
        <v>0.24000000000000002</v>
      </c>
      <c r="AW188" s="28">
        <f>IF(AW187="",VLOOKUP($C187,'CUSTOS REALIZADOS'!$A$11:$E$995,4),(VLOOKUP($C187,'CUSTOS REALIZADOS'!$A$11:$E$995,5)))</f>
        <v>0.24000000000000002</v>
      </c>
      <c r="AX188" s="28">
        <f>IF(AX187="",VLOOKUP($C187,'CUSTOS REALIZADOS'!$A$11:$E$995,4),(VLOOKUP($C187,'CUSTOS REALIZADOS'!$A$11:$E$995,5)))</f>
        <v>0.24000000000000002</v>
      </c>
      <c r="AY188" s="28">
        <f>IF(AY187="",VLOOKUP($C187,'CUSTOS REALIZADOS'!$A$11:$E$995,4),(VLOOKUP($C187,'CUSTOS REALIZADOS'!$A$11:$E$995,5)))</f>
        <v>0.24000000000000002</v>
      </c>
      <c r="AZ188" s="28">
        <f>IF(AZ187="",VLOOKUP($C187,'CUSTOS REALIZADOS'!$A$11:$E$995,4),(VLOOKUP($C187,'CUSTOS REALIZADOS'!$A$11:$E$995,5)))</f>
        <v>0.24000000000000002</v>
      </c>
      <c r="BA188" s="28">
        <f>IF(BA187="",VLOOKUP($C187,'CUSTOS REALIZADOS'!$A$11:$E$995,4),(VLOOKUP($C187,'CUSTOS REALIZADOS'!$A$11:$E$995,5)))</f>
        <v>0.24000000000000002</v>
      </c>
      <c r="BB188" s="28">
        <f>IF(BB187="",VLOOKUP($C187,'CUSTOS REALIZADOS'!$A$11:$E$995,4),(VLOOKUP($C187,'CUSTOS REALIZADOS'!$A$11:$E$995,5)))</f>
        <v>0.24000000000000002</v>
      </c>
      <c r="BC188" s="28">
        <f>IF(BC187="",VLOOKUP($C187,'CUSTOS REALIZADOS'!$A$11:$E$995,4),(VLOOKUP($C187,'CUSTOS REALIZADOS'!$A$11:$E$995,5)))</f>
        <v>0.24000000000000002</v>
      </c>
      <c r="BD188" s="28">
        <f>IF(BD187="",VLOOKUP($C187,'CUSTOS REALIZADOS'!$A$11:$E$995,4),(VLOOKUP($C187,'CUSTOS REALIZADOS'!$A$11:$E$995,5)))</f>
        <v>0.24000000000000002</v>
      </c>
      <c r="BE188" s="28">
        <f>IF(BE187="",VLOOKUP($C187,'CUSTOS REALIZADOS'!$A$11:$E$995,4),(VLOOKUP($C187,'CUSTOS REALIZADOS'!$A$11:$E$995,5)))</f>
        <v>0.24000000000000002</v>
      </c>
      <c r="BF188" s="28">
        <f>IF(BF187="",VLOOKUP($C187,'CUSTOS REALIZADOS'!$A$11:$E$995,4),(VLOOKUP($C187,'CUSTOS REALIZADOS'!$A$11:$E$995,5)))</f>
        <v>0.24000000000000002</v>
      </c>
      <c r="BG188" s="28">
        <f>IF(BG187="",VLOOKUP($C187,'CUSTOS REALIZADOS'!$A$11:$E$995,4),(VLOOKUP($C187,'CUSTOS REALIZADOS'!$A$11:$E$995,5)))</f>
        <v>0.24000000000000002</v>
      </c>
      <c r="BH188" s="28">
        <f>IF(BH187="",VLOOKUP($C187,'CUSTOS REALIZADOS'!$A$11:$E$995,4),(VLOOKUP($C187,'CUSTOS REALIZADOS'!$A$11:$E$995,5)))</f>
        <v>0.24000000000000002</v>
      </c>
      <c r="BI188" s="28">
        <f>IF(BI187="",VLOOKUP($C187,'CUSTOS REALIZADOS'!$A$11:$E$995,4),(VLOOKUP($C187,'CUSTOS REALIZADOS'!$A$11:$E$995,5)))</f>
        <v>0.24000000000000002</v>
      </c>
      <c r="BJ188" s="28">
        <f>IF(BJ187="",VLOOKUP($C187,'CUSTOS REALIZADOS'!$A$11:$E$995,4),(VLOOKUP($C187,'CUSTOS REALIZADOS'!$A$11:$E$995,5)))</f>
        <v>0.24000000000000002</v>
      </c>
      <c r="BK188" s="28">
        <f>IF(BK187="",VLOOKUP($C187,'CUSTOS REALIZADOS'!$A$11:$E$995,4),(VLOOKUP($C187,'CUSTOS REALIZADOS'!$A$11:$E$995,5)))</f>
        <v>0.24000000000000002</v>
      </c>
      <c r="BL188" s="28">
        <f>IF(BL187="",VLOOKUP($C187,'CUSTOS REALIZADOS'!$A$11:$E$995,4),(VLOOKUP($C187,'CUSTOS REALIZADOS'!$A$11:$E$995,5)))</f>
        <v>0.24000000000000002</v>
      </c>
      <c r="BM188" s="28">
        <f>IF(BM187="",VLOOKUP($C187,'CUSTOS REALIZADOS'!$A$11:$E$995,4),(VLOOKUP($C187,'CUSTOS REALIZADOS'!$A$11:$E$995,5)))</f>
        <v>0.24000000000000002</v>
      </c>
      <c r="BN188" s="28">
        <f>IF(BN187="",VLOOKUP($C187,'CUSTOS REALIZADOS'!$A$11:$E$995,4),(VLOOKUP($C187,'CUSTOS REALIZADOS'!$A$11:$E$995,5)))</f>
        <v>0.24000000000000002</v>
      </c>
    </row>
    <row r="189" spans="3:82" x14ac:dyDescent="0.2">
      <c r="C189" s="322"/>
      <c r="D189" s="23" t="s">
        <v>6</v>
      </c>
      <c r="E189" s="27">
        <f>SUM(F189:BN189)</f>
        <v>95000</v>
      </c>
      <c r="F189" s="23">
        <f>IF(AND($C187&gt;=F$6,OR($C187&lt;F$8,F$8="")),F$7*F$28,0)</f>
        <v>0</v>
      </c>
      <c r="G189" s="23">
        <f t="shared" ref="G189:BN189" si="1420">IF(AND($C187&gt;=G$6,OR($C187&lt;G$8,G$8="")),G$7*G$28,0)</f>
        <v>45000</v>
      </c>
      <c r="H189" s="23">
        <f t="shared" si="1420"/>
        <v>50000</v>
      </c>
      <c r="I189" s="23">
        <f t="shared" si="1420"/>
        <v>0</v>
      </c>
      <c r="J189" s="23">
        <f t="shared" si="1420"/>
        <v>0</v>
      </c>
      <c r="K189" s="23">
        <f t="shared" si="1420"/>
        <v>0</v>
      </c>
      <c r="L189" s="23">
        <f t="shared" si="1420"/>
        <v>0</v>
      </c>
      <c r="M189" s="23">
        <f t="shared" si="1420"/>
        <v>0</v>
      </c>
      <c r="N189" s="23">
        <f t="shared" si="1420"/>
        <v>0</v>
      </c>
      <c r="O189" s="23">
        <f t="shared" si="1420"/>
        <v>0</v>
      </c>
      <c r="P189" s="23">
        <f t="shared" si="1420"/>
        <v>0</v>
      </c>
      <c r="Q189" s="23">
        <f t="shared" si="1420"/>
        <v>0</v>
      </c>
      <c r="R189" s="23">
        <f t="shared" si="1420"/>
        <v>0</v>
      </c>
      <c r="S189" s="23">
        <f t="shared" si="1420"/>
        <v>0</v>
      </c>
      <c r="T189" s="23">
        <f t="shared" si="1420"/>
        <v>0</v>
      </c>
      <c r="U189" s="23">
        <f t="shared" si="1420"/>
        <v>0</v>
      </c>
      <c r="V189" s="23">
        <f t="shared" si="1420"/>
        <v>0</v>
      </c>
      <c r="W189" s="23">
        <f t="shared" si="1420"/>
        <v>0</v>
      </c>
      <c r="X189" s="23">
        <f t="shared" si="1420"/>
        <v>0</v>
      </c>
      <c r="Y189" s="23">
        <f t="shared" si="1420"/>
        <v>0</v>
      </c>
      <c r="Z189" s="23">
        <f t="shared" si="1420"/>
        <v>0</v>
      </c>
      <c r="AA189" s="23">
        <f t="shared" si="1420"/>
        <v>0</v>
      </c>
      <c r="AB189" s="23">
        <f t="shared" si="1420"/>
        <v>0</v>
      </c>
      <c r="AC189" s="23">
        <f t="shared" si="1420"/>
        <v>0</v>
      </c>
      <c r="AD189" s="23">
        <f t="shared" si="1420"/>
        <v>0</v>
      </c>
      <c r="AE189" s="23">
        <f t="shared" si="1420"/>
        <v>0</v>
      </c>
      <c r="AF189" s="23">
        <f t="shared" si="1420"/>
        <v>0</v>
      </c>
      <c r="AG189" s="23">
        <f t="shared" si="1420"/>
        <v>0</v>
      </c>
      <c r="AH189" s="23">
        <f t="shared" si="1420"/>
        <v>0</v>
      </c>
      <c r="AI189" s="23">
        <f t="shared" si="1420"/>
        <v>0</v>
      </c>
      <c r="AJ189" s="23">
        <f t="shared" si="1420"/>
        <v>0</v>
      </c>
      <c r="AK189" s="23">
        <f t="shared" si="1420"/>
        <v>0</v>
      </c>
      <c r="AL189" s="23">
        <f t="shared" si="1420"/>
        <v>0</v>
      </c>
      <c r="AM189" s="23">
        <f t="shared" si="1420"/>
        <v>0</v>
      </c>
      <c r="AN189" s="23">
        <f t="shared" si="1420"/>
        <v>0</v>
      </c>
      <c r="AO189" s="23">
        <f t="shared" si="1420"/>
        <v>0</v>
      </c>
      <c r="AP189" s="23">
        <f t="shared" si="1420"/>
        <v>0</v>
      </c>
      <c r="AQ189" s="23">
        <f t="shared" si="1420"/>
        <v>0</v>
      </c>
      <c r="AR189" s="23">
        <f t="shared" si="1420"/>
        <v>0</v>
      </c>
      <c r="AS189" s="23">
        <f t="shared" si="1420"/>
        <v>0</v>
      </c>
      <c r="AT189" s="23">
        <f t="shared" si="1420"/>
        <v>0</v>
      </c>
      <c r="AU189" s="23">
        <f t="shared" si="1420"/>
        <v>0</v>
      </c>
      <c r="AV189" s="23">
        <f t="shared" si="1420"/>
        <v>0</v>
      </c>
      <c r="AW189" s="23">
        <f t="shared" si="1420"/>
        <v>0</v>
      </c>
      <c r="AX189" s="23">
        <f t="shared" si="1420"/>
        <v>0</v>
      </c>
      <c r="AY189" s="23">
        <f t="shared" si="1420"/>
        <v>0</v>
      </c>
      <c r="AZ189" s="23">
        <f t="shared" si="1420"/>
        <v>0</v>
      </c>
      <c r="BA189" s="23">
        <f t="shared" si="1420"/>
        <v>0</v>
      </c>
      <c r="BB189" s="23">
        <f t="shared" si="1420"/>
        <v>0</v>
      </c>
      <c r="BC189" s="23">
        <f t="shared" si="1420"/>
        <v>0</v>
      </c>
      <c r="BD189" s="23">
        <f t="shared" si="1420"/>
        <v>0</v>
      </c>
      <c r="BE189" s="23">
        <f t="shared" si="1420"/>
        <v>0</v>
      </c>
      <c r="BF189" s="23">
        <f t="shared" si="1420"/>
        <v>0</v>
      </c>
      <c r="BG189" s="23">
        <f t="shared" si="1420"/>
        <v>0</v>
      </c>
      <c r="BH189" s="23">
        <f t="shared" si="1420"/>
        <v>0</v>
      </c>
      <c r="BI189" s="23">
        <f t="shared" si="1420"/>
        <v>0</v>
      </c>
      <c r="BJ189" s="23">
        <f t="shared" si="1420"/>
        <v>0</v>
      </c>
      <c r="BK189" s="23">
        <f t="shared" si="1420"/>
        <v>0</v>
      </c>
      <c r="BL189" s="23">
        <f t="shared" si="1420"/>
        <v>0</v>
      </c>
      <c r="BM189" s="23">
        <f t="shared" si="1420"/>
        <v>0</v>
      </c>
      <c r="BN189" s="23">
        <f t="shared" si="1420"/>
        <v>0</v>
      </c>
      <c r="BO189" s="65"/>
      <c r="BP189" s="65"/>
      <c r="BQ189" s="65"/>
      <c r="BR189" s="65"/>
      <c r="BS189" s="65"/>
      <c r="BT189" s="65"/>
      <c r="BU189" s="65"/>
      <c r="BV189" s="65"/>
      <c r="BW189" s="65"/>
      <c r="BX189" s="65"/>
      <c r="BY189" s="65"/>
    </row>
    <row r="190" spans="3:82" x14ac:dyDescent="0.2">
      <c r="C190" s="322"/>
      <c r="D190" s="23" t="s">
        <v>9</v>
      </c>
      <c r="E190" s="225">
        <f>SUM(F190:BN190)</f>
        <v>0</v>
      </c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2"/>
    </row>
    <row r="191" spans="3:82" x14ac:dyDescent="0.2">
      <c r="C191" s="322"/>
      <c r="D191" s="23" t="s">
        <v>14</v>
      </c>
      <c r="E191" s="27">
        <f>SUM(F191:AY191)</f>
        <v>943827.87001227052</v>
      </c>
      <c r="F191" s="23">
        <f>IF(F186=0,F187-F190,F186-F190)</f>
        <v>-165.61289173754525</v>
      </c>
      <c r="G191" s="23">
        <f t="shared" ref="G191" si="1421">IF(G186=0,G187-G190,G186-G190)</f>
        <v>447154.80769137235</v>
      </c>
      <c r="H191" s="23">
        <f t="shared" ref="H191" si="1422">IF(H186=0,H187-H190,H186-H190)</f>
        <v>496838.67521263578</v>
      </c>
      <c r="I191" s="23">
        <f t="shared" ref="I191" si="1423">IF(I186=0,I187-I190,I186-I190)</f>
        <v>0</v>
      </c>
      <c r="J191" s="23">
        <f t="shared" ref="J191" si="1424">IF(J186=0,J187-J190,J186-J190)</f>
        <v>0</v>
      </c>
      <c r="K191" s="23">
        <f t="shared" ref="K191" si="1425">IF(K186=0,K187-K190,K186-K190)</f>
        <v>0</v>
      </c>
      <c r="L191" s="23">
        <f t="shared" ref="L191" si="1426">IF(L186=0,L187-L190,L186-L190)</f>
        <v>0</v>
      </c>
      <c r="M191" s="23">
        <f t="shared" ref="M191" si="1427">IF(M186=0,M187-M190,M186-M190)</f>
        <v>0</v>
      </c>
      <c r="N191" s="23">
        <f t="shared" ref="N191" si="1428">IF(N186=0,N187-N190,N186-N190)</f>
        <v>0</v>
      </c>
      <c r="O191" s="23">
        <f t="shared" ref="O191" si="1429">IF(O186=0,O187-O190,O186-O190)</f>
        <v>0</v>
      </c>
      <c r="P191" s="23">
        <f t="shared" ref="P191" si="1430">IF(P186=0,P187-P190,P186-P190)</f>
        <v>0</v>
      </c>
      <c r="Q191" s="23">
        <f t="shared" ref="Q191" si="1431">IF(Q186=0,Q187-Q190,Q186-Q190)</f>
        <v>0</v>
      </c>
      <c r="R191" s="23">
        <f t="shared" ref="R191" si="1432">IF(R186=0,R187-R190,R186-R190)</f>
        <v>0</v>
      </c>
      <c r="S191" s="23">
        <f t="shared" ref="S191" si="1433">IF(S186=0,S187-S190,S186-S190)</f>
        <v>0</v>
      </c>
      <c r="T191" s="23">
        <f t="shared" ref="T191" si="1434">IF(T186=0,T187-T190,T186-T190)</f>
        <v>0</v>
      </c>
      <c r="U191" s="23">
        <f t="shared" ref="U191" si="1435">IF(U186=0,U187-U190,U186-U190)</f>
        <v>0</v>
      </c>
      <c r="V191" s="23">
        <f t="shared" ref="V191" si="1436">IF(V186=0,V187-V190,V186-V190)</f>
        <v>0</v>
      </c>
      <c r="W191" s="23">
        <f t="shared" ref="W191" si="1437">IF(W186=0,W187-W190,W186-W190)</f>
        <v>0</v>
      </c>
      <c r="X191" s="23">
        <f t="shared" ref="X191" si="1438">IF(X186=0,X187-X190,X186-X190)</f>
        <v>0</v>
      </c>
      <c r="Y191" s="23">
        <f t="shared" ref="Y191" si="1439">IF(Y186=0,Y187-Y190,Y186-Y190)</f>
        <v>0</v>
      </c>
      <c r="Z191" s="23">
        <f t="shared" ref="Z191" si="1440">IF(Z186=0,Z187-Z190,Z186-Z190)</f>
        <v>0</v>
      </c>
      <c r="AA191" s="23">
        <f t="shared" ref="AA191" si="1441">IF(AA186=0,AA187-AA190,AA186-AA190)</f>
        <v>0</v>
      </c>
      <c r="AB191" s="23">
        <f t="shared" ref="AB191" si="1442">IF(AB186=0,AB187-AB190,AB186-AB190)</f>
        <v>0</v>
      </c>
      <c r="AC191" s="23">
        <f t="shared" ref="AC191" si="1443">IF(AC186=0,AC187-AC190,AC186-AC190)</f>
        <v>0</v>
      </c>
      <c r="AD191" s="23">
        <f t="shared" ref="AD191" si="1444">IF(AD186=0,AD187-AD190,AD186-AD190)</f>
        <v>0</v>
      </c>
      <c r="AE191" s="23">
        <f t="shared" ref="AE191" si="1445">IF(AE186=0,AE187-AE190,AE186-AE190)</f>
        <v>0</v>
      </c>
      <c r="AF191" s="23">
        <f t="shared" ref="AF191" si="1446">IF(AF186=0,AF187-AF190,AF186-AF190)</f>
        <v>0</v>
      </c>
      <c r="AG191" s="23">
        <f t="shared" ref="AG191" si="1447">IF(AG186=0,AG187-AG190,AG186-AG190)</f>
        <v>0</v>
      </c>
      <c r="AH191" s="23">
        <f t="shared" ref="AH191" si="1448">IF(AH186=0,AH187-AH190,AH186-AH190)</f>
        <v>0</v>
      </c>
      <c r="AI191" s="23">
        <f t="shared" ref="AI191" si="1449">IF(AI186=0,AI187-AI190,AI186-AI190)</f>
        <v>0</v>
      </c>
      <c r="AJ191" s="23">
        <f t="shared" ref="AJ191" si="1450">IF(AJ186=0,AJ187-AJ190,AJ186-AJ190)</f>
        <v>0</v>
      </c>
      <c r="AK191" s="23">
        <f t="shared" ref="AK191" si="1451">IF(AK186=0,AK187-AK190,AK186-AK190)</f>
        <v>0</v>
      </c>
      <c r="AL191" s="23">
        <f t="shared" ref="AL191" si="1452">IF(AL186=0,AL187-AL190,AL186-AL190)</f>
        <v>0</v>
      </c>
      <c r="AM191" s="23">
        <f t="shared" ref="AM191" si="1453">IF(AM186=0,AM187-AM190,AM186-AM190)</f>
        <v>0</v>
      </c>
      <c r="AN191" s="23">
        <f t="shared" ref="AN191" si="1454">IF(AN186=0,AN187-AN190,AN186-AN190)</f>
        <v>0</v>
      </c>
      <c r="AO191" s="23">
        <f t="shared" ref="AO191" si="1455">IF(AO186=0,AO187-AO190,AO186-AO190)</f>
        <v>0</v>
      </c>
      <c r="AP191" s="23">
        <f t="shared" ref="AP191" si="1456">IF(AP186=0,AP187-AP190,AP186-AP190)</f>
        <v>0</v>
      </c>
      <c r="AQ191" s="23">
        <f t="shared" ref="AQ191" si="1457">IF(AQ186=0,AQ187-AQ190,AQ186-AQ190)</f>
        <v>0</v>
      </c>
      <c r="AR191" s="23">
        <f t="shared" ref="AR191" si="1458">IF(AR186=0,AR187-AR190,AR186-AR190)</f>
        <v>0</v>
      </c>
      <c r="AS191" s="23">
        <f t="shared" ref="AS191" si="1459">IF(AS186=0,AS187-AS190,AS186-AS190)</f>
        <v>0</v>
      </c>
      <c r="AT191" s="23">
        <f t="shared" ref="AT191" si="1460">IF(AT186=0,AT187-AT190,AT186-AT190)</f>
        <v>0</v>
      </c>
      <c r="AU191" s="23">
        <f t="shared" ref="AU191" si="1461">IF(AU186=0,AU187-AU190,AU186-AU190)</f>
        <v>0</v>
      </c>
      <c r="AV191" s="23">
        <f t="shared" ref="AV191" si="1462">IF(AV186=0,AV187-AV190,AV186-AV190)</f>
        <v>0</v>
      </c>
      <c r="AW191" s="23">
        <f t="shared" ref="AW191" si="1463">IF(AW186=0,AW187-AW190,AW186-AW190)</f>
        <v>0</v>
      </c>
      <c r="AX191" s="23">
        <f t="shared" ref="AX191" si="1464">IF(AX186=0,AX187-AX190,AX186-AX190)</f>
        <v>0</v>
      </c>
      <c r="AY191" s="23">
        <f t="shared" ref="AY191" si="1465">IF(AY186=0,AY187-AY190,AY186-AY190)</f>
        <v>0</v>
      </c>
      <c r="AZ191" s="23">
        <f t="shared" ref="AZ191" si="1466">IF(AZ186=0,AZ187-AZ190,AZ186-AZ190)</f>
        <v>0</v>
      </c>
      <c r="BA191" s="23">
        <f t="shared" ref="BA191" si="1467">IF(BA186=0,BA187-BA190,BA186-BA190)</f>
        <v>0</v>
      </c>
      <c r="BB191" s="23">
        <f t="shared" ref="BB191" si="1468">IF(BB186=0,BB187-BB190,BB186-BB190)</f>
        <v>0</v>
      </c>
      <c r="BC191" s="23">
        <f t="shared" ref="BC191" si="1469">IF(BC186=0,BC187-BC190,BC186-BC190)</f>
        <v>0</v>
      </c>
      <c r="BD191" s="23">
        <f t="shared" ref="BD191" si="1470">IF(BD186=0,BD187-BD190,BD186-BD190)</f>
        <v>0</v>
      </c>
      <c r="BE191" s="23">
        <f t="shared" ref="BE191" si="1471">IF(BE186=0,BE187-BE190,BE186-BE190)</f>
        <v>0</v>
      </c>
      <c r="BF191" s="23">
        <f t="shared" ref="BF191" si="1472">IF(BF186=0,BF187-BF190,BF186-BF190)</f>
        <v>0</v>
      </c>
      <c r="BG191" s="23">
        <f t="shared" ref="BG191" si="1473">IF(BG186=0,BG187-BG190,BG186-BG190)</f>
        <v>0</v>
      </c>
      <c r="BH191" s="23">
        <f t="shared" ref="BH191" si="1474">IF(BH186=0,BH187-BH190,BH186-BH190)</f>
        <v>0</v>
      </c>
      <c r="BI191" s="23">
        <f t="shared" ref="BI191" si="1475">IF(BI186=0,BI187-BI190,BI186-BI190)</f>
        <v>0</v>
      </c>
      <c r="BJ191" s="23">
        <f t="shared" ref="BJ191" si="1476">IF(BJ186=0,BJ187-BJ190,BJ186-BJ190)</f>
        <v>0</v>
      </c>
      <c r="BK191" s="23">
        <f t="shared" ref="BK191" si="1477">IF(BK186=0,BK187-BK190,BK186-BK190)</f>
        <v>0</v>
      </c>
      <c r="BL191" s="23">
        <f t="shared" ref="BL191" si="1478">IF(BL186=0,BL187-BL190,BL186-BL190)</f>
        <v>0</v>
      </c>
      <c r="BM191" s="23">
        <f t="shared" ref="BM191" si="1479">IF(BM186=0,BM187-BM190,BM186-BM190)</f>
        <v>0</v>
      </c>
      <c r="BN191" s="23">
        <f t="shared" ref="BN191" si="1480">IF(BN186=0,BN187-BN190,BN186-BN190)</f>
        <v>0</v>
      </c>
    </row>
    <row r="192" spans="3:82" x14ac:dyDescent="0.2">
      <c r="C192" s="322"/>
      <c r="D192" s="23" t="s">
        <v>10</v>
      </c>
      <c r="E192" s="72">
        <v>7.0000000000000001E-3</v>
      </c>
      <c r="F192" s="54">
        <v>7.0000000000000001E-3</v>
      </c>
      <c r="G192" s="54">
        <v>7.0000000000000001E-3</v>
      </c>
      <c r="H192" s="54">
        <v>7.0000000000000001E-3</v>
      </c>
      <c r="I192" s="54">
        <v>7.0000000000000001E-3</v>
      </c>
      <c r="J192" s="54">
        <v>7.0000000000000001E-3</v>
      </c>
      <c r="K192" s="54">
        <v>7.0000000000000001E-3</v>
      </c>
      <c r="L192" s="54">
        <v>7.0000000000000001E-3</v>
      </c>
      <c r="M192" s="54">
        <v>7.0000000000000001E-3</v>
      </c>
      <c r="N192" s="54">
        <v>7.0000000000000001E-3</v>
      </c>
      <c r="O192" s="54">
        <v>7.0000000000000001E-3</v>
      </c>
      <c r="P192" s="54">
        <v>7.0000000000000001E-3</v>
      </c>
      <c r="Q192" s="54">
        <v>7.0000000000000001E-3</v>
      </c>
      <c r="R192" s="54">
        <v>7.0000000000000001E-3</v>
      </c>
      <c r="S192" s="54">
        <v>7.0000000000000001E-3</v>
      </c>
      <c r="T192" s="54">
        <v>7.0000000000000001E-3</v>
      </c>
      <c r="U192" s="54">
        <v>7.0000000000000001E-3</v>
      </c>
      <c r="V192" s="54">
        <v>7.0000000000000001E-3</v>
      </c>
      <c r="W192" s="54">
        <v>7.0000000000000001E-3</v>
      </c>
      <c r="X192" s="54">
        <v>7.0000000000000001E-3</v>
      </c>
      <c r="Y192" s="54">
        <v>7.0000000000000001E-3</v>
      </c>
      <c r="Z192" s="54">
        <v>7.0000000000000001E-3</v>
      </c>
      <c r="AA192" s="54">
        <v>7.0000000000000001E-3</v>
      </c>
      <c r="AB192" s="54">
        <v>7.0000000000000001E-3</v>
      </c>
      <c r="AC192" s="54">
        <v>7.0000000000000001E-3</v>
      </c>
      <c r="AD192" s="54">
        <v>7.0000000000000001E-3</v>
      </c>
      <c r="AE192" s="54">
        <v>7.0000000000000001E-3</v>
      </c>
      <c r="AF192" s="54">
        <v>7.0000000000000001E-3</v>
      </c>
      <c r="AG192" s="54">
        <v>7.0000000000000001E-3</v>
      </c>
      <c r="AH192" s="54">
        <v>7.0000000000000001E-3</v>
      </c>
      <c r="AI192" s="54">
        <v>7.0000000000000001E-3</v>
      </c>
      <c r="AJ192" s="54">
        <v>7.0000000000000001E-3</v>
      </c>
      <c r="AK192" s="54">
        <v>7.0000000000000001E-3</v>
      </c>
      <c r="AL192" s="54">
        <v>7.0000000000000001E-3</v>
      </c>
      <c r="AM192" s="54">
        <v>7.0000000000000001E-3</v>
      </c>
      <c r="AN192" s="54">
        <v>7.0000000000000001E-3</v>
      </c>
      <c r="AO192" s="54">
        <v>7.0000000000000001E-3</v>
      </c>
      <c r="AP192" s="54">
        <v>7.0000000000000001E-3</v>
      </c>
      <c r="AQ192" s="54">
        <v>7.0000000000000001E-3</v>
      </c>
      <c r="AR192" s="54">
        <v>7.0000000000000001E-3</v>
      </c>
      <c r="AS192" s="54">
        <v>7.0000000000000001E-3</v>
      </c>
      <c r="AT192" s="54">
        <v>7.0000000000000001E-3</v>
      </c>
      <c r="AU192" s="54">
        <v>7.0000000000000001E-3</v>
      </c>
      <c r="AV192" s="54">
        <v>7.0000000000000001E-3</v>
      </c>
      <c r="AW192" s="54">
        <v>7.0000000000000001E-3</v>
      </c>
      <c r="AX192" s="54">
        <v>7.0000000000000001E-3</v>
      </c>
      <c r="AY192" s="54">
        <v>7.0000000000000001E-3</v>
      </c>
      <c r="AZ192" s="54">
        <v>7.0000000000000001E-3</v>
      </c>
      <c r="BA192" s="54">
        <v>7.0000000000000001E-3</v>
      </c>
      <c r="BB192" s="54">
        <v>7.0000000000000001E-3</v>
      </c>
      <c r="BC192" s="54">
        <v>7.0000000000000001E-3</v>
      </c>
      <c r="BD192" s="54">
        <v>7.0000000000000001E-3</v>
      </c>
      <c r="BE192" s="54">
        <v>7.0000000000000001E-3</v>
      </c>
      <c r="BF192" s="54">
        <v>7.0000000000000001E-3</v>
      </c>
      <c r="BG192" s="54">
        <v>7.0000000000000001E-3</v>
      </c>
      <c r="BH192" s="54">
        <v>7.0000000000000001E-3</v>
      </c>
      <c r="BI192" s="54">
        <v>7.0000000000000001E-3</v>
      </c>
      <c r="BJ192" s="54">
        <v>7.0000000000000001E-3</v>
      </c>
      <c r="BK192" s="54">
        <v>7.0000000000000001E-3</v>
      </c>
      <c r="BL192" s="54">
        <v>7.0000000000000001E-3</v>
      </c>
      <c r="BM192" s="54">
        <v>7.0000000000000001E-3</v>
      </c>
      <c r="BN192" s="54">
        <v>7.0000000000000001E-3</v>
      </c>
    </row>
    <row r="193" spans="3:66" x14ac:dyDescent="0.2">
      <c r="C193" s="322"/>
      <c r="D193" s="23" t="s">
        <v>12</v>
      </c>
      <c r="E193" s="27">
        <f>SUM(F193:AY193)</f>
        <v>6606.7950900858941</v>
      </c>
      <c r="F193" s="29">
        <f>+F191*F192</f>
        <v>-1.1592902421628168</v>
      </c>
      <c r="G193" s="29">
        <f>+G191*G192</f>
        <v>3130.0836538396065</v>
      </c>
      <c r="H193" s="29">
        <f>+H191*H192</f>
        <v>3477.8707264884506</v>
      </c>
      <c r="I193" s="29">
        <f t="shared" ref="I193:O193" si="1481">+I191*I192</f>
        <v>0</v>
      </c>
      <c r="J193" s="29">
        <f t="shared" si="1481"/>
        <v>0</v>
      </c>
      <c r="K193" s="29">
        <f t="shared" si="1481"/>
        <v>0</v>
      </c>
      <c r="L193" s="29">
        <f t="shared" si="1481"/>
        <v>0</v>
      </c>
      <c r="M193" s="29">
        <f t="shared" si="1481"/>
        <v>0</v>
      </c>
      <c r="N193" s="29">
        <f t="shared" si="1481"/>
        <v>0</v>
      </c>
      <c r="O193" s="29">
        <f t="shared" si="1481"/>
        <v>0</v>
      </c>
      <c r="P193" s="29">
        <f>+P191*P192</f>
        <v>0</v>
      </c>
      <c r="Q193" s="29">
        <f t="shared" ref="Q193:S193" si="1482">+Q191*Q192</f>
        <v>0</v>
      </c>
      <c r="R193" s="29">
        <f t="shared" si="1482"/>
        <v>0</v>
      </c>
      <c r="S193" s="29">
        <f t="shared" si="1482"/>
        <v>0</v>
      </c>
      <c r="T193" s="29">
        <f t="shared" ref="T193" si="1483">+T191*T192</f>
        <v>0</v>
      </c>
      <c r="U193" s="29">
        <f>+U191*U192</f>
        <v>0</v>
      </c>
      <c r="V193" s="29">
        <f t="shared" ref="V193:X193" si="1484">+V191*V192</f>
        <v>0</v>
      </c>
      <c r="W193" s="29">
        <f t="shared" si="1484"/>
        <v>0</v>
      </c>
      <c r="X193" s="29">
        <f t="shared" si="1484"/>
        <v>0</v>
      </c>
      <c r="Y193" s="29">
        <f>+Y191*Y192</f>
        <v>0</v>
      </c>
      <c r="Z193" s="29">
        <f>+Z191*Z192</f>
        <v>0</v>
      </c>
      <c r="AA193" s="29">
        <f>+AA191*AA192</f>
        <v>0</v>
      </c>
      <c r="AB193" s="29">
        <f t="shared" ref="AB193:AD193" si="1485">+AB191*AB192</f>
        <v>0</v>
      </c>
      <c r="AC193" s="29">
        <f t="shared" si="1485"/>
        <v>0</v>
      </c>
      <c r="AD193" s="29">
        <f t="shared" si="1485"/>
        <v>0</v>
      </c>
      <c r="AE193" s="29">
        <v>0</v>
      </c>
      <c r="AF193" s="29">
        <f>+AF191*AF192</f>
        <v>0</v>
      </c>
      <c r="AG193" s="29">
        <f t="shared" ref="AG193:AP193" si="1486">+AG191*AG192</f>
        <v>0</v>
      </c>
      <c r="AH193" s="29">
        <f t="shared" si="1486"/>
        <v>0</v>
      </c>
      <c r="AI193" s="29">
        <f t="shared" si="1486"/>
        <v>0</v>
      </c>
      <c r="AJ193" s="29">
        <f t="shared" si="1486"/>
        <v>0</v>
      </c>
      <c r="AK193" s="29">
        <f t="shared" si="1486"/>
        <v>0</v>
      </c>
      <c r="AL193" s="29">
        <f t="shared" si="1486"/>
        <v>0</v>
      </c>
      <c r="AM193" s="29">
        <f t="shared" si="1486"/>
        <v>0</v>
      </c>
      <c r="AN193" s="29">
        <f t="shared" si="1486"/>
        <v>0</v>
      </c>
      <c r="AO193" s="29">
        <f t="shared" si="1486"/>
        <v>0</v>
      </c>
      <c r="AP193" s="29">
        <f t="shared" si="1486"/>
        <v>0</v>
      </c>
      <c r="AQ193" s="29">
        <f>+AQ191*AQ192</f>
        <v>0</v>
      </c>
      <c r="AR193" s="29">
        <f>+AR191*AR192</f>
        <v>0</v>
      </c>
      <c r="AS193" s="29">
        <f t="shared" ref="AS193:AU193" si="1487">+AS191*AS192</f>
        <v>0</v>
      </c>
      <c r="AT193" s="29">
        <f t="shared" si="1487"/>
        <v>0</v>
      </c>
      <c r="AU193" s="29">
        <f t="shared" si="1487"/>
        <v>0</v>
      </c>
      <c r="AV193" s="29">
        <v>0</v>
      </c>
      <c r="AW193" s="29">
        <f t="shared" ref="AW193:AX193" si="1488">+AW191*AW192</f>
        <v>0</v>
      </c>
      <c r="AX193" s="29">
        <f t="shared" si="1488"/>
        <v>0</v>
      </c>
      <c r="AY193" s="29">
        <f>+AY191*AY192</f>
        <v>0</v>
      </c>
      <c r="AZ193" s="29">
        <f t="shared" ref="AZ193:BN193" si="1489">+AZ191*AZ192</f>
        <v>0</v>
      </c>
      <c r="BA193" s="29">
        <f t="shared" si="1489"/>
        <v>0</v>
      </c>
      <c r="BB193" s="29">
        <v>0</v>
      </c>
      <c r="BC193" s="29">
        <f t="shared" si="1489"/>
        <v>0</v>
      </c>
      <c r="BD193" s="29">
        <f t="shared" si="1489"/>
        <v>0</v>
      </c>
      <c r="BE193" s="29">
        <f t="shared" si="1489"/>
        <v>0</v>
      </c>
      <c r="BF193" s="29">
        <f t="shared" si="1489"/>
        <v>0</v>
      </c>
      <c r="BG193" s="29">
        <f t="shared" si="1489"/>
        <v>0</v>
      </c>
      <c r="BH193" s="29">
        <f t="shared" si="1489"/>
        <v>0</v>
      </c>
      <c r="BI193" s="29">
        <f t="shared" si="1489"/>
        <v>0</v>
      </c>
      <c r="BJ193" s="29">
        <f t="shared" si="1489"/>
        <v>0</v>
      </c>
      <c r="BK193" s="29">
        <f t="shared" si="1489"/>
        <v>0</v>
      </c>
      <c r="BL193" s="29">
        <f t="shared" si="1489"/>
        <v>0</v>
      </c>
      <c r="BM193" s="29">
        <f t="shared" si="1489"/>
        <v>0</v>
      </c>
      <c r="BN193" s="29">
        <f t="shared" si="1489"/>
        <v>0</v>
      </c>
    </row>
    <row r="194" spans="3:66" ht="13.5" thickBot="1" x14ac:dyDescent="0.25">
      <c r="C194" s="323"/>
      <c r="D194" s="25" t="s">
        <v>11</v>
      </c>
      <c r="E194" s="30">
        <f>SUM(F194:BN194)</f>
        <v>950434.66510235646</v>
      </c>
      <c r="F194" s="46">
        <f>+F191+F193</f>
        <v>-166.77218197970808</v>
      </c>
      <c r="G194" s="46">
        <f>+G191+G193</f>
        <v>450284.89134521195</v>
      </c>
      <c r="H194" s="46">
        <f>+H191+H193</f>
        <v>500316.54593912425</v>
      </c>
      <c r="I194" s="46">
        <f t="shared" ref="I194:AU194" si="1490">+I191+I193</f>
        <v>0</v>
      </c>
      <c r="J194" s="46">
        <f t="shared" si="1490"/>
        <v>0</v>
      </c>
      <c r="K194" s="46">
        <f t="shared" si="1490"/>
        <v>0</v>
      </c>
      <c r="L194" s="46">
        <f t="shared" si="1490"/>
        <v>0</v>
      </c>
      <c r="M194" s="46">
        <f t="shared" si="1490"/>
        <v>0</v>
      </c>
      <c r="N194" s="46">
        <f t="shared" si="1490"/>
        <v>0</v>
      </c>
      <c r="O194" s="46">
        <f t="shared" si="1490"/>
        <v>0</v>
      </c>
      <c r="P194" s="46">
        <f t="shared" si="1490"/>
        <v>0</v>
      </c>
      <c r="Q194" s="46">
        <f t="shared" si="1490"/>
        <v>0</v>
      </c>
      <c r="R194" s="46">
        <f t="shared" si="1490"/>
        <v>0</v>
      </c>
      <c r="S194" s="46">
        <f t="shared" si="1490"/>
        <v>0</v>
      </c>
      <c r="T194" s="46">
        <f t="shared" si="1490"/>
        <v>0</v>
      </c>
      <c r="U194" s="46">
        <f t="shared" si="1490"/>
        <v>0</v>
      </c>
      <c r="V194" s="46">
        <f t="shared" si="1490"/>
        <v>0</v>
      </c>
      <c r="W194" s="46">
        <f t="shared" si="1490"/>
        <v>0</v>
      </c>
      <c r="X194" s="46">
        <f t="shared" si="1490"/>
        <v>0</v>
      </c>
      <c r="Y194" s="46">
        <f t="shared" si="1490"/>
        <v>0</v>
      </c>
      <c r="Z194" s="46">
        <f t="shared" si="1490"/>
        <v>0</v>
      </c>
      <c r="AA194" s="46">
        <f t="shared" si="1490"/>
        <v>0</v>
      </c>
      <c r="AB194" s="46">
        <f t="shared" si="1490"/>
        <v>0</v>
      </c>
      <c r="AC194" s="46">
        <f t="shared" si="1490"/>
        <v>0</v>
      </c>
      <c r="AD194" s="46">
        <f t="shared" si="1490"/>
        <v>0</v>
      </c>
      <c r="AE194" s="46">
        <f t="shared" si="1490"/>
        <v>0</v>
      </c>
      <c r="AF194" s="46">
        <f t="shared" si="1490"/>
        <v>0</v>
      </c>
      <c r="AG194" s="46">
        <f t="shared" si="1490"/>
        <v>0</v>
      </c>
      <c r="AH194" s="46">
        <f t="shared" si="1490"/>
        <v>0</v>
      </c>
      <c r="AI194" s="46">
        <f t="shared" si="1490"/>
        <v>0</v>
      </c>
      <c r="AJ194" s="46">
        <f t="shared" si="1490"/>
        <v>0</v>
      </c>
      <c r="AK194" s="46">
        <f t="shared" si="1490"/>
        <v>0</v>
      </c>
      <c r="AL194" s="46">
        <f t="shared" si="1490"/>
        <v>0</v>
      </c>
      <c r="AM194" s="46">
        <f t="shared" si="1490"/>
        <v>0</v>
      </c>
      <c r="AN194" s="46">
        <f t="shared" si="1490"/>
        <v>0</v>
      </c>
      <c r="AO194" s="46">
        <f t="shared" si="1490"/>
        <v>0</v>
      </c>
      <c r="AP194" s="46">
        <f t="shared" si="1490"/>
        <v>0</v>
      </c>
      <c r="AQ194" s="46">
        <f t="shared" si="1490"/>
        <v>0</v>
      </c>
      <c r="AR194" s="46">
        <f t="shared" si="1490"/>
        <v>0</v>
      </c>
      <c r="AS194" s="46">
        <f t="shared" si="1490"/>
        <v>0</v>
      </c>
      <c r="AT194" s="46">
        <f t="shared" si="1490"/>
        <v>0</v>
      </c>
      <c r="AU194" s="46">
        <f t="shared" si="1490"/>
        <v>0</v>
      </c>
      <c r="AV194" s="46">
        <f>+AV191+AV193</f>
        <v>0</v>
      </c>
      <c r="AW194" s="46">
        <f t="shared" ref="AW194:BN194" si="1491">+AW191+AW193</f>
        <v>0</v>
      </c>
      <c r="AX194" s="46">
        <f t="shared" si="1491"/>
        <v>0</v>
      </c>
      <c r="AY194" s="46">
        <f t="shared" si="1491"/>
        <v>0</v>
      </c>
      <c r="AZ194" s="46">
        <f t="shared" si="1491"/>
        <v>0</v>
      </c>
      <c r="BA194" s="46">
        <f t="shared" si="1491"/>
        <v>0</v>
      </c>
      <c r="BB194" s="46">
        <f t="shared" si="1491"/>
        <v>0</v>
      </c>
      <c r="BC194" s="46">
        <f t="shared" si="1491"/>
        <v>0</v>
      </c>
      <c r="BD194" s="46">
        <f t="shared" si="1491"/>
        <v>0</v>
      </c>
      <c r="BE194" s="46">
        <f t="shared" si="1491"/>
        <v>0</v>
      </c>
      <c r="BF194" s="46">
        <f t="shared" si="1491"/>
        <v>0</v>
      </c>
      <c r="BG194" s="46">
        <f t="shared" si="1491"/>
        <v>0</v>
      </c>
      <c r="BH194" s="46">
        <f t="shared" si="1491"/>
        <v>0</v>
      </c>
      <c r="BI194" s="46">
        <f t="shared" si="1491"/>
        <v>0</v>
      </c>
      <c r="BJ194" s="46">
        <f t="shared" si="1491"/>
        <v>0</v>
      </c>
      <c r="BK194" s="46">
        <f t="shared" si="1491"/>
        <v>0</v>
      </c>
      <c r="BL194" s="46">
        <f t="shared" si="1491"/>
        <v>0</v>
      </c>
      <c r="BM194" s="46">
        <f t="shared" si="1491"/>
        <v>0</v>
      </c>
      <c r="BN194" s="46">
        <f t="shared" si="1491"/>
        <v>0</v>
      </c>
    </row>
    <row r="195" spans="3:66" x14ac:dyDescent="0.2">
      <c r="C195" s="321">
        <v>44256</v>
      </c>
      <c r="D195" s="20" t="s">
        <v>5</v>
      </c>
      <c r="E195" s="50">
        <f>SUM(F195:BN195)</f>
        <v>0</v>
      </c>
      <c r="F195" s="279">
        <f>IF(F$6=$C195,F$7,0)</f>
        <v>0</v>
      </c>
      <c r="G195" s="279">
        <f t="shared" ref="G195:BN195" si="1492">IF(G$6=$C195,G$7,0)</f>
        <v>0</v>
      </c>
      <c r="H195" s="279">
        <f t="shared" si="1492"/>
        <v>0</v>
      </c>
      <c r="I195" s="279">
        <f t="shared" si="1492"/>
        <v>0</v>
      </c>
      <c r="J195" s="279">
        <f t="shared" si="1492"/>
        <v>0</v>
      </c>
      <c r="K195" s="279">
        <f t="shared" si="1492"/>
        <v>0</v>
      </c>
      <c r="L195" s="279">
        <f t="shared" si="1492"/>
        <v>0</v>
      </c>
      <c r="M195" s="279">
        <f t="shared" si="1492"/>
        <v>0</v>
      </c>
      <c r="N195" s="279">
        <f t="shared" si="1492"/>
        <v>0</v>
      </c>
      <c r="O195" s="279">
        <f t="shared" si="1492"/>
        <v>0</v>
      </c>
      <c r="P195" s="279">
        <f t="shared" si="1492"/>
        <v>0</v>
      </c>
      <c r="Q195" s="279">
        <f t="shared" si="1492"/>
        <v>0</v>
      </c>
      <c r="R195" s="279">
        <f t="shared" si="1492"/>
        <v>0</v>
      </c>
      <c r="S195" s="279">
        <f t="shared" si="1492"/>
        <v>0</v>
      </c>
      <c r="T195" s="279">
        <f t="shared" si="1492"/>
        <v>0</v>
      </c>
      <c r="U195" s="279">
        <f t="shared" si="1492"/>
        <v>0</v>
      </c>
      <c r="V195" s="279">
        <f t="shared" si="1492"/>
        <v>0</v>
      </c>
      <c r="W195" s="279">
        <f t="shared" si="1492"/>
        <v>0</v>
      </c>
      <c r="X195" s="279">
        <f t="shared" si="1492"/>
        <v>0</v>
      </c>
      <c r="Y195" s="279">
        <f t="shared" si="1492"/>
        <v>0</v>
      </c>
      <c r="Z195" s="279">
        <f t="shared" si="1492"/>
        <v>0</v>
      </c>
      <c r="AA195" s="279">
        <f t="shared" si="1492"/>
        <v>0</v>
      </c>
      <c r="AB195" s="279">
        <f t="shared" si="1492"/>
        <v>0</v>
      </c>
      <c r="AC195" s="279">
        <f t="shared" si="1492"/>
        <v>0</v>
      </c>
      <c r="AD195" s="279">
        <f t="shared" si="1492"/>
        <v>0</v>
      </c>
      <c r="AE195" s="279">
        <f t="shared" si="1492"/>
        <v>0</v>
      </c>
      <c r="AF195" s="279">
        <f t="shared" si="1492"/>
        <v>0</v>
      </c>
      <c r="AG195" s="279">
        <f t="shared" si="1492"/>
        <v>0</v>
      </c>
      <c r="AH195" s="279">
        <f t="shared" si="1492"/>
        <v>0</v>
      </c>
      <c r="AI195" s="279">
        <f t="shared" si="1492"/>
        <v>0</v>
      </c>
      <c r="AJ195" s="279">
        <f t="shared" si="1492"/>
        <v>0</v>
      </c>
      <c r="AK195" s="279">
        <f t="shared" si="1492"/>
        <v>0</v>
      </c>
      <c r="AL195" s="279">
        <f t="shared" si="1492"/>
        <v>0</v>
      </c>
      <c r="AM195" s="279">
        <f t="shared" si="1492"/>
        <v>0</v>
      </c>
      <c r="AN195" s="279">
        <f t="shared" si="1492"/>
        <v>0</v>
      </c>
      <c r="AO195" s="279">
        <f t="shared" si="1492"/>
        <v>0</v>
      </c>
      <c r="AP195" s="279">
        <f t="shared" si="1492"/>
        <v>0</v>
      </c>
      <c r="AQ195" s="279">
        <f t="shared" si="1492"/>
        <v>0</v>
      </c>
      <c r="AR195" s="279">
        <f t="shared" si="1492"/>
        <v>0</v>
      </c>
      <c r="AS195" s="279">
        <f t="shared" si="1492"/>
        <v>0</v>
      </c>
      <c r="AT195" s="279">
        <f t="shared" si="1492"/>
        <v>0</v>
      </c>
      <c r="AU195" s="279">
        <f t="shared" si="1492"/>
        <v>0</v>
      </c>
      <c r="AV195" s="279">
        <f t="shared" si="1492"/>
        <v>0</v>
      </c>
      <c r="AW195" s="279">
        <f t="shared" si="1492"/>
        <v>0</v>
      </c>
      <c r="AX195" s="279">
        <f t="shared" si="1492"/>
        <v>0</v>
      </c>
      <c r="AY195" s="279">
        <f t="shared" si="1492"/>
        <v>0</v>
      </c>
      <c r="AZ195" s="279">
        <f t="shared" si="1492"/>
        <v>0</v>
      </c>
      <c r="BA195" s="279">
        <f t="shared" si="1492"/>
        <v>0</v>
      </c>
      <c r="BB195" s="279">
        <f t="shared" si="1492"/>
        <v>0</v>
      </c>
      <c r="BC195" s="279">
        <f t="shared" si="1492"/>
        <v>0</v>
      </c>
      <c r="BD195" s="279">
        <f t="shared" si="1492"/>
        <v>0</v>
      </c>
      <c r="BE195" s="279">
        <f t="shared" si="1492"/>
        <v>0</v>
      </c>
      <c r="BF195" s="279">
        <f t="shared" si="1492"/>
        <v>0</v>
      </c>
      <c r="BG195" s="279">
        <f t="shared" si="1492"/>
        <v>0</v>
      </c>
      <c r="BH195" s="279">
        <f t="shared" si="1492"/>
        <v>0</v>
      </c>
      <c r="BI195" s="279">
        <f t="shared" si="1492"/>
        <v>0</v>
      </c>
      <c r="BJ195" s="279">
        <f t="shared" si="1492"/>
        <v>0</v>
      </c>
      <c r="BK195" s="279">
        <f t="shared" si="1492"/>
        <v>0</v>
      </c>
      <c r="BL195" s="279">
        <f t="shared" si="1492"/>
        <v>0</v>
      </c>
      <c r="BM195" s="279">
        <f t="shared" si="1492"/>
        <v>0</v>
      </c>
      <c r="BN195" s="279">
        <f t="shared" si="1492"/>
        <v>0</v>
      </c>
    </row>
    <row r="196" spans="3:66" x14ac:dyDescent="0.2">
      <c r="C196" s="322"/>
      <c r="D196" s="23" t="s">
        <v>7</v>
      </c>
      <c r="E196" s="91">
        <f>SUM(F196:BN196)</f>
        <v>14.640000000000011</v>
      </c>
      <c r="F196" s="28">
        <f>IF(F195="",VLOOKUP($C195,'CUSTOS REALIZADOS'!$A$11:$E$995,4),(VLOOKUP($C195,'CUSTOS REALIZADOS'!$A$11:$E$995,5)))</f>
        <v>0.24000000000000002</v>
      </c>
      <c r="G196" s="28">
        <f>IF(G195="",VLOOKUP($C195,'CUSTOS REALIZADOS'!$A$11:$E$995,4),(VLOOKUP($C195,'CUSTOS REALIZADOS'!$A$11:$E$995,5)))</f>
        <v>0.24000000000000002</v>
      </c>
      <c r="H196" s="28">
        <f>IF(H195="",VLOOKUP($C195,'CUSTOS REALIZADOS'!$A$11:$E$995,4),(VLOOKUP($C195,'CUSTOS REALIZADOS'!$A$11:$E$995,5)))</f>
        <v>0.24000000000000002</v>
      </c>
      <c r="I196" s="28">
        <f>IF(I195="",VLOOKUP($C195,'CUSTOS REALIZADOS'!$A$11:$E$995,4),(VLOOKUP($C195,'CUSTOS REALIZADOS'!$A$11:$E$995,5)))</f>
        <v>0.24000000000000002</v>
      </c>
      <c r="J196" s="28">
        <f>IF(J195="",VLOOKUP($C195,'CUSTOS REALIZADOS'!$A$11:$E$995,4),(VLOOKUP($C195,'CUSTOS REALIZADOS'!$A$11:$E$995,5)))</f>
        <v>0.24000000000000002</v>
      </c>
      <c r="K196" s="28">
        <f>IF(K195="",VLOOKUP($C195,'CUSTOS REALIZADOS'!$A$11:$E$995,4),(VLOOKUP($C195,'CUSTOS REALIZADOS'!$A$11:$E$995,5)))</f>
        <v>0.24000000000000002</v>
      </c>
      <c r="L196" s="28">
        <f>IF(L195="",VLOOKUP($C195,'CUSTOS REALIZADOS'!$A$11:$E$995,4),(VLOOKUP($C195,'CUSTOS REALIZADOS'!$A$11:$E$995,5)))</f>
        <v>0.24000000000000002</v>
      </c>
      <c r="M196" s="28">
        <f>IF(M195="",VLOOKUP($C195,'CUSTOS REALIZADOS'!$A$11:$E$995,4),(VLOOKUP($C195,'CUSTOS REALIZADOS'!$A$11:$E$995,5)))</f>
        <v>0.24000000000000002</v>
      </c>
      <c r="N196" s="28">
        <f>IF(N195="",VLOOKUP($C195,'CUSTOS REALIZADOS'!$A$11:$E$995,4),(VLOOKUP($C195,'CUSTOS REALIZADOS'!$A$11:$E$995,5)))</f>
        <v>0.24000000000000002</v>
      </c>
      <c r="O196" s="28">
        <f>IF(O195="",VLOOKUP($C195,'CUSTOS REALIZADOS'!$A$11:$E$995,4),(VLOOKUP($C195,'CUSTOS REALIZADOS'!$A$11:$E$995,5)))</f>
        <v>0.24000000000000002</v>
      </c>
      <c r="P196" s="28">
        <f>IF(P195="",VLOOKUP($C195,'CUSTOS REALIZADOS'!$A$11:$E$995,4),(VLOOKUP($C195,'CUSTOS REALIZADOS'!$A$11:$E$995,5)))</f>
        <v>0.24000000000000002</v>
      </c>
      <c r="Q196" s="28">
        <f>IF(Q195="",VLOOKUP($C195,'CUSTOS REALIZADOS'!$A$11:$E$995,4),(VLOOKUP($C195,'CUSTOS REALIZADOS'!$A$11:$E$995,5)))</f>
        <v>0.24000000000000002</v>
      </c>
      <c r="R196" s="28">
        <f>IF(R195="",VLOOKUP($C195,'CUSTOS REALIZADOS'!$A$11:$E$995,4),(VLOOKUP($C195,'CUSTOS REALIZADOS'!$A$11:$E$995,5)))</f>
        <v>0.24000000000000002</v>
      </c>
      <c r="S196" s="28">
        <f>IF(S195="",VLOOKUP($C195,'CUSTOS REALIZADOS'!$A$11:$E$995,4),(VLOOKUP($C195,'CUSTOS REALIZADOS'!$A$11:$E$995,5)))</f>
        <v>0.24000000000000002</v>
      </c>
      <c r="T196" s="28">
        <f>IF(T195="",VLOOKUP($C195,'CUSTOS REALIZADOS'!$A$11:$E$995,4),(VLOOKUP($C195,'CUSTOS REALIZADOS'!$A$11:$E$995,5)))</f>
        <v>0.24000000000000002</v>
      </c>
      <c r="U196" s="28">
        <f>IF(U195="",VLOOKUP($C195,'CUSTOS REALIZADOS'!$A$11:$E$995,4),(VLOOKUP($C195,'CUSTOS REALIZADOS'!$A$11:$E$995,5)))</f>
        <v>0.24000000000000002</v>
      </c>
      <c r="V196" s="28">
        <f>IF(V195="",VLOOKUP($C195,'CUSTOS REALIZADOS'!$A$11:$E$995,4),(VLOOKUP($C195,'CUSTOS REALIZADOS'!$A$11:$E$995,5)))</f>
        <v>0.24000000000000002</v>
      </c>
      <c r="W196" s="28">
        <f>IF(W195="",VLOOKUP($C195,'CUSTOS REALIZADOS'!$A$11:$E$995,4),(VLOOKUP($C195,'CUSTOS REALIZADOS'!$A$11:$E$995,5)))</f>
        <v>0.24000000000000002</v>
      </c>
      <c r="X196" s="28">
        <f>IF(X195="",VLOOKUP($C195,'CUSTOS REALIZADOS'!$A$11:$E$995,4),(VLOOKUP($C195,'CUSTOS REALIZADOS'!$A$11:$E$995,5)))</f>
        <v>0.24000000000000002</v>
      </c>
      <c r="Y196" s="28">
        <f>IF(Y195="",VLOOKUP($C195,'CUSTOS REALIZADOS'!$A$11:$E$995,4),(VLOOKUP($C195,'CUSTOS REALIZADOS'!$A$11:$E$995,5)))</f>
        <v>0.24000000000000002</v>
      </c>
      <c r="Z196" s="28">
        <f>IF(Z195="",VLOOKUP($C195,'CUSTOS REALIZADOS'!$A$11:$E$995,4),(VLOOKUP($C195,'CUSTOS REALIZADOS'!$A$11:$E$995,5)))</f>
        <v>0.24000000000000002</v>
      </c>
      <c r="AA196" s="28">
        <f>IF(AA195="",VLOOKUP($C195,'CUSTOS REALIZADOS'!$A$11:$E$995,4),(VLOOKUP($C195,'CUSTOS REALIZADOS'!$A$11:$E$995,5)))</f>
        <v>0.24000000000000002</v>
      </c>
      <c r="AB196" s="28">
        <f>IF(AB195="",VLOOKUP($C195,'CUSTOS REALIZADOS'!$A$11:$E$995,4),(VLOOKUP($C195,'CUSTOS REALIZADOS'!$A$11:$E$995,5)))</f>
        <v>0.24000000000000002</v>
      </c>
      <c r="AC196" s="28">
        <f>IF(AC195="",VLOOKUP($C195,'CUSTOS REALIZADOS'!$A$11:$E$995,4),(VLOOKUP($C195,'CUSTOS REALIZADOS'!$A$11:$E$995,5)))</f>
        <v>0.24000000000000002</v>
      </c>
      <c r="AD196" s="28">
        <f>IF(AD195="",VLOOKUP($C195,'CUSTOS REALIZADOS'!$A$11:$E$995,4),(VLOOKUP($C195,'CUSTOS REALIZADOS'!$A$11:$E$995,5)))</f>
        <v>0.24000000000000002</v>
      </c>
      <c r="AE196" s="28">
        <f>IF(AE195="",VLOOKUP($C195,'CUSTOS REALIZADOS'!$A$11:$E$995,4),(VLOOKUP($C195,'CUSTOS REALIZADOS'!$A$11:$E$995,5)))</f>
        <v>0.24000000000000002</v>
      </c>
      <c r="AF196" s="28">
        <f>IF(AF195="",VLOOKUP($C195,'CUSTOS REALIZADOS'!$A$11:$E$995,4),(VLOOKUP($C195,'CUSTOS REALIZADOS'!$A$11:$E$995,5)))</f>
        <v>0.24000000000000002</v>
      </c>
      <c r="AG196" s="28">
        <f>IF(AG195="",VLOOKUP($C195,'CUSTOS REALIZADOS'!$A$11:$E$995,4),(VLOOKUP($C195,'CUSTOS REALIZADOS'!$A$11:$E$995,5)))</f>
        <v>0.24000000000000002</v>
      </c>
      <c r="AH196" s="28">
        <f>IF(AH195="",VLOOKUP($C195,'CUSTOS REALIZADOS'!$A$11:$E$995,4),(VLOOKUP($C195,'CUSTOS REALIZADOS'!$A$11:$E$995,5)))</f>
        <v>0.24000000000000002</v>
      </c>
      <c r="AI196" s="28">
        <f>IF(AI195="",VLOOKUP($C195,'CUSTOS REALIZADOS'!$A$11:$E$995,4),(VLOOKUP($C195,'CUSTOS REALIZADOS'!$A$11:$E$995,5)))</f>
        <v>0.24000000000000002</v>
      </c>
      <c r="AJ196" s="28">
        <f>IF(AJ195="",VLOOKUP($C195,'CUSTOS REALIZADOS'!$A$11:$E$995,4),(VLOOKUP($C195,'CUSTOS REALIZADOS'!$A$11:$E$995,5)))</f>
        <v>0.24000000000000002</v>
      </c>
      <c r="AK196" s="28">
        <f>IF(AK195="",VLOOKUP($C195,'CUSTOS REALIZADOS'!$A$11:$E$995,4),(VLOOKUP($C195,'CUSTOS REALIZADOS'!$A$11:$E$995,5)))</f>
        <v>0.24000000000000002</v>
      </c>
      <c r="AL196" s="28">
        <f>IF(AL195="",VLOOKUP($C195,'CUSTOS REALIZADOS'!$A$11:$E$995,4),(VLOOKUP($C195,'CUSTOS REALIZADOS'!$A$11:$E$995,5)))</f>
        <v>0.24000000000000002</v>
      </c>
      <c r="AM196" s="28">
        <f>IF(AM195="",VLOOKUP($C195,'CUSTOS REALIZADOS'!$A$11:$E$995,4),(VLOOKUP($C195,'CUSTOS REALIZADOS'!$A$11:$E$995,5)))</f>
        <v>0.24000000000000002</v>
      </c>
      <c r="AN196" s="28">
        <f>IF(AN195="",VLOOKUP($C195,'CUSTOS REALIZADOS'!$A$11:$E$995,4),(VLOOKUP($C195,'CUSTOS REALIZADOS'!$A$11:$E$995,5)))</f>
        <v>0.24000000000000002</v>
      </c>
      <c r="AO196" s="28">
        <f>IF(AO195="",VLOOKUP($C195,'CUSTOS REALIZADOS'!$A$11:$E$995,4),(VLOOKUP($C195,'CUSTOS REALIZADOS'!$A$11:$E$995,5)))</f>
        <v>0.24000000000000002</v>
      </c>
      <c r="AP196" s="28">
        <f>IF(AP195="",VLOOKUP($C195,'CUSTOS REALIZADOS'!$A$11:$E$995,4),(VLOOKUP($C195,'CUSTOS REALIZADOS'!$A$11:$E$995,5)))</f>
        <v>0.24000000000000002</v>
      </c>
      <c r="AQ196" s="28">
        <f>IF(AQ195="",VLOOKUP($C195,'CUSTOS REALIZADOS'!$A$11:$E$995,4),(VLOOKUP($C195,'CUSTOS REALIZADOS'!$A$11:$E$995,5)))</f>
        <v>0.24000000000000002</v>
      </c>
      <c r="AR196" s="28">
        <f>IF(AR195="",VLOOKUP($C195,'CUSTOS REALIZADOS'!$A$11:$E$995,4),(VLOOKUP($C195,'CUSTOS REALIZADOS'!$A$11:$E$995,5)))</f>
        <v>0.24000000000000002</v>
      </c>
      <c r="AS196" s="28">
        <f>IF(AS195="",VLOOKUP($C195,'CUSTOS REALIZADOS'!$A$11:$E$995,4),(VLOOKUP($C195,'CUSTOS REALIZADOS'!$A$11:$E$995,5)))</f>
        <v>0.24000000000000002</v>
      </c>
      <c r="AT196" s="28">
        <f>IF(AT195="",VLOOKUP($C195,'CUSTOS REALIZADOS'!$A$11:$E$995,4),(VLOOKUP($C195,'CUSTOS REALIZADOS'!$A$11:$E$995,5)))</f>
        <v>0.24000000000000002</v>
      </c>
      <c r="AU196" s="28">
        <f>IF(AU195="",VLOOKUP($C195,'CUSTOS REALIZADOS'!$A$11:$E$995,4),(VLOOKUP($C195,'CUSTOS REALIZADOS'!$A$11:$E$995,5)))</f>
        <v>0.24000000000000002</v>
      </c>
      <c r="AV196" s="28">
        <f>IF(AV195="",VLOOKUP($C195,'CUSTOS REALIZADOS'!$A$11:$E$995,4),(VLOOKUP($C195,'CUSTOS REALIZADOS'!$A$11:$E$995,5)))</f>
        <v>0.24000000000000002</v>
      </c>
      <c r="AW196" s="28">
        <f>IF(AW195="",VLOOKUP($C195,'CUSTOS REALIZADOS'!$A$11:$E$995,4),(VLOOKUP($C195,'CUSTOS REALIZADOS'!$A$11:$E$995,5)))</f>
        <v>0.24000000000000002</v>
      </c>
      <c r="AX196" s="28">
        <f>IF(AX195="",VLOOKUP($C195,'CUSTOS REALIZADOS'!$A$11:$E$995,4),(VLOOKUP($C195,'CUSTOS REALIZADOS'!$A$11:$E$995,5)))</f>
        <v>0.24000000000000002</v>
      </c>
      <c r="AY196" s="28">
        <f>IF(AY195="",VLOOKUP($C195,'CUSTOS REALIZADOS'!$A$11:$E$995,4),(VLOOKUP($C195,'CUSTOS REALIZADOS'!$A$11:$E$995,5)))</f>
        <v>0.24000000000000002</v>
      </c>
      <c r="AZ196" s="28">
        <f>IF(AZ195="",VLOOKUP($C195,'CUSTOS REALIZADOS'!$A$11:$E$995,4),(VLOOKUP($C195,'CUSTOS REALIZADOS'!$A$11:$E$995,5)))</f>
        <v>0.24000000000000002</v>
      </c>
      <c r="BA196" s="28">
        <f>IF(BA195="",VLOOKUP($C195,'CUSTOS REALIZADOS'!$A$11:$E$995,4),(VLOOKUP($C195,'CUSTOS REALIZADOS'!$A$11:$E$995,5)))</f>
        <v>0.24000000000000002</v>
      </c>
      <c r="BB196" s="28">
        <f>IF(BB195="",VLOOKUP($C195,'CUSTOS REALIZADOS'!$A$11:$E$995,4),(VLOOKUP($C195,'CUSTOS REALIZADOS'!$A$11:$E$995,5)))</f>
        <v>0.24000000000000002</v>
      </c>
      <c r="BC196" s="28">
        <f>IF(BC195="",VLOOKUP($C195,'CUSTOS REALIZADOS'!$A$11:$E$995,4),(VLOOKUP($C195,'CUSTOS REALIZADOS'!$A$11:$E$995,5)))</f>
        <v>0.24000000000000002</v>
      </c>
      <c r="BD196" s="28">
        <f>IF(BD195="",VLOOKUP($C195,'CUSTOS REALIZADOS'!$A$11:$E$995,4),(VLOOKUP($C195,'CUSTOS REALIZADOS'!$A$11:$E$995,5)))</f>
        <v>0.24000000000000002</v>
      </c>
      <c r="BE196" s="28">
        <f>IF(BE195="",VLOOKUP($C195,'CUSTOS REALIZADOS'!$A$11:$E$995,4),(VLOOKUP($C195,'CUSTOS REALIZADOS'!$A$11:$E$995,5)))</f>
        <v>0.24000000000000002</v>
      </c>
      <c r="BF196" s="28">
        <f>IF(BF195="",VLOOKUP($C195,'CUSTOS REALIZADOS'!$A$11:$E$995,4),(VLOOKUP($C195,'CUSTOS REALIZADOS'!$A$11:$E$995,5)))</f>
        <v>0.24000000000000002</v>
      </c>
      <c r="BG196" s="28">
        <f>IF(BG195="",VLOOKUP($C195,'CUSTOS REALIZADOS'!$A$11:$E$995,4),(VLOOKUP($C195,'CUSTOS REALIZADOS'!$A$11:$E$995,5)))</f>
        <v>0.24000000000000002</v>
      </c>
      <c r="BH196" s="28">
        <f>IF(BH195="",VLOOKUP($C195,'CUSTOS REALIZADOS'!$A$11:$E$995,4),(VLOOKUP($C195,'CUSTOS REALIZADOS'!$A$11:$E$995,5)))</f>
        <v>0.24000000000000002</v>
      </c>
      <c r="BI196" s="28">
        <f>IF(BI195="",VLOOKUP($C195,'CUSTOS REALIZADOS'!$A$11:$E$995,4),(VLOOKUP($C195,'CUSTOS REALIZADOS'!$A$11:$E$995,5)))</f>
        <v>0.24000000000000002</v>
      </c>
      <c r="BJ196" s="28">
        <f>IF(BJ195="",VLOOKUP($C195,'CUSTOS REALIZADOS'!$A$11:$E$995,4),(VLOOKUP($C195,'CUSTOS REALIZADOS'!$A$11:$E$995,5)))</f>
        <v>0.24000000000000002</v>
      </c>
      <c r="BK196" s="28">
        <f>IF(BK195="",VLOOKUP($C195,'CUSTOS REALIZADOS'!$A$11:$E$995,4),(VLOOKUP($C195,'CUSTOS REALIZADOS'!$A$11:$E$995,5)))</f>
        <v>0.24000000000000002</v>
      </c>
      <c r="BL196" s="28">
        <f>IF(BL195="",VLOOKUP($C195,'CUSTOS REALIZADOS'!$A$11:$E$995,4),(VLOOKUP($C195,'CUSTOS REALIZADOS'!$A$11:$E$995,5)))</f>
        <v>0.24000000000000002</v>
      </c>
      <c r="BM196" s="28">
        <f>IF(BM195="",VLOOKUP($C195,'CUSTOS REALIZADOS'!$A$11:$E$995,4),(VLOOKUP($C195,'CUSTOS REALIZADOS'!$A$11:$E$995,5)))</f>
        <v>0.24000000000000002</v>
      </c>
      <c r="BN196" s="28">
        <f>IF(BN195="",VLOOKUP($C195,'CUSTOS REALIZADOS'!$A$11:$E$995,4),(VLOOKUP($C195,'CUSTOS REALIZADOS'!$A$11:$E$995,5)))</f>
        <v>0.24000000000000002</v>
      </c>
    </row>
    <row r="197" spans="3:66" x14ac:dyDescent="0.2">
      <c r="C197" s="322"/>
      <c r="D197" s="23" t="s">
        <v>6</v>
      </c>
      <c r="E197" s="27">
        <f>SUM(F197:BN197)</f>
        <v>95000</v>
      </c>
      <c r="F197" s="23">
        <f>IF(AND($C195&gt;=F$6,OR($C195&lt;F$8,F$8="")),F$7*F$28,0)</f>
        <v>0</v>
      </c>
      <c r="G197" s="23">
        <f t="shared" ref="G197:BN197" si="1493">IF(AND($C195&gt;=G$6,OR($C195&lt;G$8,G$8="")),G$7*G$28,0)</f>
        <v>45000</v>
      </c>
      <c r="H197" s="23">
        <f t="shared" si="1493"/>
        <v>50000</v>
      </c>
      <c r="I197" s="23">
        <f t="shared" si="1493"/>
        <v>0</v>
      </c>
      <c r="J197" s="23">
        <f t="shared" si="1493"/>
        <v>0</v>
      </c>
      <c r="K197" s="23">
        <f t="shared" si="1493"/>
        <v>0</v>
      </c>
      <c r="L197" s="23">
        <f t="shared" si="1493"/>
        <v>0</v>
      </c>
      <c r="M197" s="23">
        <f t="shared" si="1493"/>
        <v>0</v>
      </c>
      <c r="N197" s="23">
        <f t="shared" si="1493"/>
        <v>0</v>
      </c>
      <c r="O197" s="23">
        <f t="shared" si="1493"/>
        <v>0</v>
      </c>
      <c r="P197" s="23">
        <f t="shared" si="1493"/>
        <v>0</v>
      </c>
      <c r="Q197" s="23">
        <f t="shared" si="1493"/>
        <v>0</v>
      </c>
      <c r="R197" s="23">
        <f t="shared" si="1493"/>
        <v>0</v>
      </c>
      <c r="S197" s="23">
        <f t="shared" si="1493"/>
        <v>0</v>
      </c>
      <c r="T197" s="23">
        <f t="shared" si="1493"/>
        <v>0</v>
      </c>
      <c r="U197" s="23">
        <f t="shared" si="1493"/>
        <v>0</v>
      </c>
      <c r="V197" s="23">
        <f t="shared" si="1493"/>
        <v>0</v>
      </c>
      <c r="W197" s="23">
        <f t="shared" si="1493"/>
        <v>0</v>
      </c>
      <c r="X197" s="23">
        <f t="shared" si="1493"/>
        <v>0</v>
      </c>
      <c r="Y197" s="23">
        <f t="shared" si="1493"/>
        <v>0</v>
      </c>
      <c r="Z197" s="23">
        <f t="shared" si="1493"/>
        <v>0</v>
      </c>
      <c r="AA197" s="23">
        <f t="shared" si="1493"/>
        <v>0</v>
      </c>
      <c r="AB197" s="23">
        <f t="shared" si="1493"/>
        <v>0</v>
      </c>
      <c r="AC197" s="23">
        <f t="shared" si="1493"/>
        <v>0</v>
      </c>
      <c r="AD197" s="23">
        <f t="shared" si="1493"/>
        <v>0</v>
      </c>
      <c r="AE197" s="23">
        <f t="shared" si="1493"/>
        <v>0</v>
      </c>
      <c r="AF197" s="23">
        <f t="shared" si="1493"/>
        <v>0</v>
      </c>
      <c r="AG197" s="23">
        <f t="shared" si="1493"/>
        <v>0</v>
      </c>
      <c r="AH197" s="23">
        <f t="shared" si="1493"/>
        <v>0</v>
      </c>
      <c r="AI197" s="23">
        <f t="shared" si="1493"/>
        <v>0</v>
      </c>
      <c r="AJ197" s="23">
        <f t="shared" si="1493"/>
        <v>0</v>
      </c>
      <c r="AK197" s="23">
        <f t="shared" si="1493"/>
        <v>0</v>
      </c>
      <c r="AL197" s="23">
        <f t="shared" si="1493"/>
        <v>0</v>
      </c>
      <c r="AM197" s="23">
        <f t="shared" si="1493"/>
        <v>0</v>
      </c>
      <c r="AN197" s="23">
        <f t="shared" si="1493"/>
        <v>0</v>
      </c>
      <c r="AO197" s="23">
        <f t="shared" si="1493"/>
        <v>0</v>
      </c>
      <c r="AP197" s="23">
        <f t="shared" si="1493"/>
        <v>0</v>
      </c>
      <c r="AQ197" s="23">
        <f t="shared" si="1493"/>
        <v>0</v>
      </c>
      <c r="AR197" s="23">
        <f t="shared" si="1493"/>
        <v>0</v>
      </c>
      <c r="AS197" s="23">
        <f t="shared" si="1493"/>
        <v>0</v>
      </c>
      <c r="AT197" s="23">
        <f t="shared" si="1493"/>
        <v>0</v>
      </c>
      <c r="AU197" s="23">
        <f t="shared" si="1493"/>
        <v>0</v>
      </c>
      <c r="AV197" s="23">
        <f t="shared" si="1493"/>
        <v>0</v>
      </c>
      <c r="AW197" s="23">
        <f t="shared" si="1493"/>
        <v>0</v>
      </c>
      <c r="AX197" s="23">
        <f t="shared" si="1493"/>
        <v>0</v>
      </c>
      <c r="AY197" s="23">
        <f t="shared" si="1493"/>
        <v>0</v>
      </c>
      <c r="AZ197" s="23">
        <f t="shared" si="1493"/>
        <v>0</v>
      </c>
      <c r="BA197" s="23">
        <f t="shared" si="1493"/>
        <v>0</v>
      </c>
      <c r="BB197" s="23">
        <f t="shared" si="1493"/>
        <v>0</v>
      </c>
      <c r="BC197" s="23">
        <f t="shared" si="1493"/>
        <v>0</v>
      </c>
      <c r="BD197" s="23">
        <f t="shared" si="1493"/>
        <v>0</v>
      </c>
      <c r="BE197" s="23">
        <f t="shared" si="1493"/>
        <v>0</v>
      </c>
      <c r="BF197" s="23">
        <f t="shared" si="1493"/>
        <v>0</v>
      </c>
      <c r="BG197" s="23">
        <f t="shared" si="1493"/>
        <v>0</v>
      </c>
      <c r="BH197" s="23">
        <f t="shared" si="1493"/>
        <v>0</v>
      </c>
      <c r="BI197" s="23">
        <f t="shared" si="1493"/>
        <v>0</v>
      </c>
      <c r="BJ197" s="23">
        <f t="shared" si="1493"/>
        <v>0</v>
      </c>
      <c r="BK197" s="23">
        <f t="shared" si="1493"/>
        <v>0</v>
      </c>
      <c r="BL197" s="23">
        <f t="shared" si="1493"/>
        <v>0</v>
      </c>
      <c r="BM197" s="23">
        <f t="shared" si="1493"/>
        <v>0</v>
      </c>
      <c r="BN197" s="23">
        <f t="shared" si="1493"/>
        <v>0</v>
      </c>
    </row>
    <row r="198" spans="3:66" x14ac:dyDescent="0.2">
      <c r="C198" s="322"/>
      <c r="D198" s="23" t="s">
        <v>9</v>
      </c>
      <c r="E198" s="225">
        <f>SUM(F198:BN198)</f>
        <v>0</v>
      </c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</row>
    <row r="199" spans="3:66" x14ac:dyDescent="0.2">
      <c r="C199" s="322"/>
      <c r="D199" s="23" t="s">
        <v>14</v>
      </c>
      <c r="E199" s="27">
        <f>SUM(F199:AY199)</f>
        <v>950434.66510235646</v>
      </c>
      <c r="F199" s="23">
        <f>IF(F194=0,F195-F198,F194-F198)</f>
        <v>-166.77218197970808</v>
      </c>
      <c r="G199" s="23">
        <f t="shared" ref="G199" si="1494">IF(G194=0,G195-G198,G194-G198)</f>
        <v>450284.89134521195</v>
      </c>
      <c r="H199" s="23">
        <f t="shared" ref="H199" si="1495">IF(H194=0,H195-H198,H194-H198)</f>
        <v>500316.54593912425</v>
      </c>
      <c r="I199" s="23">
        <f t="shared" ref="I199" si="1496">IF(I194=0,I195-I198,I194-I198)</f>
        <v>0</v>
      </c>
      <c r="J199" s="23">
        <f t="shared" ref="J199" si="1497">IF(J194=0,J195-J198,J194-J198)</f>
        <v>0</v>
      </c>
      <c r="K199" s="23">
        <f t="shared" ref="K199" si="1498">IF(K194=0,K195-K198,K194-K198)</f>
        <v>0</v>
      </c>
      <c r="L199" s="23">
        <f t="shared" ref="L199" si="1499">IF(L194=0,L195-L198,L194-L198)</f>
        <v>0</v>
      </c>
      <c r="M199" s="23">
        <f t="shared" ref="M199" si="1500">IF(M194=0,M195-M198,M194-M198)</f>
        <v>0</v>
      </c>
      <c r="N199" s="23">
        <f t="shared" ref="N199" si="1501">IF(N194=0,N195-N198,N194-N198)</f>
        <v>0</v>
      </c>
      <c r="O199" s="23">
        <f t="shared" ref="O199" si="1502">IF(O194=0,O195-O198,O194-O198)</f>
        <v>0</v>
      </c>
      <c r="P199" s="23">
        <f t="shared" ref="P199" si="1503">IF(P194=0,P195-P198,P194-P198)</f>
        <v>0</v>
      </c>
      <c r="Q199" s="23">
        <f t="shared" ref="Q199" si="1504">IF(Q194=0,Q195-Q198,Q194-Q198)</f>
        <v>0</v>
      </c>
      <c r="R199" s="23">
        <f t="shared" ref="R199" si="1505">IF(R194=0,R195-R198,R194-R198)</f>
        <v>0</v>
      </c>
      <c r="S199" s="23">
        <f t="shared" ref="S199" si="1506">IF(S194=0,S195-S198,S194-S198)</f>
        <v>0</v>
      </c>
      <c r="T199" s="23">
        <f t="shared" ref="T199" si="1507">IF(T194=0,T195-T198,T194-T198)</f>
        <v>0</v>
      </c>
      <c r="U199" s="23">
        <f t="shared" ref="U199" si="1508">IF(U194=0,U195-U198,U194-U198)</f>
        <v>0</v>
      </c>
      <c r="V199" s="23">
        <f t="shared" ref="V199" si="1509">IF(V194=0,V195-V198,V194-V198)</f>
        <v>0</v>
      </c>
      <c r="W199" s="23">
        <f t="shared" ref="W199" si="1510">IF(W194=0,W195-W198,W194-W198)</f>
        <v>0</v>
      </c>
      <c r="X199" s="23">
        <f t="shared" ref="X199" si="1511">IF(X194=0,X195-X198,X194-X198)</f>
        <v>0</v>
      </c>
      <c r="Y199" s="23">
        <f t="shared" ref="Y199" si="1512">IF(Y194=0,Y195-Y198,Y194-Y198)</f>
        <v>0</v>
      </c>
      <c r="Z199" s="23">
        <f t="shared" ref="Z199" si="1513">IF(Z194=0,Z195-Z198,Z194-Z198)</f>
        <v>0</v>
      </c>
      <c r="AA199" s="23">
        <f t="shared" ref="AA199" si="1514">IF(AA194=0,AA195-AA198,AA194-AA198)</f>
        <v>0</v>
      </c>
      <c r="AB199" s="23">
        <f t="shared" ref="AB199" si="1515">IF(AB194=0,AB195-AB198,AB194-AB198)</f>
        <v>0</v>
      </c>
      <c r="AC199" s="23">
        <f t="shared" ref="AC199" si="1516">IF(AC194=0,AC195-AC198,AC194-AC198)</f>
        <v>0</v>
      </c>
      <c r="AD199" s="23">
        <f t="shared" ref="AD199" si="1517">IF(AD194=0,AD195-AD198,AD194-AD198)</f>
        <v>0</v>
      </c>
      <c r="AE199" s="23">
        <f t="shared" ref="AE199" si="1518">IF(AE194=0,AE195-AE198,AE194-AE198)</f>
        <v>0</v>
      </c>
      <c r="AF199" s="23">
        <f t="shared" ref="AF199" si="1519">IF(AF194=0,AF195-AF198,AF194-AF198)</f>
        <v>0</v>
      </c>
      <c r="AG199" s="23">
        <f t="shared" ref="AG199" si="1520">IF(AG194=0,AG195-AG198,AG194-AG198)</f>
        <v>0</v>
      </c>
      <c r="AH199" s="23">
        <f t="shared" ref="AH199" si="1521">IF(AH194=0,AH195-AH198,AH194-AH198)</f>
        <v>0</v>
      </c>
      <c r="AI199" s="23">
        <f t="shared" ref="AI199" si="1522">IF(AI194=0,AI195-AI198,AI194-AI198)</f>
        <v>0</v>
      </c>
      <c r="AJ199" s="23">
        <f t="shared" ref="AJ199" si="1523">IF(AJ194=0,AJ195-AJ198,AJ194-AJ198)</f>
        <v>0</v>
      </c>
      <c r="AK199" s="23">
        <f t="shared" ref="AK199" si="1524">IF(AK194=0,AK195-AK198,AK194-AK198)</f>
        <v>0</v>
      </c>
      <c r="AL199" s="23">
        <f t="shared" ref="AL199" si="1525">IF(AL194=0,AL195-AL198,AL194-AL198)</f>
        <v>0</v>
      </c>
      <c r="AM199" s="23">
        <f t="shared" ref="AM199" si="1526">IF(AM194=0,AM195-AM198,AM194-AM198)</f>
        <v>0</v>
      </c>
      <c r="AN199" s="23">
        <f t="shared" ref="AN199" si="1527">IF(AN194=0,AN195-AN198,AN194-AN198)</f>
        <v>0</v>
      </c>
      <c r="AO199" s="23">
        <f t="shared" ref="AO199" si="1528">IF(AO194=0,AO195-AO198,AO194-AO198)</f>
        <v>0</v>
      </c>
      <c r="AP199" s="23">
        <f t="shared" ref="AP199" si="1529">IF(AP194=0,AP195-AP198,AP194-AP198)</f>
        <v>0</v>
      </c>
      <c r="AQ199" s="23">
        <f t="shared" ref="AQ199" si="1530">IF(AQ194=0,AQ195-AQ198,AQ194-AQ198)</f>
        <v>0</v>
      </c>
      <c r="AR199" s="23">
        <f t="shared" ref="AR199" si="1531">IF(AR194=0,AR195-AR198,AR194-AR198)</f>
        <v>0</v>
      </c>
      <c r="AS199" s="23">
        <f t="shared" ref="AS199" si="1532">IF(AS194=0,AS195-AS198,AS194-AS198)</f>
        <v>0</v>
      </c>
      <c r="AT199" s="23">
        <f t="shared" ref="AT199" si="1533">IF(AT194=0,AT195-AT198,AT194-AT198)</f>
        <v>0</v>
      </c>
      <c r="AU199" s="23">
        <f t="shared" ref="AU199" si="1534">IF(AU194=0,AU195-AU198,AU194-AU198)</f>
        <v>0</v>
      </c>
      <c r="AV199" s="23">
        <f t="shared" ref="AV199" si="1535">IF(AV194=0,AV195-AV198,AV194-AV198)</f>
        <v>0</v>
      </c>
      <c r="AW199" s="23">
        <f t="shared" ref="AW199" si="1536">IF(AW194=0,AW195-AW198,AW194-AW198)</f>
        <v>0</v>
      </c>
      <c r="AX199" s="23">
        <f t="shared" ref="AX199" si="1537">IF(AX194=0,AX195-AX198,AX194-AX198)</f>
        <v>0</v>
      </c>
      <c r="AY199" s="23">
        <f t="shared" ref="AY199" si="1538">IF(AY194=0,AY195-AY198,AY194-AY198)</f>
        <v>0</v>
      </c>
      <c r="AZ199" s="23">
        <f t="shared" ref="AZ199" si="1539">IF(AZ194=0,AZ195-AZ198,AZ194-AZ198)</f>
        <v>0</v>
      </c>
      <c r="BA199" s="23">
        <f t="shared" ref="BA199" si="1540">IF(BA194=0,BA195-BA198,BA194-BA198)</f>
        <v>0</v>
      </c>
      <c r="BB199" s="23">
        <f t="shared" ref="BB199" si="1541">IF(BB194=0,BB195-BB198,BB194-BB198)</f>
        <v>0</v>
      </c>
      <c r="BC199" s="23">
        <f t="shared" ref="BC199" si="1542">IF(BC194=0,BC195-BC198,BC194-BC198)</f>
        <v>0</v>
      </c>
      <c r="BD199" s="23">
        <f t="shared" ref="BD199" si="1543">IF(BD194=0,BD195-BD198,BD194-BD198)</f>
        <v>0</v>
      </c>
      <c r="BE199" s="23">
        <f t="shared" ref="BE199" si="1544">IF(BE194=0,BE195-BE198,BE194-BE198)</f>
        <v>0</v>
      </c>
      <c r="BF199" s="23">
        <f t="shared" ref="BF199" si="1545">IF(BF194=0,BF195-BF198,BF194-BF198)</f>
        <v>0</v>
      </c>
      <c r="BG199" s="23">
        <f t="shared" ref="BG199" si="1546">IF(BG194=0,BG195-BG198,BG194-BG198)</f>
        <v>0</v>
      </c>
      <c r="BH199" s="23">
        <f t="shared" ref="BH199" si="1547">IF(BH194=0,BH195-BH198,BH194-BH198)</f>
        <v>0</v>
      </c>
      <c r="BI199" s="23">
        <f t="shared" ref="BI199" si="1548">IF(BI194=0,BI195-BI198,BI194-BI198)</f>
        <v>0</v>
      </c>
      <c r="BJ199" s="23">
        <f t="shared" ref="BJ199" si="1549">IF(BJ194=0,BJ195-BJ198,BJ194-BJ198)</f>
        <v>0</v>
      </c>
      <c r="BK199" s="23">
        <f t="shared" ref="BK199" si="1550">IF(BK194=0,BK195-BK198,BK194-BK198)</f>
        <v>0</v>
      </c>
      <c r="BL199" s="23">
        <f t="shared" ref="BL199" si="1551">IF(BL194=0,BL195-BL198,BL194-BL198)</f>
        <v>0</v>
      </c>
      <c r="BM199" s="23">
        <f t="shared" ref="BM199" si="1552">IF(BM194=0,BM195-BM198,BM194-BM198)</f>
        <v>0</v>
      </c>
      <c r="BN199" s="23">
        <f t="shared" ref="BN199" si="1553">IF(BN194=0,BN195-BN198,BN194-BN198)</f>
        <v>0</v>
      </c>
    </row>
    <row r="200" spans="3:66" x14ac:dyDescent="0.2">
      <c r="C200" s="322"/>
      <c r="D200" s="23" t="s">
        <v>10</v>
      </c>
      <c r="E200" s="72">
        <v>8.8999999999999999E-3</v>
      </c>
      <c r="F200" s="54">
        <v>8.8999999999999999E-3</v>
      </c>
      <c r="G200" s="54">
        <v>8.8999999999999999E-3</v>
      </c>
      <c r="H200" s="54">
        <v>8.8999999999999999E-3</v>
      </c>
      <c r="I200" s="54">
        <v>8.8999999999999999E-3</v>
      </c>
      <c r="J200" s="54">
        <v>8.8999999999999999E-3</v>
      </c>
      <c r="K200" s="54">
        <v>8.8999999999999999E-3</v>
      </c>
      <c r="L200" s="54">
        <v>8.8999999999999999E-3</v>
      </c>
      <c r="M200" s="54">
        <v>8.8999999999999999E-3</v>
      </c>
      <c r="N200" s="54">
        <v>8.8999999999999999E-3</v>
      </c>
      <c r="O200" s="54">
        <v>8.8999999999999999E-3</v>
      </c>
      <c r="P200" s="54">
        <v>8.8999999999999999E-3</v>
      </c>
      <c r="Q200" s="54">
        <v>8.8999999999999999E-3</v>
      </c>
      <c r="R200" s="54">
        <v>8.8999999999999999E-3</v>
      </c>
      <c r="S200" s="54">
        <v>8.8999999999999999E-3</v>
      </c>
      <c r="T200" s="54">
        <v>8.8999999999999999E-3</v>
      </c>
      <c r="U200" s="54">
        <v>8.8999999999999999E-3</v>
      </c>
      <c r="V200" s="54">
        <v>8.8999999999999999E-3</v>
      </c>
      <c r="W200" s="54">
        <v>8.8999999999999999E-3</v>
      </c>
      <c r="X200" s="54">
        <v>8.8999999999999999E-3</v>
      </c>
      <c r="Y200" s="54">
        <v>8.8999999999999999E-3</v>
      </c>
      <c r="Z200" s="54">
        <v>8.8999999999999999E-3</v>
      </c>
      <c r="AA200" s="54">
        <v>8.8999999999999999E-3</v>
      </c>
      <c r="AB200" s="54">
        <v>8.8999999999999999E-3</v>
      </c>
      <c r="AC200" s="54">
        <v>8.8999999999999999E-3</v>
      </c>
      <c r="AD200" s="54">
        <v>8.8999999999999999E-3</v>
      </c>
      <c r="AE200" s="54">
        <v>8.8999999999999999E-3</v>
      </c>
      <c r="AF200" s="54">
        <v>8.8999999999999999E-3</v>
      </c>
      <c r="AG200" s="54">
        <v>8.8999999999999999E-3</v>
      </c>
      <c r="AH200" s="54">
        <v>8.8999999999999999E-3</v>
      </c>
      <c r="AI200" s="54">
        <v>8.8999999999999999E-3</v>
      </c>
      <c r="AJ200" s="54">
        <v>8.8999999999999999E-3</v>
      </c>
      <c r="AK200" s="54">
        <v>8.8999999999999999E-3</v>
      </c>
      <c r="AL200" s="54">
        <v>8.8999999999999999E-3</v>
      </c>
      <c r="AM200" s="54">
        <v>8.8999999999999999E-3</v>
      </c>
      <c r="AN200" s="54">
        <v>8.8999999999999999E-3</v>
      </c>
      <c r="AO200" s="54">
        <v>8.8999999999999999E-3</v>
      </c>
      <c r="AP200" s="54">
        <v>8.8999999999999999E-3</v>
      </c>
      <c r="AQ200" s="54">
        <v>8.8999999999999999E-3</v>
      </c>
      <c r="AR200" s="54">
        <v>8.8999999999999999E-3</v>
      </c>
      <c r="AS200" s="54">
        <v>8.8999999999999999E-3</v>
      </c>
      <c r="AT200" s="54">
        <v>8.8999999999999999E-3</v>
      </c>
      <c r="AU200" s="54">
        <v>8.8999999999999999E-3</v>
      </c>
      <c r="AV200" s="54">
        <v>8.8999999999999999E-3</v>
      </c>
      <c r="AW200" s="54">
        <v>8.8999999999999999E-3</v>
      </c>
      <c r="AX200" s="54">
        <v>8.8999999999999999E-3</v>
      </c>
      <c r="AY200" s="54">
        <v>8.8999999999999999E-3</v>
      </c>
      <c r="AZ200" s="54">
        <v>8.8999999999999999E-3</v>
      </c>
      <c r="BA200" s="54">
        <v>8.8999999999999999E-3</v>
      </c>
      <c r="BB200" s="54">
        <v>8.8999999999999999E-3</v>
      </c>
      <c r="BC200" s="54">
        <v>8.8999999999999999E-3</v>
      </c>
      <c r="BD200" s="54">
        <v>8.8999999999999999E-3</v>
      </c>
      <c r="BE200" s="54">
        <v>8.8999999999999999E-3</v>
      </c>
      <c r="BF200" s="54">
        <v>8.8999999999999999E-3</v>
      </c>
      <c r="BG200" s="54">
        <v>8.8999999999999999E-3</v>
      </c>
      <c r="BH200" s="54">
        <v>8.8999999999999999E-3</v>
      </c>
      <c r="BI200" s="54">
        <v>8.8999999999999999E-3</v>
      </c>
      <c r="BJ200" s="54">
        <v>8.8999999999999999E-3</v>
      </c>
      <c r="BK200" s="54">
        <v>8.8999999999999999E-3</v>
      </c>
      <c r="BL200" s="54">
        <v>8.8999999999999999E-3</v>
      </c>
      <c r="BM200" s="54">
        <v>8.8999999999999999E-3</v>
      </c>
      <c r="BN200" s="54">
        <v>8.8999999999999999E-3</v>
      </c>
    </row>
    <row r="201" spans="3:66" x14ac:dyDescent="0.2">
      <c r="C201" s="322"/>
      <c r="D201" s="23" t="s">
        <v>12</v>
      </c>
      <c r="E201" s="27">
        <f>SUM(F201:AY201)</f>
        <v>8458.8685194109712</v>
      </c>
      <c r="F201" s="29">
        <f>+F199*F200</f>
        <v>-1.4842724196194019</v>
      </c>
      <c r="G201" s="29">
        <f>+G199*G200</f>
        <v>4007.5355329723861</v>
      </c>
      <c r="H201" s="29">
        <f>+H199*H200</f>
        <v>4452.8172588582056</v>
      </c>
      <c r="I201" s="29">
        <f t="shared" ref="I201:O201" si="1554">+I199*I200</f>
        <v>0</v>
      </c>
      <c r="J201" s="29">
        <f t="shared" si="1554"/>
        <v>0</v>
      </c>
      <c r="K201" s="29">
        <f t="shared" si="1554"/>
        <v>0</v>
      </c>
      <c r="L201" s="29">
        <f t="shared" si="1554"/>
        <v>0</v>
      </c>
      <c r="M201" s="29">
        <f t="shared" si="1554"/>
        <v>0</v>
      </c>
      <c r="N201" s="29">
        <f t="shared" si="1554"/>
        <v>0</v>
      </c>
      <c r="O201" s="29">
        <f t="shared" si="1554"/>
        <v>0</v>
      </c>
      <c r="P201" s="29">
        <f>+P199*P200</f>
        <v>0</v>
      </c>
      <c r="Q201" s="29">
        <f t="shared" ref="Q201" si="1555">+Q199*Q200</f>
        <v>0</v>
      </c>
      <c r="R201" s="29">
        <f>+R199*R200</f>
        <v>0</v>
      </c>
      <c r="S201" s="29">
        <f>+S199*S200</f>
        <v>0</v>
      </c>
      <c r="T201" s="29">
        <f t="shared" ref="T201" si="1556">+T199*T200</f>
        <v>0</v>
      </c>
      <c r="U201" s="29">
        <f>+U199*U200</f>
        <v>0</v>
      </c>
      <c r="V201" s="29">
        <f t="shared" ref="V201:X201" si="1557">+V199*V200</f>
        <v>0</v>
      </c>
      <c r="W201" s="29">
        <f t="shared" si="1557"/>
        <v>0</v>
      </c>
      <c r="X201" s="29">
        <f t="shared" si="1557"/>
        <v>0</v>
      </c>
      <c r="Y201" s="29">
        <f>+Y199*Y200</f>
        <v>0</v>
      </c>
      <c r="Z201" s="29">
        <f>+Z199*Z200</f>
        <v>0</v>
      </c>
      <c r="AA201" s="29">
        <f>+AA199*AA200</f>
        <v>0</v>
      </c>
      <c r="AB201" s="29">
        <f t="shared" ref="AB201:AD201" si="1558">+AB199*AB200</f>
        <v>0</v>
      </c>
      <c r="AC201" s="29">
        <f t="shared" si="1558"/>
        <v>0</v>
      </c>
      <c r="AD201" s="29">
        <f t="shared" si="1558"/>
        <v>0</v>
      </c>
      <c r="AE201" s="29">
        <v>0</v>
      </c>
      <c r="AF201" s="29">
        <f>+AF199*AF200</f>
        <v>0</v>
      </c>
      <c r="AG201" s="29">
        <f t="shared" ref="AG201:AP201" si="1559">+AG199*AG200</f>
        <v>0</v>
      </c>
      <c r="AH201" s="29">
        <f t="shared" si="1559"/>
        <v>0</v>
      </c>
      <c r="AI201" s="29">
        <f t="shared" si="1559"/>
        <v>0</v>
      </c>
      <c r="AJ201" s="29">
        <f t="shared" si="1559"/>
        <v>0</v>
      </c>
      <c r="AK201" s="29">
        <f t="shared" si="1559"/>
        <v>0</v>
      </c>
      <c r="AL201" s="29">
        <f t="shared" si="1559"/>
        <v>0</v>
      </c>
      <c r="AM201" s="29">
        <f t="shared" si="1559"/>
        <v>0</v>
      </c>
      <c r="AN201" s="29">
        <f t="shared" si="1559"/>
        <v>0</v>
      </c>
      <c r="AO201" s="29">
        <f t="shared" si="1559"/>
        <v>0</v>
      </c>
      <c r="AP201" s="29">
        <f t="shared" si="1559"/>
        <v>0</v>
      </c>
      <c r="AQ201" s="29">
        <f>+AQ199*AQ200</f>
        <v>0</v>
      </c>
      <c r="AR201" s="29">
        <f>+AR199*AR200</f>
        <v>0</v>
      </c>
      <c r="AS201" s="29">
        <f t="shared" ref="AS201:AU201" si="1560">+AS199*AS200</f>
        <v>0</v>
      </c>
      <c r="AT201" s="29">
        <f t="shared" si="1560"/>
        <v>0</v>
      </c>
      <c r="AU201" s="29">
        <f t="shared" si="1560"/>
        <v>0</v>
      </c>
      <c r="AV201" s="29">
        <v>0</v>
      </c>
      <c r="AW201" s="29">
        <f t="shared" ref="AW201:AX201" si="1561">+AW199*AW200</f>
        <v>0</v>
      </c>
      <c r="AX201" s="29">
        <f t="shared" si="1561"/>
        <v>0</v>
      </c>
      <c r="AY201" s="29">
        <f>+AY199*AY200</f>
        <v>0</v>
      </c>
      <c r="AZ201" s="29">
        <f t="shared" ref="AZ201:BM201" si="1562">+AZ199*AZ200</f>
        <v>0</v>
      </c>
      <c r="BA201" s="29">
        <f t="shared" si="1562"/>
        <v>0</v>
      </c>
      <c r="BB201" s="29">
        <v>0</v>
      </c>
      <c r="BC201" s="29">
        <f t="shared" si="1562"/>
        <v>0</v>
      </c>
      <c r="BD201" s="29">
        <f t="shared" si="1562"/>
        <v>0</v>
      </c>
      <c r="BE201" s="29">
        <f t="shared" si="1562"/>
        <v>0</v>
      </c>
      <c r="BF201" s="29">
        <f t="shared" si="1562"/>
        <v>0</v>
      </c>
      <c r="BG201" s="29">
        <f t="shared" si="1562"/>
        <v>0</v>
      </c>
      <c r="BH201" s="29">
        <f t="shared" si="1562"/>
        <v>0</v>
      </c>
      <c r="BI201" s="29">
        <f t="shared" si="1562"/>
        <v>0</v>
      </c>
      <c r="BJ201" s="29">
        <f t="shared" si="1562"/>
        <v>0</v>
      </c>
      <c r="BK201" s="29">
        <f t="shared" si="1562"/>
        <v>0</v>
      </c>
      <c r="BL201" s="29">
        <f t="shared" si="1562"/>
        <v>0</v>
      </c>
      <c r="BM201" s="29">
        <f t="shared" si="1562"/>
        <v>0</v>
      </c>
      <c r="BN201" s="29">
        <v>0</v>
      </c>
    </row>
    <row r="202" spans="3:66" ht="13.5" thickBot="1" x14ac:dyDescent="0.25">
      <c r="C202" s="323"/>
      <c r="D202" s="25" t="s">
        <v>11</v>
      </c>
      <c r="E202" s="30">
        <f>SUM(F202:BN202)</f>
        <v>958893.53362176742</v>
      </c>
      <c r="F202" s="46">
        <f>+F199+F201</f>
        <v>-168.25645439932748</v>
      </c>
      <c r="G202" s="46">
        <f>+G199+G201</f>
        <v>454292.42687818431</v>
      </c>
      <c r="H202" s="46">
        <f>+H199+H201</f>
        <v>504769.36319798243</v>
      </c>
      <c r="I202" s="46">
        <f t="shared" ref="I202:AU202" si="1563">+I199+I201</f>
        <v>0</v>
      </c>
      <c r="J202" s="46">
        <f t="shared" si="1563"/>
        <v>0</v>
      </c>
      <c r="K202" s="46">
        <f t="shared" si="1563"/>
        <v>0</v>
      </c>
      <c r="L202" s="46">
        <f t="shared" si="1563"/>
        <v>0</v>
      </c>
      <c r="M202" s="46">
        <f t="shared" si="1563"/>
        <v>0</v>
      </c>
      <c r="N202" s="46">
        <f t="shared" si="1563"/>
        <v>0</v>
      </c>
      <c r="O202" s="46">
        <f t="shared" si="1563"/>
        <v>0</v>
      </c>
      <c r="P202" s="46">
        <f t="shared" si="1563"/>
        <v>0</v>
      </c>
      <c r="Q202" s="46">
        <f t="shared" si="1563"/>
        <v>0</v>
      </c>
      <c r="R202" s="46">
        <f t="shared" si="1563"/>
        <v>0</v>
      </c>
      <c r="S202" s="46">
        <f t="shared" si="1563"/>
        <v>0</v>
      </c>
      <c r="T202" s="46">
        <f t="shared" si="1563"/>
        <v>0</v>
      </c>
      <c r="U202" s="46">
        <f t="shared" si="1563"/>
        <v>0</v>
      </c>
      <c r="V202" s="46">
        <f t="shared" si="1563"/>
        <v>0</v>
      </c>
      <c r="W202" s="46">
        <f t="shared" si="1563"/>
        <v>0</v>
      </c>
      <c r="X202" s="46">
        <f t="shared" si="1563"/>
        <v>0</v>
      </c>
      <c r="Y202" s="46">
        <f t="shared" si="1563"/>
        <v>0</v>
      </c>
      <c r="Z202" s="46">
        <f t="shared" si="1563"/>
        <v>0</v>
      </c>
      <c r="AA202" s="46">
        <f t="shared" si="1563"/>
        <v>0</v>
      </c>
      <c r="AB202" s="46">
        <f t="shared" si="1563"/>
        <v>0</v>
      </c>
      <c r="AC202" s="46">
        <f t="shared" si="1563"/>
        <v>0</v>
      </c>
      <c r="AD202" s="46">
        <f t="shared" si="1563"/>
        <v>0</v>
      </c>
      <c r="AE202" s="46">
        <f t="shared" si="1563"/>
        <v>0</v>
      </c>
      <c r="AF202" s="46">
        <f t="shared" si="1563"/>
        <v>0</v>
      </c>
      <c r="AG202" s="46">
        <f t="shared" si="1563"/>
        <v>0</v>
      </c>
      <c r="AH202" s="46">
        <f t="shared" si="1563"/>
        <v>0</v>
      </c>
      <c r="AI202" s="46">
        <f t="shared" si="1563"/>
        <v>0</v>
      </c>
      <c r="AJ202" s="46">
        <f t="shared" si="1563"/>
        <v>0</v>
      </c>
      <c r="AK202" s="46">
        <f t="shared" si="1563"/>
        <v>0</v>
      </c>
      <c r="AL202" s="46">
        <f t="shared" si="1563"/>
        <v>0</v>
      </c>
      <c r="AM202" s="46">
        <f t="shared" si="1563"/>
        <v>0</v>
      </c>
      <c r="AN202" s="46">
        <f t="shared" si="1563"/>
        <v>0</v>
      </c>
      <c r="AO202" s="46">
        <f t="shared" si="1563"/>
        <v>0</v>
      </c>
      <c r="AP202" s="46">
        <f t="shared" si="1563"/>
        <v>0</v>
      </c>
      <c r="AQ202" s="46">
        <f t="shared" si="1563"/>
        <v>0</v>
      </c>
      <c r="AR202" s="46">
        <f t="shared" si="1563"/>
        <v>0</v>
      </c>
      <c r="AS202" s="46">
        <f t="shared" si="1563"/>
        <v>0</v>
      </c>
      <c r="AT202" s="46">
        <f t="shared" si="1563"/>
        <v>0</v>
      </c>
      <c r="AU202" s="46">
        <f t="shared" si="1563"/>
        <v>0</v>
      </c>
      <c r="AV202" s="46">
        <f>+AV199+AV201</f>
        <v>0</v>
      </c>
      <c r="AW202" s="46">
        <f t="shared" ref="AW202:BN202" si="1564">+AW199+AW201</f>
        <v>0</v>
      </c>
      <c r="AX202" s="46">
        <f t="shared" si="1564"/>
        <v>0</v>
      </c>
      <c r="AY202" s="46">
        <f t="shared" si="1564"/>
        <v>0</v>
      </c>
      <c r="AZ202" s="46">
        <f t="shared" si="1564"/>
        <v>0</v>
      </c>
      <c r="BA202" s="46">
        <f t="shared" si="1564"/>
        <v>0</v>
      </c>
      <c r="BB202" s="46">
        <f t="shared" si="1564"/>
        <v>0</v>
      </c>
      <c r="BC202" s="46">
        <f t="shared" si="1564"/>
        <v>0</v>
      </c>
      <c r="BD202" s="46">
        <f t="shared" si="1564"/>
        <v>0</v>
      </c>
      <c r="BE202" s="46">
        <f t="shared" si="1564"/>
        <v>0</v>
      </c>
      <c r="BF202" s="46">
        <f t="shared" si="1564"/>
        <v>0</v>
      </c>
      <c r="BG202" s="46">
        <f t="shared" si="1564"/>
        <v>0</v>
      </c>
      <c r="BH202" s="46">
        <f t="shared" si="1564"/>
        <v>0</v>
      </c>
      <c r="BI202" s="46">
        <f t="shared" si="1564"/>
        <v>0</v>
      </c>
      <c r="BJ202" s="46">
        <f t="shared" si="1564"/>
        <v>0</v>
      </c>
      <c r="BK202" s="46">
        <f t="shared" si="1564"/>
        <v>0</v>
      </c>
      <c r="BL202" s="46">
        <f t="shared" si="1564"/>
        <v>0</v>
      </c>
      <c r="BM202" s="46">
        <f t="shared" si="1564"/>
        <v>0</v>
      </c>
      <c r="BN202" s="46">
        <f t="shared" si="1564"/>
        <v>0</v>
      </c>
    </row>
    <row r="203" spans="3:66" x14ac:dyDescent="0.2">
      <c r="C203" s="321">
        <v>44287</v>
      </c>
      <c r="D203" s="20" t="s">
        <v>5</v>
      </c>
      <c r="E203" s="50">
        <f>SUM(F203:BN203)</f>
        <v>0</v>
      </c>
      <c r="F203" s="279">
        <f>IF(F$6=$C203,F$7,0)</f>
        <v>0</v>
      </c>
      <c r="G203" s="279">
        <f t="shared" ref="G203:BN203" si="1565">IF(G$6=$C203,G$7,0)</f>
        <v>0</v>
      </c>
      <c r="H203" s="279">
        <f t="shared" si="1565"/>
        <v>0</v>
      </c>
      <c r="I203" s="279">
        <f t="shared" si="1565"/>
        <v>0</v>
      </c>
      <c r="J203" s="279">
        <f t="shared" si="1565"/>
        <v>0</v>
      </c>
      <c r="K203" s="279">
        <f t="shared" si="1565"/>
        <v>0</v>
      </c>
      <c r="L203" s="279">
        <f t="shared" si="1565"/>
        <v>0</v>
      </c>
      <c r="M203" s="279">
        <f t="shared" si="1565"/>
        <v>0</v>
      </c>
      <c r="N203" s="279">
        <f t="shared" si="1565"/>
        <v>0</v>
      </c>
      <c r="O203" s="279">
        <f t="shared" si="1565"/>
        <v>0</v>
      </c>
      <c r="P203" s="279">
        <f t="shared" si="1565"/>
        <v>0</v>
      </c>
      <c r="Q203" s="279">
        <f t="shared" si="1565"/>
        <v>0</v>
      </c>
      <c r="R203" s="279">
        <f t="shared" si="1565"/>
        <v>0</v>
      </c>
      <c r="S203" s="279">
        <f t="shared" si="1565"/>
        <v>0</v>
      </c>
      <c r="T203" s="279">
        <f t="shared" si="1565"/>
        <v>0</v>
      </c>
      <c r="U203" s="279">
        <f t="shared" si="1565"/>
        <v>0</v>
      </c>
      <c r="V203" s="279">
        <f t="shared" si="1565"/>
        <v>0</v>
      </c>
      <c r="W203" s="279">
        <f t="shared" si="1565"/>
        <v>0</v>
      </c>
      <c r="X203" s="279">
        <f t="shared" si="1565"/>
        <v>0</v>
      </c>
      <c r="Y203" s="279">
        <f t="shared" si="1565"/>
        <v>0</v>
      </c>
      <c r="Z203" s="279">
        <f t="shared" si="1565"/>
        <v>0</v>
      </c>
      <c r="AA203" s="279">
        <f t="shared" si="1565"/>
        <v>0</v>
      </c>
      <c r="AB203" s="279">
        <f t="shared" si="1565"/>
        <v>0</v>
      </c>
      <c r="AC203" s="279">
        <f t="shared" si="1565"/>
        <v>0</v>
      </c>
      <c r="AD203" s="279">
        <f t="shared" si="1565"/>
        <v>0</v>
      </c>
      <c r="AE203" s="279">
        <f t="shared" si="1565"/>
        <v>0</v>
      </c>
      <c r="AF203" s="279">
        <f t="shared" si="1565"/>
        <v>0</v>
      </c>
      <c r="AG203" s="279">
        <f t="shared" si="1565"/>
        <v>0</v>
      </c>
      <c r="AH203" s="279">
        <f t="shared" si="1565"/>
        <v>0</v>
      </c>
      <c r="AI203" s="279">
        <f t="shared" si="1565"/>
        <v>0</v>
      </c>
      <c r="AJ203" s="279">
        <f t="shared" si="1565"/>
        <v>0</v>
      </c>
      <c r="AK203" s="279">
        <f t="shared" si="1565"/>
        <v>0</v>
      </c>
      <c r="AL203" s="279">
        <f t="shared" si="1565"/>
        <v>0</v>
      </c>
      <c r="AM203" s="279">
        <f t="shared" si="1565"/>
        <v>0</v>
      </c>
      <c r="AN203" s="279">
        <f t="shared" si="1565"/>
        <v>0</v>
      </c>
      <c r="AO203" s="279">
        <f t="shared" si="1565"/>
        <v>0</v>
      </c>
      <c r="AP203" s="279">
        <f t="shared" si="1565"/>
        <v>0</v>
      </c>
      <c r="AQ203" s="279">
        <f t="shared" si="1565"/>
        <v>0</v>
      </c>
      <c r="AR203" s="279">
        <f t="shared" si="1565"/>
        <v>0</v>
      </c>
      <c r="AS203" s="279">
        <f t="shared" si="1565"/>
        <v>0</v>
      </c>
      <c r="AT203" s="279">
        <f t="shared" si="1565"/>
        <v>0</v>
      </c>
      <c r="AU203" s="279">
        <f t="shared" si="1565"/>
        <v>0</v>
      </c>
      <c r="AV203" s="279">
        <f t="shared" si="1565"/>
        <v>0</v>
      </c>
      <c r="AW203" s="279">
        <f t="shared" si="1565"/>
        <v>0</v>
      </c>
      <c r="AX203" s="279">
        <f t="shared" si="1565"/>
        <v>0</v>
      </c>
      <c r="AY203" s="279">
        <f t="shared" si="1565"/>
        <v>0</v>
      </c>
      <c r="AZ203" s="279">
        <f t="shared" si="1565"/>
        <v>0</v>
      </c>
      <c r="BA203" s="279">
        <f t="shared" si="1565"/>
        <v>0</v>
      </c>
      <c r="BB203" s="279">
        <f t="shared" si="1565"/>
        <v>0</v>
      </c>
      <c r="BC203" s="279">
        <f t="shared" si="1565"/>
        <v>0</v>
      </c>
      <c r="BD203" s="279">
        <f t="shared" si="1565"/>
        <v>0</v>
      </c>
      <c r="BE203" s="279">
        <f t="shared" si="1565"/>
        <v>0</v>
      </c>
      <c r="BF203" s="279">
        <f t="shared" si="1565"/>
        <v>0</v>
      </c>
      <c r="BG203" s="279">
        <f t="shared" si="1565"/>
        <v>0</v>
      </c>
      <c r="BH203" s="279">
        <f t="shared" si="1565"/>
        <v>0</v>
      </c>
      <c r="BI203" s="279">
        <f t="shared" si="1565"/>
        <v>0</v>
      </c>
      <c r="BJ203" s="279">
        <f t="shared" si="1565"/>
        <v>0</v>
      </c>
      <c r="BK203" s="279">
        <f t="shared" si="1565"/>
        <v>0</v>
      </c>
      <c r="BL203" s="279">
        <f t="shared" si="1565"/>
        <v>0</v>
      </c>
      <c r="BM203" s="279">
        <f t="shared" si="1565"/>
        <v>0</v>
      </c>
      <c r="BN203" s="279">
        <f t="shared" si="1565"/>
        <v>0</v>
      </c>
    </row>
    <row r="204" spans="3:66" x14ac:dyDescent="0.2">
      <c r="C204" s="322"/>
      <c r="D204" s="23" t="s">
        <v>7</v>
      </c>
      <c r="E204" s="91">
        <f>SUM(F204:BN204)</f>
        <v>14.640000000000011</v>
      </c>
      <c r="F204" s="28">
        <f>IF(F203="",VLOOKUP($C203,'CUSTOS REALIZADOS'!$A$11:$E$995,4),(VLOOKUP($C203,'CUSTOS REALIZADOS'!$A$11:$E$995,5)))</f>
        <v>0.24000000000000002</v>
      </c>
      <c r="G204" s="28">
        <f>IF(G203="",VLOOKUP($C203,'CUSTOS REALIZADOS'!$A$11:$E$995,4),(VLOOKUP($C203,'CUSTOS REALIZADOS'!$A$11:$E$995,5)))</f>
        <v>0.24000000000000002</v>
      </c>
      <c r="H204" s="28">
        <f>IF(H203="",VLOOKUP($C203,'CUSTOS REALIZADOS'!$A$11:$E$995,4),(VLOOKUP($C203,'CUSTOS REALIZADOS'!$A$11:$E$995,5)))</f>
        <v>0.24000000000000002</v>
      </c>
      <c r="I204" s="28">
        <f>IF(I203="",VLOOKUP($C203,'CUSTOS REALIZADOS'!$A$11:$E$995,4),(VLOOKUP($C203,'CUSTOS REALIZADOS'!$A$11:$E$995,5)))</f>
        <v>0.24000000000000002</v>
      </c>
      <c r="J204" s="28">
        <f>IF(J203="",VLOOKUP($C203,'CUSTOS REALIZADOS'!$A$11:$E$995,4),(VLOOKUP($C203,'CUSTOS REALIZADOS'!$A$11:$E$995,5)))</f>
        <v>0.24000000000000002</v>
      </c>
      <c r="K204" s="28">
        <f>IF(K203="",VLOOKUP($C203,'CUSTOS REALIZADOS'!$A$11:$E$995,4),(VLOOKUP($C203,'CUSTOS REALIZADOS'!$A$11:$E$995,5)))</f>
        <v>0.24000000000000002</v>
      </c>
      <c r="L204" s="28">
        <f>IF(L203="",VLOOKUP($C203,'CUSTOS REALIZADOS'!$A$11:$E$995,4),(VLOOKUP($C203,'CUSTOS REALIZADOS'!$A$11:$E$995,5)))</f>
        <v>0.24000000000000002</v>
      </c>
      <c r="M204" s="28">
        <f>IF(M203="",VLOOKUP($C203,'CUSTOS REALIZADOS'!$A$11:$E$995,4),(VLOOKUP($C203,'CUSTOS REALIZADOS'!$A$11:$E$995,5)))</f>
        <v>0.24000000000000002</v>
      </c>
      <c r="N204" s="28">
        <f>IF(N203="",VLOOKUP($C203,'CUSTOS REALIZADOS'!$A$11:$E$995,4),(VLOOKUP($C203,'CUSTOS REALIZADOS'!$A$11:$E$995,5)))</f>
        <v>0.24000000000000002</v>
      </c>
      <c r="O204" s="28">
        <f>IF(O203="",VLOOKUP($C203,'CUSTOS REALIZADOS'!$A$11:$E$995,4),(VLOOKUP($C203,'CUSTOS REALIZADOS'!$A$11:$E$995,5)))</f>
        <v>0.24000000000000002</v>
      </c>
      <c r="P204" s="28">
        <f>IF(P203="",VLOOKUP($C203,'CUSTOS REALIZADOS'!$A$11:$E$995,4),(VLOOKUP($C203,'CUSTOS REALIZADOS'!$A$11:$E$995,5)))</f>
        <v>0.24000000000000002</v>
      </c>
      <c r="Q204" s="28">
        <f>IF(Q203="",VLOOKUP($C203,'CUSTOS REALIZADOS'!$A$11:$E$995,4),(VLOOKUP($C203,'CUSTOS REALIZADOS'!$A$11:$E$995,5)))</f>
        <v>0.24000000000000002</v>
      </c>
      <c r="R204" s="28">
        <f>IF(R203="",VLOOKUP($C203,'CUSTOS REALIZADOS'!$A$11:$E$995,4),(VLOOKUP($C203,'CUSTOS REALIZADOS'!$A$11:$E$995,5)))</f>
        <v>0.24000000000000002</v>
      </c>
      <c r="S204" s="28">
        <f>IF(S203="",VLOOKUP($C203,'CUSTOS REALIZADOS'!$A$11:$E$995,4),(VLOOKUP($C203,'CUSTOS REALIZADOS'!$A$11:$E$995,5)))</f>
        <v>0.24000000000000002</v>
      </c>
      <c r="T204" s="28">
        <f>IF(T203="",VLOOKUP($C203,'CUSTOS REALIZADOS'!$A$11:$E$995,4),(VLOOKUP($C203,'CUSTOS REALIZADOS'!$A$11:$E$995,5)))</f>
        <v>0.24000000000000002</v>
      </c>
      <c r="U204" s="28">
        <f>IF(U203="",VLOOKUP($C203,'CUSTOS REALIZADOS'!$A$11:$E$995,4),(VLOOKUP($C203,'CUSTOS REALIZADOS'!$A$11:$E$995,5)))</f>
        <v>0.24000000000000002</v>
      </c>
      <c r="V204" s="28">
        <f>IF(V203="",VLOOKUP($C203,'CUSTOS REALIZADOS'!$A$11:$E$995,4),(VLOOKUP($C203,'CUSTOS REALIZADOS'!$A$11:$E$995,5)))</f>
        <v>0.24000000000000002</v>
      </c>
      <c r="W204" s="28">
        <f>IF(W203="",VLOOKUP($C203,'CUSTOS REALIZADOS'!$A$11:$E$995,4),(VLOOKUP($C203,'CUSTOS REALIZADOS'!$A$11:$E$995,5)))</f>
        <v>0.24000000000000002</v>
      </c>
      <c r="X204" s="28">
        <f>IF(X203="",VLOOKUP($C203,'CUSTOS REALIZADOS'!$A$11:$E$995,4),(VLOOKUP($C203,'CUSTOS REALIZADOS'!$A$11:$E$995,5)))</f>
        <v>0.24000000000000002</v>
      </c>
      <c r="Y204" s="28">
        <f>IF(Y203="",VLOOKUP($C203,'CUSTOS REALIZADOS'!$A$11:$E$995,4),(VLOOKUP($C203,'CUSTOS REALIZADOS'!$A$11:$E$995,5)))</f>
        <v>0.24000000000000002</v>
      </c>
      <c r="Z204" s="28">
        <f>IF(Z203="",VLOOKUP($C203,'CUSTOS REALIZADOS'!$A$11:$E$995,4),(VLOOKUP($C203,'CUSTOS REALIZADOS'!$A$11:$E$995,5)))</f>
        <v>0.24000000000000002</v>
      </c>
      <c r="AA204" s="28">
        <f>IF(AA203="",VLOOKUP($C203,'CUSTOS REALIZADOS'!$A$11:$E$995,4),(VLOOKUP($C203,'CUSTOS REALIZADOS'!$A$11:$E$995,5)))</f>
        <v>0.24000000000000002</v>
      </c>
      <c r="AB204" s="28">
        <f>IF(AB203="",VLOOKUP($C203,'CUSTOS REALIZADOS'!$A$11:$E$995,4),(VLOOKUP($C203,'CUSTOS REALIZADOS'!$A$11:$E$995,5)))</f>
        <v>0.24000000000000002</v>
      </c>
      <c r="AC204" s="28">
        <f>IF(AC203="",VLOOKUP($C203,'CUSTOS REALIZADOS'!$A$11:$E$995,4),(VLOOKUP($C203,'CUSTOS REALIZADOS'!$A$11:$E$995,5)))</f>
        <v>0.24000000000000002</v>
      </c>
      <c r="AD204" s="28">
        <f>IF(AD203="",VLOOKUP($C203,'CUSTOS REALIZADOS'!$A$11:$E$995,4),(VLOOKUP($C203,'CUSTOS REALIZADOS'!$A$11:$E$995,5)))</f>
        <v>0.24000000000000002</v>
      </c>
      <c r="AE204" s="28">
        <f>IF(AE203="",VLOOKUP($C203,'CUSTOS REALIZADOS'!$A$11:$E$995,4),(VLOOKUP($C203,'CUSTOS REALIZADOS'!$A$11:$E$995,5)))</f>
        <v>0.24000000000000002</v>
      </c>
      <c r="AF204" s="28">
        <f>IF(AF203="",VLOOKUP($C203,'CUSTOS REALIZADOS'!$A$11:$E$995,4),(VLOOKUP($C203,'CUSTOS REALIZADOS'!$A$11:$E$995,5)))</f>
        <v>0.24000000000000002</v>
      </c>
      <c r="AG204" s="151">
        <f>IF(AG203="",VLOOKUP($C203,'CUSTOS REALIZADOS'!$A$11:$E$995,4),(VLOOKUP($C203,'CUSTOS REALIZADOS'!$A$11:$E$995,5)))</f>
        <v>0.24000000000000002</v>
      </c>
      <c r="AH204" s="151">
        <f>IF(AH203="",VLOOKUP($C203,'CUSTOS REALIZADOS'!$A$11:$E$995,4),(VLOOKUP($C203,'CUSTOS REALIZADOS'!$A$11:$E$995,5)))</f>
        <v>0.24000000000000002</v>
      </c>
      <c r="AI204" s="28">
        <f>IF(AI203="",VLOOKUP($C203,'CUSTOS REALIZADOS'!$A$11:$E$995,4),(VLOOKUP($C203,'CUSTOS REALIZADOS'!$A$11:$E$995,5)))</f>
        <v>0.24000000000000002</v>
      </c>
      <c r="AJ204" s="28">
        <f>IF(AJ203="",VLOOKUP($C203,'CUSTOS REALIZADOS'!$A$11:$E$995,4),(VLOOKUP($C203,'CUSTOS REALIZADOS'!$A$11:$E$995,5)))</f>
        <v>0.24000000000000002</v>
      </c>
      <c r="AK204" s="28">
        <f>IF(AK203="",VLOOKUP($C203,'CUSTOS REALIZADOS'!$A$11:$E$995,4),(VLOOKUP($C203,'CUSTOS REALIZADOS'!$A$11:$E$995,5)))</f>
        <v>0.24000000000000002</v>
      </c>
      <c r="AL204" s="28">
        <f>IF(AL203="",VLOOKUP($C203,'CUSTOS REALIZADOS'!$A$11:$E$995,4),(VLOOKUP($C203,'CUSTOS REALIZADOS'!$A$11:$E$995,5)))</f>
        <v>0.24000000000000002</v>
      </c>
      <c r="AM204" s="28">
        <f>IF(AM203="",VLOOKUP($C203,'CUSTOS REALIZADOS'!$A$11:$E$995,4),(VLOOKUP($C203,'CUSTOS REALIZADOS'!$A$11:$E$995,5)))</f>
        <v>0.24000000000000002</v>
      </c>
      <c r="AN204" s="28">
        <f>IF(AN203="",VLOOKUP($C203,'CUSTOS REALIZADOS'!$A$11:$E$995,4),(VLOOKUP($C203,'CUSTOS REALIZADOS'!$A$11:$E$995,5)))</f>
        <v>0.24000000000000002</v>
      </c>
      <c r="AO204" s="28">
        <f>IF(AO203="",VLOOKUP($C203,'CUSTOS REALIZADOS'!$A$11:$E$995,4),(VLOOKUP($C203,'CUSTOS REALIZADOS'!$A$11:$E$995,5)))</f>
        <v>0.24000000000000002</v>
      </c>
      <c r="AP204" s="28">
        <f>IF(AP203="",VLOOKUP($C203,'CUSTOS REALIZADOS'!$A$11:$E$995,4),(VLOOKUP($C203,'CUSTOS REALIZADOS'!$A$11:$E$995,5)))</f>
        <v>0.24000000000000002</v>
      </c>
      <c r="AQ204" s="28">
        <f>IF(AQ203="",VLOOKUP($C203,'CUSTOS REALIZADOS'!$A$11:$E$995,4),(VLOOKUP($C203,'CUSTOS REALIZADOS'!$A$11:$E$995,5)))</f>
        <v>0.24000000000000002</v>
      </c>
      <c r="AR204" s="28">
        <f>IF(AR203="",VLOOKUP($C203,'CUSTOS REALIZADOS'!$A$11:$E$995,4),(VLOOKUP($C203,'CUSTOS REALIZADOS'!$A$11:$E$995,5)))</f>
        <v>0.24000000000000002</v>
      </c>
      <c r="AS204" s="28">
        <f>IF(AS203="",VLOOKUP($C203,'CUSTOS REALIZADOS'!$A$11:$E$995,4),(VLOOKUP($C203,'CUSTOS REALIZADOS'!$A$11:$E$995,5)))</f>
        <v>0.24000000000000002</v>
      </c>
      <c r="AT204" s="28">
        <f>IF(AT203="",VLOOKUP($C203,'CUSTOS REALIZADOS'!$A$11:$E$995,4),(VLOOKUP($C203,'CUSTOS REALIZADOS'!$A$11:$E$995,5)))</f>
        <v>0.24000000000000002</v>
      </c>
      <c r="AU204" s="28">
        <f>IF(AU203="",VLOOKUP($C203,'CUSTOS REALIZADOS'!$A$11:$E$995,4),(VLOOKUP($C203,'CUSTOS REALIZADOS'!$A$11:$E$995,5)))</f>
        <v>0.24000000000000002</v>
      </c>
      <c r="AV204" s="28">
        <f>IF(AV203="",VLOOKUP($C203,'CUSTOS REALIZADOS'!$A$11:$E$995,4),(VLOOKUP($C203,'CUSTOS REALIZADOS'!$A$11:$E$995,5)))</f>
        <v>0.24000000000000002</v>
      </c>
      <c r="AW204" s="28">
        <f>IF(AW203="",VLOOKUP($C203,'CUSTOS REALIZADOS'!$A$11:$E$995,4),(VLOOKUP($C203,'CUSTOS REALIZADOS'!$A$11:$E$995,5)))</f>
        <v>0.24000000000000002</v>
      </c>
      <c r="AX204" s="28">
        <f>IF(AX203="",VLOOKUP($C203,'CUSTOS REALIZADOS'!$A$11:$E$995,4),(VLOOKUP($C203,'CUSTOS REALIZADOS'!$A$11:$E$995,5)))</f>
        <v>0.24000000000000002</v>
      </c>
      <c r="AY204" s="28">
        <f>IF(AY203="",VLOOKUP($C203,'CUSTOS REALIZADOS'!$A$11:$E$995,4),(VLOOKUP($C203,'CUSTOS REALIZADOS'!$A$11:$E$995,5)))</f>
        <v>0.24000000000000002</v>
      </c>
      <c r="AZ204" s="28">
        <f>IF(AZ203="",VLOOKUP($C203,'CUSTOS REALIZADOS'!$A$11:$E$995,4),(VLOOKUP($C203,'CUSTOS REALIZADOS'!$A$11:$E$995,5)))</f>
        <v>0.24000000000000002</v>
      </c>
      <c r="BA204" s="28">
        <f>IF(BA203="",VLOOKUP($C203,'CUSTOS REALIZADOS'!$A$11:$E$995,4),(VLOOKUP($C203,'CUSTOS REALIZADOS'!$A$11:$E$995,5)))</f>
        <v>0.24000000000000002</v>
      </c>
      <c r="BB204" s="28">
        <f>IF(BB203="",VLOOKUP($C203,'CUSTOS REALIZADOS'!$A$11:$E$995,4),(VLOOKUP($C203,'CUSTOS REALIZADOS'!$A$11:$E$995,5)))</f>
        <v>0.24000000000000002</v>
      </c>
      <c r="BC204" s="28">
        <f>IF(BC203="",VLOOKUP($C203,'CUSTOS REALIZADOS'!$A$11:$E$995,4),(VLOOKUP($C203,'CUSTOS REALIZADOS'!$A$11:$E$995,5)))</f>
        <v>0.24000000000000002</v>
      </c>
      <c r="BD204" s="28">
        <f>IF(BD203="",VLOOKUP($C203,'CUSTOS REALIZADOS'!$A$11:$E$995,4),(VLOOKUP($C203,'CUSTOS REALIZADOS'!$A$11:$E$995,5)))</f>
        <v>0.24000000000000002</v>
      </c>
      <c r="BE204" s="28">
        <f>IF(BE203="",VLOOKUP($C203,'CUSTOS REALIZADOS'!$A$11:$E$995,4),(VLOOKUP($C203,'CUSTOS REALIZADOS'!$A$11:$E$995,5)))</f>
        <v>0.24000000000000002</v>
      </c>
      <c r="BF204" s="28">
        <f>IF(BF203="",VLOOKUP($C203,'CUSTOS REALIZADOS'!$A$11:$E$995,4),(VLOOKUP($C203,'CUSTOS REALIZADOS'!$A$11:$E$995,5)))</f>
        <v>0.24000000000000002</v>
      </c>
      <c r="BG204" s="28">
        <f>IF(BG203="",VLOOKUP($C203,'CUSTOS REALIZADOS'!$A$11:$E$995,4),(VLOOKUP($C203,'CUSTOS REALIZADOS'!$A$11:$E$995,5)))</f>
        <v>0.24000000000000002</v>
      </c>
      <c r="BH204" s="28">
        <f>IF(BH203="",VLOOKUP($C203,'CUSTOS REALIZADOS'!$A$11:$E$995,4),(VLOOKUP($C203,'CUSTOS REALIZADOS'!$A$11:$E$995,5)))</f>
        <v>0.24000000000000002</v>
      </c>
      <c r="BI204" s="28">
        <f>IF(BI203="",VLOOKUP($C203,'CUSTOS REALIZADOS'!$A$11:$E$995,4),(VLOOKUP($C203,'CUSTOS REALIZADOS'!$A$11:$E$995,5)))</f>
        <v>0.24000000000000002</v>
      </c>
      <c r="BJ204" s="28">
        <f>IF(BJ203="",VLOOKUP($C203,'CUSTOS REALIZADOS'!$A$11:$E$995,4),(VLOOKUP($C203,'CUSTOS REALIZADOS'!$A$11:$E$995,5)))</f>
        <v>0.24000000000000002</v>
      </c>
      <c r="BK204" s="28">
        <f>IF(BK203="",VLOOKUP($C203,'CUSTOS REALIZADOS'!$A$11:$E$995,4),(VLOOKUP($C203,'CUSTOS REALIZADOS'!$A$11:$E$995,5)))</f>
        <v>0.24000000000000002</v>
      </c>
      <c r="BL204" s="28">
        <f>IF(BL203="",VLOOKUP($C203,'CUSTOS REALIZADOS'!$A$11:$E$995,4),(VLOOKUP($C203,'CUSTOS REALIZADOS'!$A$11:$E$995,5)))</f>
        <v>0.24000000000000002</v>
      </c>
      <c r="BM204" s="28">
        <f>IF(BM203="",VLOOKUP($C203,'CUSTOS REALIZADOS'!$A$11:$E$995,4),(VLOOKUP($C203,'CUSTOS REALIZADOS'!$A$11:$E$995,5)))</f>
        <v>0.24000000000000002</v>
      </c>
      <c r="BN204" s="28">
        <f>IF(BN203="",VLOOKUP($C203,'CUSTOS REALIZADOS'!$A$11:$E$995,4),(VLOOKUP($C203,'CUSTOS REALIZADOS'!$A$11:$E$995,5)))</f>
        <v>0.24000000000000002</v>
      </c>
    </row>
    <row r="205" spans="3:66" x14ac:dyDescent="0.2">
      <c r="C205" s="322"/>
      <c r="D205" s="23" t="s">
        <v>6</v>
      </c>
      <c r="E205" s="27">
        <f>SUM(F205:BN205)</f>
        <v>95000</v>
      </c>
      <c r="F205" s="23">
        <f>IF(AND($C203&gt;=F$6,OR($C203&lt;F$8,F$8="")),F$7*F$28,0)</f>
        <v>0</v>
      </c>
      <c r="G205" s="23">
        <f t="shared" ref="G205:BN205" si="1566">IF(AND($C203&gt;=G$6,OR($C203&lt;G$8,G$8="")),G$7*G$28,0)</f>
        <v>45000</v>
      </c>
      <c r="H205" s="23">
        <f t="shared" si="1566"/>
        <v>50000</v>
      </c>
      <c r="I205" s="23">
        <f t="shared" si="1566"/>
        <v>0</v>
      </c>
      <c r="J205" s="23">
        <f t="shared" si="1566"/>
        <v>0</v>
      </c>
      <c r="K205" s="23">
        <f t="shared" si="1566"/>
        <v>0</v>
      </c>
      <c r="L205" s="23">
        <f t="shared" si="1566"/>
        <v>0</v>
      </c>
      <c r="M205" s="23">
        <f t="shared" si="1566"/>
        <v>0</v>
      </c>
      <c r="N205" s="23">
        <f t="shared" si="1566"/>
        <v>0</v>
      </c>
      <c r="O205" s="23">
        <f t="shared" si="1566"/>
        <v>0</v>
      </c>
      <c r="P205" s="23">
        <f t="shared" si="1566"/>
        <v>0</v>
      </c>
      <c r="Q205" s="23">
        <f t="shared" si="1566"/>
        <v>0</v>
      </c>
      <c r="R205" s="23">
        <f t="shared" si="1566"/>
        <v>0</v>
      </c>
      <c r="S205" s="23">
        <f t="shared" si="1566"/>
        <v>0</v>
      </c>
      <c r="T205" s="23">
        <f t="shared" si="1566"/>
        <v>0</v>
      </c>
      <c r="U205" s="23">
        <f t="shared" si="1566"/>
        <v>0</v>
      </c>
      <c r="V205" s="23">
        <f t="shared" si="1566"/>
        <v>0</v>
      </c>
      <c r="W205" s="23">
        <f t="shared" si="1566"/>
        <v>0</v>
      </c>
      <c r="X205" s="23">
        <f t="shared" si="1566"/>
        <v>0</v>
      </c>
      <c r="Y205" s="23">
        <f t="shared" si="1566"/>
        <v>0</v>
      </c>
      <c r="Z205" s="23">
        <f t="shared" si="1566"/>
        <v>0</v>
      </c>
      <c r="AA205" s="23">
        <f t="shared" si="1566"/>
        <v>0</v>
      </c>
      <c r="AB205" s="23">
        <f t="shared" si="1566"/>
        <v>0</v>
      </c>
      <c r="AC205" s="23">
        <f t="shared" si="1566"/>
        <v>0</v>
      </c>
      <c r="AD205" s="23">
        <f t="shared" si="1566"/>
        <v>0</v>
      </c>
      <c r="AE205" s="23">
        <f t="shared" si="1566"/>
        <v>0</v>
      </c>
      <c r="AF205" s="23">
        <f t="shared" si="1566"/>
        <v>0</v>
      </c>
      <c r="AG205" s="23">
        <f t="shared" si="1566"/>
        <v>0</v>
      </c>
      <c r="AH205" s="23">
        <f t="shared" si="1566"/>
        <v>0</v>
      </c>
      <c r="AI205" s="23">
        <f t="shared" si="1566"/>
        <v>0</v>
      </c>
      <c r="AJ205" s="23">
        <f t="shared" si="1566"/>
        <v>0</v>
      </c>
      <c r="AK205" s="23">
        <f t="shared" si="1566"/>
        <v>0</v>
      </c>
      <c r="AL205" s="23">
        <f t="shared" si="1566"/>
        <v>0</v>
      </c>
      <c r="AM205" s="23">
        <f t="shared" si="1566"/>
        <v>0</v>
      </c>
      <c r="AN205" s="23">
        <f t="shared" si="1566"/>
        <v>0</v>
      </c>
      <c r="AO205" s="23">
        <f t="shared" si="1566"/>
        <v>0</v>
      </c>
      <c r="AP205" s="23">
        <f t="shared" si="1566"/>
        <v>0</v>
      </c>
      <c r="AQ205" s="23">
        <f t="shared" si="1566"/>
        <v>0</v>
      </c>
      <c r="AR205" s="23">
        <f t="shared" si="1566"/>
        <v>0</v>
      </c>
      <c r="AS205" s="23">
        <f t="shared" si="1566"/>
        <v>0</v>
      </c>
      <c r="AT205" s="23">
        <f t="shared" si="1566"/>
        <v>0</v>
      </c>
      <c r="AU205" s="23">
        <f t="shared" si="1566"/>
        <v>0</v>
      </c>
      <c r="AV205" s="23">
        <f t="shared" si="1566"/>
        <v>0</v>
      </c>
      <c r="AW205" s="23">
        <f t="shared" si="1566"/>
        <v>0</v>
      </c>
      <c r="AX205" s="23">
        <f t="shared" si="1566"/>
        <v>0</v>
      </c>
      <c r="AY205" s="23">
        <f t="shared" si="1566"/>
        <v>0</v>
      </c>
      <c r="AZ205" s="23">
        <f t="shared" si="1566"/>
        <v>0</v>
      </c>
      <c r="BA205" s="23">
        <f t="shared" si="1566"/>
        <v>0</v>
      </c>
      <c r="BB205" s="23">
        <f t="shared" si="1566"/>
        <v>0</v>
      </c>
      <c r="BC205" s="23">
        <f t="shared" si="1566"/>
        <v>0</v>
      </c>
      <c r="BD205" s="23">
        <f t="shared" si="1566"/>
        <v>0</v>
      </c>
      <c r="BE205" s="23">
        <f t="shared" si="1566"/>
        <v>0</v>
      </c>
      <c r="BF205" s="23">
        <f t="shared" si="1566"/>
        <v>0</v>
      </c>
      <c r="BG205" s="23">
        <f t="shared" si="1566"/>
        <v>0</v>
      </c>
      <c r="BH205" s="23">
        <f t="shared" si="1566"/>
        <v>0</v>
      </c>
      <c r="BI205" s="23">
        <f t="shared" si="1566"/>
        <v>0</v>
      </c>
      <c r="BJ205" s="23">
        <f t="shared" si="1566"/>
        <v>0</v>
      </c>
      <c r="BK205" s="23">
        <f t="shared" si="1566"/>
        <v>0</v>
      </c>
      <c r="BL205" s="23">
        <f t="shared" si="1566"/>
        <v>0</v>
      </c>
      <c r="BM205" s="23">
        <f t="shared" si="1566"/>
        <v>0</v>
      </c>
      <c r="BN205" s="23">
        <f t="shared" si="1566"/>
        <v>0</v>
      </c>
    </row>
    <row r="206" spans="3:66" x14ac:dyDescent="0.2">
      <c r="C206" s="322"/>
      <c r="D206" s="23" t="s">
        <v>9</v>
      </c>
      <c r="E206" s="225">
        <f>SUM(F206:BN206)</f>
        <v>0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2"/>
    </row>
    <row r="207" spans="3:66" x14ac:dyDescent="0.2">
      <c r="C207" s="322"/>
      <c r="D207" s="23" t="s">
        <v>14</v>
      </c>
      <c r="E207" s="27">
        <f>SUM(F207:AY207)</f>
        <v>958893.53362176742</v>
      </c>
      <c r="F207" s="23">
        <f>IF(F202=0,F203-F206,F202-F206)</f>
        <v>-168.25645439932748</v>
      </c>
      <c r="G207" s="23">
        <f t="shared" ref="G207" si="1567">IF(G202=0,G203-G206,G202-G206)</f>
        <v>454292.42687818431</v>
      </c>
      <c r="H207" s="23">
        <f t="shared" ref="H207" si="1568">IF(H202=0,H203-H206,H202-H206)</f>
        <v>504769.36319798243</v>
      </c>
      <c r="I207" s="23">
        <f t="shared" ref="I207" si="1569">IF(I202=0,I203-I206,I202-I206)</f>
        <v>0</v>
      </c>
      <c r="J207" s="23">
        <f t="shared" ref="J207" si="1570">IF(J202=0,J203-J206,J202-J206)</f>
        <v>0</v>
      </c>
      <c r="K207" s="23">
        <f t="shared" ref="K207" si="1571">IF(K202=0,K203-K206,K202-K206)</f>
        <v>0</v>
      </c>
      <c r="L207" s="23">
        <f t="shared" ref="L207" si="1572">IF(L202=0,L203-L206,L202-L206)</f>
        <v>0</v>
      </c>
      <c r="M207" s="23">
        <f t="shared" ref="M207" si="1573">IF(M202=0,M203-M206,M202-M206)</f>
        <v>0</v>
      </c>
      <c r="N207" s="23">
        <f t="shared" ref="N207" si="1574">IF(N202=0,N203-N206,N202-N206)</f>
        <v>0</v>
      </c>
      <c r="O207" s="23">
        <f t="shared" ref="O207" si="1575">IF(O202=0,O203-O206,O202-O206)</f>
        <v>0</v>
      </c>
      <c r="P207" s="23">
        <f t="shared" ref="P207" si="1576">IF(P202=0,P203-P206,P202-P206)</f>
        <v>0</v>
      </c>
      <c r="Q207" s="23">
        <f t="shared" ref="Q207" si="1577">IF(Q202=0,Q203-Q206,Q202-Q206)</f>
        <v>0</v>
      </c>
      <c r="R207" s="23">
        <f t="shared" ref="R207" si="1578">IF(R202=0,R203-R206,R202-R206)</f>
        <v>0</v>
      </c>
      <c r="S207" s="23">
        <f t="shared" ref="S207" si="1579">IF(S202=0,S203-S206,S202-S206)</f>
        <v>0</v>
      </c>
      <c r="T207" s="23">
        <f t="shared" ref="T207" si="1580">IF(T202=0,T203-T206,T202-T206)</f>
        <v>0</v>
      </c>
      <c r="U207" s="23">
        <f t="shared" ref="U207" si="1581">IF(U202=0,U203-U206,U202-U206)</f>
        <v>0</v>
      </c>
      <c r="V207" s="23">
        <f t="shared" ref="V207" si="1582">IF(V202=0,V203-V206,V202-V206)</f>
        <v>0</v>
      </c>
      <c r="W207" s="23">
        <f t="shared" ref="W207" si="1583">IF(W202=0,W203-W206,W202-W206)</f>
        <v>0</v>
      </c>
      <c r="X207" s="23">
        <f t="shared" ref="X207" si="1584">IF(X202=0,X203-X206,X202-X206)</f>
        <v>0</v>
      </c>
      <c r="Y207" s="23">
        <f t="shared" ref="Y207" si="1585">IF(Y202=0,Y203-Y206,Y202-Y206)</f>
        <v>0</v>
      </c>
      <c r="Z207" s="23">
        <f t="shared" ref="Z207" si="1586">IF(Z202=0,Z203-Z206,Z202-Z206)</f>
        <v>0</v>
      </c>
      <c r="AA207" s="23">
        <f t="shared" ref="AA207" si="1587">IF(AA202=0,AA203-AA206,AA202-AA206)</f>
        <v>0</v>
      </c>
      <c r="AB207" s="23">
        <f t="shared" ref="AB207" si="1588">IF(AB202=0,AB203-AB206,AB202-AB206)</f>
        <v>0</v>
      </c>
      <c r="AC207" s="23">
        <f t="shared" ref="AC207" si="1589">IF(AC202=0,AC203-AC206,AC202-AC206)</f>
        <v>0</v>
      </c>
      <c r="AD207" s="23">
        <f t="shared" ref="AD207" si="1590">IF(AD202=0,AD203-AD206,AD202-AD206)</f>
        <v>0</v>
      </c>
      <c r="AE207" s="23">
        <f t="shared" ref="AE207" si="1591">IF(AE202=0,AE203-AE206,AE202-AE206)</f>
        <v>0</v>
      </c>
      <c r="AF207" s="23">
        <f t="shared" ref="AF207" si="1592">IF(AF202=0,AF203-AF206,AF202-AF206)</f>
        <v>0</v>
      </c>
      <c r="AG207" s="23">
        <f t="shared" ref="AG207" si="1593">IF(AG202=0,AG203-AG206,AG202-AG206)</f>
        <v>0</v>
      </c>
      <c r="AH207" s="23">
        <f t="shared" ref="AH207" si="1594">IF(AH202=0,AH203-AH206,AH202-AH206)</f>
        <v>0</v>
      </c>
      <c r="AI207" s="23">
        <f t="shared" ref="AI207" si="1595">IF(AI202=0,AI203-AI206,AI202-AI206)</f>
        <v>0</v>
      </c>
      <c r="AJ207" s="23">
        <f t="shared" ref="AJ207" si="1596">IF(AJ202=0,AJ203-AJ206,AJ202-AJ206)</f>
        <v>0</v>
      </c>
      <c r="AK207" s="23">
        <f t="shared" ref="AK207" si="1597">IF(AK202=0,AK203-AK206,AK202-AK206)</f>
        <v>0</v>
      </c>
      <c r="AL207" s="23">
        <f t="shared" ref="AL207" si="1598">IF(AL202=0,AL203-AL206,AL202-AL206)</f>
        <v>0</v>
      </c>
      <c r="AM207" s="23">
        <f t="shared" ref="AM207" si="1599">IF(AM202=0,AM203-AM206,AM202-AM206)</f>
        <v>0</v>
      </c>
      <c r="AN207" s="23">
        <f t="shared" ref="AN207" si="1600">IF(AN202=0,AN203-AN206,AN202-AN206)</f>
        <v>0</v>
      </c>
      <c r="AO207" s="23">
        <f t="shared" ref="AO207" si="1601">IF(AO202=0,AO203-AO206,AO202-AO206)</f>
        <v>0</v>
      </c>
      <c r="AP207" s="23">
        <f t="shared" ref="AP207" si="1602">IF(AP202=0,AP203-AP206,AP202-AP206)</f>
        <v>0</v>
      </c>
      <c r="AQ207" s="23">
        <f t="shared" ref="AQ207" si="1603">IF(AQ202=0,AQ203-AQ206,AQ202-AQ206)</f>
        <v>0</v>
      </c>
      <c r="AR207" s="23">
        <f t="shared" ref="AR207" si="1604">IF(AR202=0,AR203-AR206,AR202-AR206)</f>
        <v>0</v>
      </c>
      <c r="AS207" s="23">
        <f t="shared" ref="AS207" si="1605">IF(AS202=0,AS203-AS206,AS202-AS206)</f>
        <v>0</v>
      </c>
      <c r="AT207" s="23">
        <f t="shared" ref="AT207" si="1606">IF(AT202=0,AT203-AT206,AT202-AT206)</f>
        <v>0</v>
      </c>
      <c r="AU207" s="23">
        <f t="shared" ref="AU207" si="1607">IF(AU202=0,AU203-AU206,AU202-AU206)</f>
        <v>0</v>
      </c>
      <c r="AV207" s="23">
        <f t="shared" ref="AV207" si="1608">IF(AV202=0,AV203-AV206,AV202-AV206)</f>
        <v>0</v>
      </c>
      <c r="AW207" s="23">
        <f t="shared" ref="AW207" si="1609">IF(AW202=0,AW203-AW206,AW202-AW206)</f>
        <v>0</v>
      </c>
      <c r="AX207" s="23">
        <f t="shared" ref="AX207" si="1610">IF(AX202=0,AX203-AX206,AX202-AX206)</f>
        <v>0</v>
      </c>
      <c r="AY207" s="23">
        <f t="shared" ref="AY207" si="1611">IF(AY202=0,AY203-AY206,AY202-AY206)</f>
        <v>0</v>
      </c>
      <c r="AZ207" s="23">
        <f t="shared" ref="AZ207" si="1612">IF(AZ202=0,AZ203-AZ206,AZ202-AZ206)</f>
        <v>0</v>
      </c>
      <c r="BA207" s="23">
        <f t="shared" ref="BA207" si="1613">IF(BA202=0,BA203-BA206,BA202-BA206)</f>
        <v>0</v>
      </c>
      <c r="BB207" s="23">
        <f t="shared" ref="BB207" si="1614">IF(BB202=0,BB203-BB206,BB202-BB206)</f>
        <v>0</v>
      </c>
      <c r="BC207" s="23">
        <f t="shared" ref="BC207" si="1615">IF(BC202=0,BC203-BC206,BC202-BC206)</f>
        <v>0</v>
      </c>
      <c r="BD207" s="23">
        <f t="shared" ref="BD207" si="1616">IF(BD202=0,BD203-BD206,BD202-BD206)</f>
        <v>0</v>
      </c>
      <c r="BE207" s="23">
        <f t="shared" ref="BE207" si="1617">IF(BE202=0,BE203-BE206,BE202-BE206)</f>
        <v>0</v>
      </c>
      <c r="BF207" s="23">
        <f t="shared" ref="BF207" si="1618">IF(BF202=0,BF203-BF206,BF202-BF206)</f>
        <v>0</v>
      </c>
      <c r="BG207" s="23">
        <f t="shared" ref="BG207" si="1619">IF(BG202=0,BG203-BG206,BG202-BG206)</f>
        <v>0</v>
      </c>
      <c r="BH207" s="23">
        <f t="shared" ref="BH207" si="1620">IF(BH202=0,BH203-BH206,BH202-BH206)</f>
        <v>0</v>
      </c>
      <c r="BI207" s="23">
        <f t="shared" ref="BI207" si="1621">IF(BI202=0,BI203-BI206,BI202-BI206)</f>
        <v>0</v>
      </c>
      <c r="BJ207" s="23">
        <f t="shared" ref="BJ207" si="1622">IF(BJ202=0,BJ203-BJ206,BJ202-BJ206)</f>
        <v>0</v>
      </c>
      <c r="BK207" s="23">
        <f t="shared" ref="BK207" si="1623">IF(BK202=0,BK203-BK206,BK202-BK206)</f>
        <v>0</v>
      </c>
      <c r="BL207" s="23">
        <f t="shared" ref="BL207" si="1624">IF(BL202=0,BL203-BL206,BL202-BL206)</f>
        <v>0</v>
      </c>
      <c r="BM207" s="23">
        <f t="shared" ref="BM207" si="1625">IF(BM202=0,BM203-BM206,BM202-BM206)</f>
        <v>0</v>
      </c>
      <c r="BN207" s="23">
        <f t="shared" ref="BN207" si="1626">IF(BN202=0,BN203-BN206,BN202-BN206)</f>
        <v>0</v>
      </c>
    </row>
    <row r="208" spans="3:66" x14ac:dyDescent="0.2">
      <c r="C208" s="322"/>
      <c r="D208" s="23" t="s">
        <v>10</v>
      </c>
      <c r="E208" s="72">
        <v>1.89E-2</v>
      </c>
      <c r="F208" s="54">
        <v>1.89E-2</v>
      </c>
      <c r="G208" s="54">
        <v>1.89E-2</v>
      </c>
      <c r="H208" s="54">
        <v>1.89E-2</v>
      </c>
      <c r="I208" s="54">
        <v>1.89E-2</v>
      </c>
      <c r="J208" s="54">
        <v>1.89E-2</v>
      </c>
      <c r="K208" s="54">
        <v>1.89E-2</v>
      </c>
      <c r="L208" s="54">
        <v>1.89E-2</v>
      </c>
      <c r="M208" s="54">
        <v>1.89E-2</v>
      </c>
      <c r="N208" s="54">
        <v>1.89E-2</v>
      </c>
      <c r="O208" s="54">
        <v>1.89E-2</v>
      </c>
      <c r="P208" s="54">
        <v>1.89E-2</v>
      </c>
      <c r="Q208" s="54">
        <v>1.89E-2</v>
      </c>
      <c r="R208" s="54">
        <v>1.89E-2</v>
      </c>
      <c r="S208" s="54">
        <v>1.89E-2</v>
      </c>
      <c r="T208" s="54">
        <v>1.89E-2</v>
      </c>
      <c r="U208" s="54">
        <v>1.89E-2</v>
      </c>
      <c r="V208" s="54">
        <v>1.89E-2</v>
      </c>
      <c r="W208" s="54">
        <v>1.89E-2</v>
      </c>
      <c r="X208" s="54">
        <v>1.89E-2</v>
      </c>
      <c r="Y208" s="54">
        <v>1.89E-2</v>
      </c>
      <c r="Z208" s="54">
        <v>1.89E-2</v>
      </c>
      <c r="AA208" s="54">
        <v>1.89E-2</v>
      </c>
      <c r="AB208" s="54">
        <v>1.89E-2</v>
      </c>
      <c r="AC208" s="54">
        <v>1.89E-2</v>
      </c>
      <c r="AD208" s="54">
        <v>1.89E-2</v>
      </c>
      <c r="AE208" s="54">
        <v>1.89E-2</v>
      </c>
      <c r="AF208" s="54">
        <v>1.89E-2</v>
      </c>
      <c r="AG208" s="54">
        <v>1.89E-2</v>
      </c>
      <c r="AH208" s="54">
        <v>1.89E-2</v>
      </c>
      <c r="AI208" s="54">
        <v>1.89E-2</v>
      </c>
      <c r="AJ208" s="54">
        <v>1.89E-2</v>
      </c>
      <c r="AK208" s="54">
        <v>1.89E-2</v>
      </c>
      <c r="AL208" s="54">
        <v>1.89E-2</v>
      </c>
      <c r="AM208" s="54">
        <v>1.89E-2</v>
      </c>
      <c r="AN208" s="54">
        <v>1.89E-2</v>
      </c>
      <c r="AO208" s="54">
        <v>1.89E-2</v>
      </c>
      <c r="AP208" s="54">
        <v>1.89E-2</v>
      </c>
      <c r="AQ208" s="54">
        <v>1.89E-2</v>
      </c>
      <c r="AR208" s="54">
        <v>1.89E-2</v>
      </c>
      <c r="AS208" s="54">
        <v>1.89E-2</v>
      </c>
      <c r="AT208" s="54">
        <v>1.89E-2</v>
      </c>
      <c r="AU208" s="54">
        <v>1.89E-2</v>
      </c>
      <c r="AV208" s="54">
        <v>1.89E-2</v>
      </c>
      <c r="AW208" s="54">
        <v>1.89E-2</v>
      </c>
      <c r="AX208" s="54">
        <v>1.89E-2</v>
      </c>
      <c r="AY208" s="54">
        <v>1.89E-2</v>
      </c>
      <c r="AZ208" s="54">
        <v>1.89E-2</v>
      </c>
      <c r="BA208" s="54">
        <v>1.89E-2</v>
      </c>
      <c r="BB208" s="54">
        <v>1.89E-2</v>
      </c>
      <c r="BC208" s="54">
        <v>1.89E-2</v>
      </c>
      <c r="BD208" s="54">
        <v>1.89E-2</v>
      </c>
      <c r="BE208" s="54">
        <v>1.89E-2</v>
      </c>
      <c r="BF208" s="54">
        <v>1.89E-2</v>
      </c>
      <c r="BG208" s="54">
        <v>1.89E-2</v>
      </c>
      <c r="BH208" s="54">
        <v>1.89E-2</v>
      </c>
      <c r="BI208" s="54">
        <v>1.89E-2</v>
      </c>
      <c r="BJ208" s="54">
        <v>1.89E-2</v>
      </c>
      <c r="BK208" s="54">
        <v>1.89E-2</v>
      </c>
      <c r="BL208" s="54">
        <v>1.89E-2</v>
      </c>
      <c r="BM208" s="54">
        <v>1.89E-2</v>
      </c>
      <c r="BN208" s="54">
        <v>1.89E-2</v>
      </c>
    </row>
    <row r="209" spans="3:66" x14ac:dyDescent="0.2">
      <c r="C209" s="322"/>
      <c r="D209" s="23" t="s">
        <v>12</v>
      </c>
      <c r="E209" s="27">
        <f>SUM(F209:AY209)</f>
        <v>18123.087785451404</v>
      </c>
      <c r="F209" s="29">
        <f>+F207*F208</f>
        <v>-3.1800469881472893</v>
      </c>
      <c r="G209" s="29">
        <f>+G207*G208</f>
        <v>8586.1268679976838</v>
      </c>
      <c r="H209" s="29">
        <f>+H207*H208</f>
        <v>9540.1409644418673</v>
      </c>
      <c r="I209" s="29">
        <f t="shared" ref="I209:O209" si="1627">+I207*I208</f>
        <v>0</v>
      </c>
      <c r="J209" s="29">
        <f t="shared" si="1627"/>
        <v>0</v>
      </c>
      <c r="K209" s="29">
        <f t="shared" si="1627"/>
        <v>0</v>
      </c>
      <c r="L209" s="29">
        <f t="shared" si="1627"/>
        <v>0</v>
      </c>
      <c r="M209" s="29">
        <f t="shared" si="1627"/>
        <v>0</v>
      </c>
      <c r="N209" s="29">
        <f t="shared" si="1627"/>
        <v>0</v>
      </c>
      <c r="O209" s="29">
        <f t="shared" si="1627"/>
        <v>0</v>
      </c>
      <c r="P209" s="29">
        <f>+P207*P208</f>
        <v>0</v>
      </c>
      <c r="Q209" s="29">
        <f t="shared" ref="Q209" si="1628">+Q207*Q208</f>
        <v>0</v>
      </c>
      <c r="R209" s="29">
        <v>0</v>
      </c>
      <c r="S209" s="29">
        <f>+S207*S208</f>
        <v>0</v>
      </c>
      <c r="T209" s="29">
        <f t="shared" ref="T209" si="1629">+T207*T208</f>
        <v>0</v>
      </c>
      <c r="U209" s="29">
        <f>+U207*U208</f>
        <v>0</v>
      </c>
      <c r="V209" s="29">
        <f t="shared" ref="V209:X209" si="1630">+V207*V208</f>
        <v>0</v>
      </c>
      <c r="W209" s="29">
        <f t="shared" si="1630"/>
        <v>0</v>
      </c>
      <c r="X209" s="29">
        <f t="shared" si="1630"/>
        <v>0</v>
      </c>
      <c r="Y209" s="29">
        <f>+Y207*Y208</f>
        <v>0</v>
      </c>
      <c r="Z209" s="29">
        <f>+Z207*Z208</f>
        <v>0</v>
      </c>
      <c r="AA209" s="29">
        <f>+AA207*AA208</f>
        <v>0</v>
      </c>
      <c r="AB209" s="29">
        <f t="shared" ref="AB209:AD209" si="1631">+AB207*AB208</f>
        <v>0</v>
      </c>
      <c r="AC209" s="29">
        <f t="shared" si="1631"/>
        <v>0</v>
      </c>
      <c r="AD209" s="29">
        <f t="shared" si="1631"/>
        <v>0</v>
      </c>
      <c r="AE209" s="29">
        <v>0</v>
      </c>
      <c r="AF209" s="29">
        <f>+AF207*AF208</f>
        <v>0</v>
      </c>
      <c r="AG209" s="29">
        <f t="shared" ref="AG209:AP209" si="1632">+AG207*AG208</f>
        <v>0</v>
      </c>
      <c r="AH209" s="29">
        <f t="shared" si="1632"/>
        <v>0</v>
      </c>
      <c r="AI209" s="29">
        <f t="shared" si="1632"/>
        <v>0</v>
      </c>
      <c r="AJ209" s="29">
        <f t="shared" si="1632"/>
        <v>0</v>
      </c>
      <c r="AK209" s="29">
        <f t="shared" si="1632"/>
        <v>0</v>
      </c>
      <c r="AL209" s="29">
        <f t="shared" si="1632"/>
        <v>0</v>
      </c>
      <c r="AM209" s="29">
        <f t="shared" si="1632"/>
        <v>0</v>
      </c>
      <c r="AN209" s="29">
        <f t="shared" si="1632"/>
        <v>0</v>
      </c>
      <c r="AO209" s="29">
        <f t="shared" si="1632"/>
        <v>0</v>
      </c>
      <c r="AP209" s="29">
        <f t="shared" si="1632"/>
        <v>0</v>
      </c>
      <c r="AQ209" s="29">
        <f>+AQ207*AQ208</f>
        <v>0</v>
      </c>
      <c r="AR209" s="29">
        <f>+AR207*AR208</f>
        <v>0</v>
      </c>
      <c r="AS209" s="29">
        <f t="shared" ref="AS209:AU209" si="1633">+AS207*AS208</f>
        <v>0</v>
      </c>
      <c r="AT209" s="29">
        <f t="shared" si="1633"/>
        <v>0</v>
      </c>
      <c r="AU209" s="29">
        <f t="shared" si="1633"/>
        <v>0</v>
      </c>
      <c r="AV209" s="29">
        <v>0</v>
      </c>
      <c r="AW209" s="29">
        <f t="shared" ref="AW209:AX209" si="1634">+AW207*AW208</f>
        <v>0</v>
      </c>
      <c r="AX209" s="29">
        <f t="shared" si="1634"/>
        <v>0</v>
      </c>
      <c r="AY209" s="29">
        <f>+AY207*AY208</f>
        <v>0</v>
      </c>
      <c r="AZ209" s="29">
        <f t="shared" ref="AZ209:BN209" si="1635">+AZ207*AZ208</f>
        <v>0</v>
      </c>
      <c r="BA209" s="29">
        <f t="shared" si="1635"/>
        <v>0</v>
      </c>
      <c r="BB209" s="29">
        <v>0</v>
      </c>
      <c r="BC209" s="29">
        <f t="shared" si="1635"/>
        <v>0</v>
      </c>
      <c r="BD209" s="29">
        <f t="shared" si="1635"/>
        <v>0</v>
      </c>
      <c r="BE209" s="29">
        <f t="shared" si="1635"/>
        <v>0</v>
      </c>
      <c r="BF209" s="29">
        <f t="shared" si="1635"/>
        <v>0</v>
      </c>
      <c r="BG209" s="29">
        <f t="shared" si="1635"/>
        <v>0</v>
      </c>
      <c r="BH209" s="29">
        <f t="shared" si="1635"/>
        <v>0</v>
      </c>
      <c r="BI209" s="29">
        <f t="shared" si="1635"/>
        <v>0</v>
      </c>
      <c r="BJ209" s="29">
        <f t="shared" si="1635"/>
        <v>0</v>
      </c>
      <c r="BK209" s="29">
        <f t="shared" si="1635"/>
        <v>0</v>
      </c>
      <c r="BL209" s="29">
        <f t="shared" si="1635"/>
        <v>0</v>
      </c>
      <c r="BM209" s="29">
        <f t="shared" si="1635"/>
        <v>0</v>
      </c>
      <c r="BN209" s="29">
        <f t="shared" si="1635"/>
        <v>0</v>
      </c>
    </row>
    <row r="210" spans="3:66" ht="13.5" thickBot="1" x14ac:dyDescent="0.25">
      <c r="C210" s="323"/>
      <c r="D210" s="25" t="s">
        <v>11</v>
      </c>
      <c r="E210" s="30">
        <f>SUM(F210:BN210)</f>
        <v>977016.62140721886</v>
      </c>
      <c r="F210" s="46">
        <f>+F207+F209</f>
        <v>-171.43650138747478</v>
      </c>
      <c r="G210" s="46">
        <f>+G207+G209</f>
        <v>462878.55374618201</v>
      </c>
      <c r="H210" s="46">
        <f>+H207+H209</f>
        <v>514309.5041624243</v>
      </c>
      <c r="I210" s="46">
        <f t="shared" ref="I210:AU210" si="1636">+I207+I209</f>
        <v>0</v>
      </c>
      <c r="J210" s="46">
        <f t="shared" si="1636"/>
        <v>0</v>
      </c>
      <c r="K210" s="46">
        <f t="shared" si="1636"/>
        <v>0</v>
      </c>
      <c r="L210" s="46">
        <f t="shared" si="1636"/>
        <v>0</v>
      </c>
      <c r="M210" s="46">
        <f t="shared" si="1636"/>
        <v>0</v>
      </c>
      <c r="N210" s="46">
        <f t="shared" si="1636"/>
        <v>0</v>
      </c>
      <c r="O210" s="46">
        <f t="shared" si="1636"/>
        <v>0</v>
      </c>
      <c r="P210" s="46">
        <f t="shared" si="1636"/>
        <v>0</v>
      </c>
      <c r="Q210" s="46">
        <f t="shared" si="1636"/>
        <v>0</v>
      </c>
      <c r="R210" s="46">
        <f t="shared" si="1636"/>
        <v>0</v>
      </c>
      <c r="S210" s="46">
        <f t="shared" si="1636"/>
        <v>0</v>
      </c>
      <c r="T210" s="46">
        <f t="shared" si="1636"/>
        <v>0</v>
      </c>
      <c r="U210" s="46">
        <f t="shared" si="1636"/>
        <v>0</v>
      </c>
      <c r="V210" s="46">
        <f t="shared" si="1636"/>
        <v>0</v>
      </c>
      <c r="W210" s="46">
        <f t="shared" si="1636"/>
        <v>0</v>
      </c>
      <c r="X210" s="46">
        <f t="shared" si="1636"/>
        <v>0</v>
      </c>
      <c r="Y210" s="46">
        <f t="shared" si="1636"/>
        <v>0</v>
      </c>
      <c r="Z210" s="46">
        <f t="shared" si="1636"/>
        <v>0</v>
      </c>
      <c r="AA210" s="46">
        <f t="shared" si="1636"/>
        <v>0</v>
      </c>
      <c r="AB210" s="46">
        <f t="shared" si="1636"/>
        <v>0</v>
      </c>
      <c r="AC210" s="46">
        <f t="shared" si="1636"/>
        <v>0</v>
      </c>
      <c r="AD210" s="46">
        <f t="shared" si="1636"/>
        <v>0</v>
      </c>
      <c r="AE210" s="46">
        <f t="shared" si="1636"/>
        <v>0</v>
      </c>
      <c r="AF210" s="46">
        <f t="shared" si="1636"/>
        <v>0</v>
      </c>
      <c r="AG210" s="46">
        <f t="shared" si="1636"/>
        <v>0</v>
      </c>
      <c r="AH210" s="46">
        <f t="shared" si="1636"/>
        <v>0</v>
      </c>
      <c r="AI210" s="46">
        <f t="shared" si="1636"/>
        <v>0</v>
      </c>
      <c r="AJ210" s="46">
        <f t="shared" si="1636"/>
        <v>0</v>
      </c>
      <c r="AK210" s="46">
        <f t="shared" si="1636"/>
        <v>0</v>
      </c>
      <c r="AL210" s="46">
        <f t="shared" si="1636"/>
        <v>0</v>
      </c>
      <c r="AM210" s="46">
        <f t="shared" si="1636"/>
        <v>0</v>
      </c>
      <c r="AN210" s="46">
        <f t="shared" si="1636"/>
        <v>0</v>
      </c>
      <c r="AO210" s="46">
        <f t="shared" si="1636"/>
        <v>0</v>
      </c>
      <c r="AP210" s="46">
        <f t="shared" si="1636"/>
        <v>0</v>
      </c>
      <c r="AQ210" s="46">
        <f t="shared" si="1636"/>
        <v>0</v>
      </c>
      <c r="AR210" s="46">
        <f t="shared" si="1636"/>
        <v>0</v>
      </c>
      <c r="AS210" s="46">
        <f t="shared" si="1636"/>
        <v>0</v>
      </c>
      <c r="AT210" s="46">
        <f t="shared" si="1636"/>
        <v>0</v>
      </c>
      <c r="AU210" s="46">
        <f t="shared" si="1636"/>
        <v>0</v>
      </c>
      <c r="AV210" s="46">
        <f>+AV207+AV209</f>
        <v>0</v>
      </c>
      <c r="AW210" s="46">
        <f t="shared" ref="AW210:BN210" si="1637">+AW207+AW209</f>
        <v>0</v>
      </c>
      <c r="AX210" s="46">
        <f t="shared" si="1637"/>
        <v>0</v>
      </c>
      <c r="AY210" s="46">
        <f t="shared" si="1637"/>
        <v>0</v>
      </c>
      <c r="AZ210" s="46">
        <f t="shared" si="1637"/>
        <v>0</v>
      </c>
      <c r="BA210" s="46">
        <f t="shared" si="1637"/>
        <v>0</v>
      </c>
      <c r="BB210" s="46">
        <f t="shared" si="1637"/>
        <v>0</v>
      </c>
      <c r="BC210" s="46">
        <f t="shared" si="1637"/>
        <v>0</v>
      </c>
      <c r="BD210" s="46">
        <f t="shared" si="1637"/>
        <v>0</v>
      </c>
      <c r="BE210" s="46">
        <f t="shared" si="1637"/>
        <v>0</v>
      </c>
      <c r="BF210" s="46">
        <f t="shared" si="1637"/>
        <v>0</v>
      </c>
      <c r="BG210" s="46">
        <f t="shared" si="1637"/>
        <v>0</v>
      </c>
      <c r="BH210" s="46">
        <f t="shared" si="1637"/>
        <v>0</v>
      </c>
      <c r="BI210" s="46">
        <f t="shared" si="1637"/>
        <v>0</v>
      </c>
      <c r="BJ210" s="46">
        <f t="shared" si="1637"/>
        <v>0</v>
      </c>
      <c r="BK210" s="46">
        <f t="shared" si="1637"/>
        <v>0</v>
      </c>
      <c r="BL210" s="46">
        <f t="shared" si="1637"/>
        <v>0</v>
      </c>
      <c r="BM210" s="46">
        <f t="shared" si="1637"/>
        <v>0</v>
      </c>
      <c r="BN210" s="46">
        <f t="shared" si="1637"/>
        <v>0</v>
      </c>
    </row>
    <row r="211" spans="3:66" x14ac:dyDescent="0.2">
      <c r="C211" s="321">
        <v>44317</v>
      </c>
      <c r="D211" s="20" t="s">
        <v>5</v>
      </c>
      <c r="E211" s="50">
        <f>SUM(F211:BN211)</f>
        <v>0</v>
      </c>
      <c r="F211" s="279">
        <f>IF(F$6=$C211,F$7,0)</f>
        <v>0</v>
      </c>
      <c r="G211" s="279">
        <f t="shared" ref="G211:BN211" si="1638">IF(G$6=$C211,G$7,0)</f>
        <v>0</v>
      </c>
      <c r="H211" s="279">
        <f t="shared" si="1638"/>
        <v>0</v>
      </c>
      <c r="I211" s="279">
        <f t="shared" si="1638"/>
        <v>0</v>
      </c>
      <c r="J211" s="279">
        <f t="shared" si="1638"/>
        <v>0</v>
      </c>
      <c r="K211" s="279">
        <f t="shared" si="1638"/>
        <v>0</v>
      </c>
      <c r="L211" s="279">
        <f t="shared" si="1638"/>
        <v>0</v>
      </c>
      <c r="M211" s="279">
        <f t="shared" si="1638"/>
        <v>0</v>
      </c>
      <c r="N211" s="279">
        <f t="shared" si="1638"/>
        <v>0</v>
      </c>
      <c r="O211" s="279">
        <f t="shared" si="1638"/>
        <v>0</v>
      </c>
      <c r="P211" s="279">
        <f t="shared" si="1638"/>
        <v>0</v>
      </c>
      <c r="Q211" s="279">
        <f t="shared" si="1638"/>
        <v>0</v>
      </c>
      <c r="R211" s="279">
        <f t="shared" si="1638"/>
        <v>0</v>
      </c>
      <c r="S211" s="279">
        <f t="shared" si="1638"/>
        <v>0</v>
      </c>
      <c r="T211" s="279">
        <f t="shared" si="1638"/>
        <v>0</v>
      </c>
      <c r="U211" s="279">
        <f t="shared" si="1638"/>
        <v>0</v>
      </c>
      <c r="V211" s="279">
        <f t="shared" si="1638"/>
        <v>0</v>
      </c>
      <c r="W211" s="279">
        <f t="shared" si="1638"/>
        <v>0</v>
      </c>
      <c r="X211" s="279">
        <f t="shared" si="1638"/>
        <v>0</v>
      </c>
      <c r="Y211" s="279">
        <f t="shared" si="1638"/>
        <v>0</v>
      </c>
      <c r="Z211" s="279">
        <f t="shared" si="1638"/>
        <v>0</v>
      </c>
      <c r="AA211" s="279">
        <f t="shared" si="1638"/>
        <v>0</v>
      </c>
      <c r="AB211" s="279">
        <f t="shared" si="1638"/>
        <v>0</v>
      </c>
      <c r="AC211" s="279">
        <f t="shared" si="1638"/>
        <v>0</v>
      </c>
      <c r="AD211" s="279">
        <f t="shared" si="1638"/>
        <v>0</v>
      </c>
      <c r="AE211" s="279">
        <f t="shared" si="1638"/>
        <v>0</v>
      </c>
      <c r="AF211" s="279">
        <f t="shared" si="1638"/>
        <v>0</v>
      </c>
      <c r="AG211" s="279">
        <f t="shared" si="1638"/>
        <v>0</v>
      </c>
      <c r="AH211" s="279">
        <f t="shared" si="1638"/>
        <v>0</v>
      </c>
      <c r="AI211" s="279">
        <f t="shared" si="1638"/>
        <v>0</v>
      </c>
      <c r="AJ211" s="279">
        <f t="shared" si="1638"/>
        <v>0</v>
      </c>
      <c r="AK211" s="279">
        <f t="shared" si="1638"/>
        <v>0</v>
      </c>
      <c r="AL211" s="279">
        <f t="shared" si="1638"/>
        <v>0</v>
      </c>
      <c r="AM211" s="279">
        <f t="shared" si="1638"/>
        <v>0</v>
      </c>
      <c r="AN211" s="279">
        <f t="shared" si="1638"/>
        <v>0</v>
      </c>
      <c r="AO211" s="279">
        <f t="shared" si="1638"/>
        <v>0</v>
      </c>
      <c r="AP211" s="279">
        <f t="shared" si="1638"/>
        <v>0</v>
      </c>
      <c r="AQ211" s="279">
        <f t="shared" si="1638"/>
        <v>0</v>
      </c>
      <c r="AR211" s="279">
        <f t="shared" si="1638"/>
        <v>0</v>
      </c>
      <c r="AS211" s="279">
        <f t="shared" si="1638"/>
        <v>0</v>
      </c>
      <c r="AT211" s="279">
        <f t="shared" si="1638"/>
        <v>0</v>
      </c>
      <c r="AU211" s="279">
        <f t="shared" si="1638"/>
        <v>0</v>
      </c>
      <c r="AV211" s="279">
        <f t="shared" si="1638"/>
        <v>0</v>
      </c>
      <c r="AW211" s="279">
        <f t="shared" si="1638"/>
        <v>0</v>
      </c>
      <c r="AX211" s="279">
        <f t="shared" si="1638"/>
        <v>0</v>
      </c>
      <c r="AY211" s="279">
        <f t="shared" si="1638"/>
        <v>0</v>
      </c>
      <c r="AZ211" s="279">
        <f t="shared" si="1638"/>
        <v>0</v>
      </c>
      <c r="BA211" s="279">
        <f t="shared" si="1638"/>
        <v>0</v>
      </c>
      <c r="BB211" s="279">
        <f t="shared" si="1638"/>
        <v>0</v>
      </c>
      <c r="BC211" s="279">
        <f t="shared" si="1638"/>
        <v>0</v>
      </c>
      <c r="BD211" s="279">
        <f t="shared" si="1638"/>
        <v>0</v>
      </c>
      <c r="BE211" s="279">
        <f t="shared" si="1638"/>
        <v>0</v>
      </c>
      <c r="BF211" s="279">
        <f t="shared" si="1638"/>
        <v>0</v>
      </c>
      <c r="BG211" s="279">
        <f t="shared" si="1638"/>
        <v>0</v>
      </c>
      <c r="BH211" s="279">
        <f t="shared" si="1638"/>
        <v>0</v>
      </c>
      <c r="BI211" s="279">
        <f t="shared" si="1638"/>
        <v>0</v>
      </c>
      <c r="BJ211" s="279">
        <f t="shared" si="1638"/>
        <v>0</v>
      </c>
      <c r="BK211" s="279">
        <f t="shared" si="1638"/>
        <v>0</v>
      </c>
      <c r="BL211" s="279">
        <f t="shared" si="1638"/>
        <v>0</v>
      </c>
      <c r="BM211" s="279">
        <f t="shared" si="1638"/>
        <v>0</v>
      </c>
      <c r="BN211" s="279">
        <f t="shared" si="1638"/>
        <v>0</v>
      </c>
    </row>
    <row r="212" spans="3:66" x14ac:dyDescent="0.2">
      <c r="C212" s="322"/>
      <c r="D212" s="23" t="s">
        <v>7</v>
      </c>
      <c r="E212" s="91">
        <f>SUM(F212:BN212)</f>
        <v>14.640000000000011</v>
      </c>
      <c r="F212" s="28">
        <f>IF(F211="",VLOOKUP($C211,'CUSTOS REALIZADOS'!$A$11:$E$995,4),(VLOOKUP($C211,'CUSTOS REALIZADOS'!$A$11:$E$995,5)))</f>
        <v>0.24000000000000002</v>
      </c>
      <c r="G212" s="28">
        <f>IF(G211="",VLOOKUP($C211,'CUSTOS REALIZADOS'!$A$11:$E$995,4),(VLOOKUP($C211,'CUSTOS REALIZADOS'!$A$11:$E$995,5)))</f>
        <v>0.24000000000000002</v>
      </c>
      <c r="H212" s="28">
        <f>IF(H211="",VLOOKUP($C211,'CUSTOS REALIZADOS'!$A$11:$E$995,4),(VLOOKUP($C211,'CUSTOS REALIZADOS'!$A$11:$E$995,5)))</f>
        <v>0.24000000000000002</v>
      </c>
      <c r="I212" s="28">
        <f>IF(I211="",VLOOKUP($C211,'CUSTOS REALIZADOS'!$A$11:$E$995,4),(VLOOKUP($C211,'CUSTOS REALIZADOS'!$A$11:$E$995,5)))</f>
        <v>0.24000000000000002</v>
      </c>
      <c r="J212" s="28">
        <f>IF(J211="",VLOOKUP($C211,'CUSTOS REALIZADOS'!$A$11:$E$995,4),(VLOOKUP($C211,'CUSTOS REALIZADOS'!$A$11:$E$995,5)))</f>
        <v>0.24000000000000002</v>
      </c>
      <c r="K212" s="28">
        <f>IF(K211="",VLOOKUP($C211,'CUSTOS REALIZADOS'!$A$11:$E$995,4),(VLOOKUP($C211,'CUSTOS REALIZADOS'!$A$11:$E$995,5)))</f>
        <v>0.24000000000000002</v>
      </c>
      <c r="L212" s="28">
        <f>IF(L211="",VLOOKUP($C211,'CUSTOS REALIZADOS'!$A$11:$E$995,4),(VLOOKUP($C211,'CUSTOS REALIZADOS'!$A$11:$E$995,5)))</f>
        <v>0.24000000000000002</v>
      </c>
      <c r="M212" s="28">
        <f>IF(M211="",VLOOKUP($C211,'CUSTOS REALIZADOS'!$A$11:$E$995,4),(VLOOKUP($C211,'CUSTOS REALIZADOS'!$A$11:$E$995,5)))</f>
        <v>0.24000000000000002</v>
      </c>
      <c r="N212" s="28">
        <f>IF(N211="",VLOOKUP($C211,'CUSTOS REALIZADOS'!$A$11:$E$995,4),(VLOOKUP($C211,'CUSTOS REALIZADOS'!$A$11:$E$995,5)))</f>
        <v>0.24000000000000002</v>
      </c>
      <c r="O212" s="28">
        <f>IF(O211="",VLOOKUP($C211,'CUSTOS REALIZADOS'!$A$11:$E$995,4),(VLOOKUP($C211,'CUSTOS REALIZADOS'!$A$11:$E$995,5)))</f>
        <v>0.24000000000000002</v>
      </c>
      <c r="P212" s="28">
        <f>IF(P211="",VLOOKUP($C211,'CUSTOS REALIZADOS'!$A$11:$E$995,4),(VLOOKUP($C211,'CUSTOS REALIZADOS'!$A$11:$E$995,5)))</f>
        <v>0.24000000000000002</v>
      </c>
      <c r="Q212" s="28">
        <f>IF(Q211="",VLOOKUP($C211,'CUSTOS REALIZADOS'!$A$11:$E$995,4),(VLOOKUP($C211,'CUSTOS REALIZADOS'!$A$11:$E$995,5)))</f>
        <v>0.24000000000000002</v>
      </c>
      <c r="R212" s="28">
        <f>IF(R211="",VLOOKUP($C211,'CUSTOS REALIZADOS'!$A$11:$E$995,4),(VLOOKUP($C211,'CUSTOS REALIZADOS'!$A$11:$E$995,5)))</f>
        <v>0.24000000000000002</v>
      </c>
      <c r="S212" s="28">
        <f>IF(S211="",VLOOKUP($C211,'CUSTOS REALIZADOS'!$A$11:$E$995,4),(VLOOKUP($C211,'CUSTOS REALIZADOS'!$A$11:$E$995,5)))</f>
        <v>0.24000000000000002</v>
      </c>
      <c r="T212" s="28">
        <f>IF(T211="",VLOOKUP($C211,'CUSTOS REALIZADOS'!$A$11:$E$995,4),(VLOOKUP($C211,'CUSTOS REALIZADOS'!$A$11:$E$995,5)))</f>
        <v>0.24000000000000002</v>
      </c>
      <c r="U212" s="28">
        <f>IF(U211="",VLOOKUP($C211,'CUSTOS REALIZADOS'!$A$11:$E$995,4),(VLOOKUP($C211,'CUSTOS REALIZADOS'!$A$11:$E$995,5)))</f>
        <v>0.24000000000000002</v>
      </c>
      <c r="V212" s="28">
        <f>IF(V211="",VLOOKUP($C211,'CUSTOS REALIZADOS'!$A$11:$E$995,4),(VLOOKUP($C211,'CUSTOS REALIZADOS'!$A$11:$E$995,5)))</f>
        <v>0.24000000000000002</v>
      </c>
      <c r="W212" s="28">
        <f>IF(W211="",VLOOKUP($C211,'CUSTOS REALIZADOS'!$A$11:$E$995,4),(VLOOKUP($C211,'CUSTOS REALIZADOS'!$A$11:$E$995,5)))</f>
        <v>0.24000000000000002</v>
      </c>
      <c r="X212" s="28">
        <f>IF(X211="",VLOOKUP($C211,'CUSTOS REALIZADOS'!$A$11:$E$995,4),(VLOOKUP($C211,'CUSTOS REALIZADOS'!$A$11:$E$995,5)))</f>
        <v>0.24000000000000002</v>
      </c>
      <c r="Y212" s="28">
        <f>IF(Y211="",VLOOKUP($C211,'CUSTOS REALIZADOS'!$A$11:$E$995,4),(VLOOKUP($C211,'CUSTOS REALIZADOS'!$A$11:$E$995,5)))</f>
        <v>0.24000000000000002</v>
      </c>
      <c r="Z212" s="28">
        <f>IF(Z211="",VLOOKUP($C211,'CUSTOS REALIZADOS'!$A$11:$E$995,4),(VLOOKUP($C211,'CUSTOS REALIZADOS'!$A$11:$E$995,5)))</f>
        <v>0.24000000000000002</v>
      </c>
      <c r="AA212" s="28">
        <f>IF(AA211="",VLOOKUP($C211,'CUSTOS REALIZADOS'!$A$11:$E$995,4),(VLOOKUP($C211,'CUSTOS REALIZADOS'!$A$11:$E$995,5)))</f>
        <v>0.24000000000000002</v>
      </c>
      <c r="AB212" s="28">
        <f>IF(AB211="",VLOOKUP($C211,'CUSTOS REALIZADOS'!$A$11:$E$995,4),(VLOOKUP($C211,'CUSTOS REALIZADOS'!$A$11:$E$995,5)))</f>
        <v>0.24000000000000002</v>
      </c>
      <c r="AC212" s="28">
        <f>IF(AC211="",VLOOKUP($C211,'CUSTOS REALIZADOS'!$A$11:$E$995,4),(VLOOKUP($C211,'CUSTOS REALIZADOS'!$A$11:$E$995,5)))</f>
        <v>0.24000000000000002</v>
      </c>
      <c r="AD212" s="28">
        <f>IF(AD211="",VLOOKUP($C211,'CUSTOS REALIZADOS'!$A$11:$E$995,4),(VLOOKUP($C211,'CUSTOS REALIZADOS'!$A$11:$E$995,5)))</f>
        <v>0.24000000000000002</v>
      </c>
      <c r="AE212" s="28">
        <f>IF(AE211="",VLOOKUP($C211,'CUSTOS REALIZADOS'!$A$11:$E$995,4),(VLOOKUP($C211,'CUSTOS REALIZADOS'!$A$11:$E$995,5)))</f>
        <v>0.24000000000000002</v>
      </c>
      <c r="AF212" s="28">
        <f>IF(AF211="",VLOOKUP($C211,'CUSTOS REALIZADOS'!$A$11:$E$995,4),(VLOOKUP($C211,'CUSTOS REALIZADOS'!$A$11:$E$995,5)))</f>
        <v>0.24000000000000002</v>
      </c>
      <c r="AG212" s="28">
        <f>IF(AG211="",VLOOKUP($C211,'CUSTOS REALIZADOS'!$A$11:$E$995,4),(VLOOKUP($C211,'CUSTOS REALIZADOS'!$A$11:$E$995,5)))</f>
        <v>0.24000000000000002</v>
      </c>
      <c r="AH212" s="28">
        <f>IF(AH211="",VLOOKUP($C211,'CUSTOS REALIZADOS'!$A$11:$E$995,4),(VLOOKUP($C211,'CUSTOS REALIZADOS'!$A$11:$E$995,5)))</f>
        <v>0.24000000000000002</v>
      </c>
      <c r="AI212" s="28">
        <f>IF(AI211="",VLOOKUP($C211,'CUSTOS REALIZADOS'!$A$11:$E$995,4),(VLOOKUP($C211,'CUSTOS REALIZADOS'!$A$11:$E$995,5)))</f>
        <v>0.24000000000000002</v>
      </c>
      <c r="AJ212" s="28">
        <f>IF(AJ211="",VLOOKUP($C211,'CUSTOS REALIZADOS'!$A$11:$E$995,4),(VLOOKUP($C211,'CUSTOS REALIZADOS'!$A$11:$E$995,5)))</f>
        <v>0.24000000000000002</v>
      </c>
      <c r="AK212" s="28">
        <f>IF(AK211="",VLOOKUP($C211,'CUSTOS REALIZADOS'!$A$11:$E$995,4),(VLOOKUP($C211,'CUSTOS REALIZADOS'!$A$11:$E$995,5)))</f>
        <v>0.24000000000000002</v>
      </c>
      <c r="AL212" s="28">
        <f>IF(AL211="",VLOOKUP($C211,'CUSTOS REALIZADOS'!$A$11:$E$995,4),(VLOOKUP($C211,'CUSTOS REALIZADOS'!$A$11:$E$995,5)))</f>
        <v>0.24000000000000002</v>
      </c>
      <c r="AM212" s="28">
        <f>IF(AM211="",VLOOKUP($C211,'CUSTOS REALIZADOS'!$A$11:$E$995,4),(VLOOKUP($C211,'CUSTOS REALIZADOS'!$A$11:$E$995,5)))</f>
        <v>0.24000000000000002</v>
      </c>
      <c r="AN212" s="28">
        <f>IF(AN211="",VLOOKUP($C211,'CUSTOS REALIZADOS'!$A$11:$E$995,4),(VLOOKUP($C211,'CUSTOS REALIZADOS'!$A$11:$E$995,5)))</f>
        <v>0.24000000000000002</v>
      </c>
      <c r="AO212" s="28">
        <f>IF(AO211="",VLOOKUP($C211,'CUSTOS REALIZADOS'!$A$11:$E$995,4),(VLOOKUP($C211,'CUSTOS REALIZADOS'!$A$11:$E$995,5)))</f>
        <v>0.24000000000000002</v>
      </c>
      <c r="AP212" s="28">
        <f>IF(AP211="",VLOOKUP($C211,'CUSTOS REALIZADOS'!$A$11:$E$995,4),(VLOOKUP($C211,'CUSTOS REALIZADOS'!$A$11:$E$995,5)))</f>
        <v>0.24000000000000002</v>
      </c>
      <c r="AQ212" s="28">
        <f>IF(AQ211="",VLOOKUP($C211,'CUSTOS REALIZADOS'!$A$11:$E$995,4),(VLOOKUP($C211,'CUSTOS REALIZADOS'!$A$11:$E$995,5)))</f>
        <v>0.24000000000000002</v>
      </c>
      <c r="AR212" s="28">
        <f>IF(AR211="",VLOOKUP($C211,'CUSTOS REALIZADOS'!$A$11:$E$995,4),(VLOOKUP($C211,'CUSTOS REALIZADOS'!$A$11:$E$995,5)))</f>
        <v>0.24000000000000002</v>
      </c>
      <c r="AS212" s="28">
        <f>IF(AS211="",VLOOKUP($C211,'CUSTOS REALIZADOS'!$A$11:$E$995,4),(VLOOKUP($C211,'CUSTOS REALIZADOS'!$A$11:$E$995,5)))</f>
        <v>0.24000000000000002</v>
      </c>
      <c r="AT212" s="28">
        <f>IF(AT211="",VLOOKUP($C211,'CUSTOS REALIZADOS'!$A$11:$E$995,4),(VLOOKUP($C211,'CUSTOS REALIZADOS'!$A$11:$E$995,5)))</f>
        <v>0.24000000000000002</v>
      </c>
      <c r="AU212" s="28">
        <f>IF(AU211="",VLOOKUP($C211,'CUSTOS REALIZADOS'!$A$11:$E$995,4),(VLOOKUP($C211,'CUSTOS REALIZADOS'!$A$11:$E$995,5)))</f>
        <v>0.24000000000000002</v>
      </c>
      <c r="AV212" s="28">
        <f>IF(AV211="",VLOOKUP($C211,'CUSTOS REALIZADOS'!$A$11:$E$995,4),(VLOOKUP($C211,'CUSTOS REALIZADOS'!$A$11:$E$995,5)))</f>
        <v>0.24000000000000002</v>
      </c>
      <c r="AW212" s="28">
        <f>IF(AW211="",VLOOKUP($C211,'CUSTOS REALIZADOS'!$A$11:$E$995,4),(VLOOKUP($C211,'CUSTOS REALIZADOS'!$A$11:$E$995,5)))</f>
        <v>0.24000000000000002</v>
      </c>
      <c r="AX212" s="28">
        <f>IF(AX211="",VLOOKUP($C211,'CUSTOS REALIZADOS'!$A$11:$E$995,4),(VLOOKUP($C211,'CUSTOS REALIZADOS'!$A$11:$E$995,5)))</f>
        <v>0.24000000000000002</v>
      </c>
      <c r="AY212" s="28">
        <f>IF(AY211="",VLOOKUP($C211,'CUSTOS REALIZADOS'!$A$11:$E$995,4),(VLOOKUP($C211,'CUSTOS REALIZADOS'!$A$11:$E$995,5)))</f>
        <v>0.24000000000000002</v>
      </c>
      <c r="AZ212" s="28">
        <f>IF(AZ211="",VLOOKUP($C211,'CUSTOS REALIZADOS'!$A$11:$E$995,4),(VLOOKUP($C211,'CUSTOS REALIZADOS'!$A$11:$E$995,5)))</f>
        <v>0.24000000000000002</v>
      </c>
      <c r="BA212" s="28">
        <f>IF(BA211="",VLOOKUP($C211,'CUSTOS REALIZADOS'!$A$11:$E$995,4),(VLOOKUP($C211,'CUSTOS REALIZADOS'!$A$11:$E$995,5)))</f>
        <v>0.24000000000000002</v>
      </c>
      <c r="BB212" s="28">
        <f>IF(BB211="",VLOOKUP($C211,'CUSTOS REALIZADOS'!$A$11:$E$995,4),(VLOOKUP($C211,'CUSTOS REALIZADOS'!$A$11:$E$995,5)))</f>
        <v>0.24000000000000002</v>
      </c>
      <c r="BC212" s="28">
        <f>IF(BC211="",VLOOKUP($C211,'CUSTOS REALIZADOS'!$A$11:$E$995,4),(VLOOKUP($C211,'CUSTOS REALIZADOS'!$A$11:$E$995,5)))</f>
        <v>0.24000000000000002</v>
      </c>
      <c r="BD212" s="28">
        <f>IF(BD211="",VLOOKUP($C211,'CUSTOS REALIZADOS'!$A$11:$E$995,4),(VLOOKUP($C211,'CUSTOS REALIZADOS'!$A$11:$E$995,5)))</f>
        <v>0.24000000000000002</v>
      </c>
      <c r="BE212" s="28">
        <f>IF(BE211="",VLOOKUP($C211,'CUSTOS REALIZADOS'!$A$11:$E$995,4),(VLOOKUP($C211,'CUSTOS REALIZADOS'!$A$11:$E$995,5)))</f>
        <v>0.24000000000000002</v>
      </c>
      <c r="BF212" s="28">
        <f>IF(BF211="",VLOOKUP($C211,'CUSTOS REALIZADOS'!$A$11:$E$995,4),(VLOOKUP($C211,'CUSTOS REALIZADOS'!$A$11:$E$995,5)))</f>
        <v>0.24000000000000002</v>
      </c>
      <c r="BG212" s="28">
        <f>IF(BG211="",VLOOKUP($C211,'CUSTOS REALIZADOS'!$A$11:$E$995,4),(VLOOKUP($C211,'CUSTOS REALIZADOS'!$A$11:$E$995,5)))</f>
        <v>0.24000000000000002</v>
      </c>
      <c r="BH212" s="28">
        <f>IF(BH211="",VLOOKUP($C211,'CUSTOS REALIZADOS'!$A$11:$E$995,4),(VLOOKUP($C211,'CUSTOS REALIZADOS'!$A$11:$E$995,5)))</f>
        <v>0.24000000000000002</v>
      </c>
      <c r="BI212" s="28">
        <f>IF(BI211="",VLOOKUP($C211,'CUSTOS REALIZADOS'!$A$11:$E$995,4),(VLOOKUP($C211,'CUSTOS REALIZADOS'!$A$11:$E$995,5)))</f>
        <v>0.24000000000000002</v>
      </c>
      <c r="BJ212" s="28">
        <f>IF(BJ211="",VLOOKUP($C211,'CUSTOS REALIZADOS'!$A$11:$E$995,4),(VLOOKUP($C211,'CUSTOS REALIZADOS'!$A$11:$E$995,5)))</f>
        <v>0.24000000000000002</v>
      </c>
      <c r="BK212" s="28">
        <f>IF(BK211="",VLOOKUP($C211,'CUSTOS REALIZADOS'!$A$11:$E$995,4),(VLOOKUP($C211,'CUSTOS REALIZADOS'!$A$11:$E$995,5)))</f>
        <v>0.24000000000000002</v>
      </c>
      <c r="BL212" s="28">
        <f>IF(BL211="",VLOOKUP($C211,'CUSTOS REALIZADOS'!$A$11:$E$995,4),(VLOOKUP($C211,'CUSTOS REALIZADOS'!$A$11:$E$995,5)))</f>
        <v>0.24000000000000002</v>
      </c>
      <c r="BM212" s="28">
        <f>IF(BM211="",VLOOKUP($C211,'CUSTOS REALIZADOS'!$A$11:$E$995,4),(VLOOKUP($C211,'CUSTOS REALIZADOS'!$A$11:$E$995,5)))</f>
        <v>0.24000000000000002</v>
      </c>
      <c r="BN212" s="28">
        <f>IF(BN211="",VLOOKUP($C211,'CUSTOS REALIZADOS'!$A$11:$E$995,4),(VLOOKUP($C211,'CUSTOS REALIZADOS'!$A$11:$E$995,5)))</f>
        <v>0.24000000000000002</v>
      </c>
    </row>
    <row r="213" spans="3:66" x14ac:dyDescent="0.2">
      <c r="C213" s="322"/>
      <c r="D213" s="23" t="s">
        <v>6</v>
      </c>
      <c r="E213" s="27">
        <f>SUM(F213:BN213)</f>
        <v>95000</v>
      </c>
      <c r="F213" s="23">
        <f>IF(AND($C211&gt;=F$6,OR($C211&lt;F$8,F$8="")),F$7*F$28,0)</f>
        <v>0</v>
      </c>
      <c r="G213" s="23">
        <f t="shared" ref="G213:BN213" si="1639">IF(AND($C211&gt;=G$6,OR($C211&lt;G$8,G$8="")),G$7*G$28,0)</f>
        <v>45000</v>
      </c>
      <c r="H213" s="23">
        <f t="shared" si="1639"/>
        <v>50000</v>
      </c>
      <c r="I213" s="23">
        <f t="shared" si="1639"/>
        <v>0</v>
      </c>
      <c r="J213" s="23">
        <f t="shared" si="1639"/>
        <v>0</v>
      </c>
      <c r="K213" s="23">
        <f t="shared" si="1639"/>
        <v>0</v>
      </c>
      <c r="L213" s="23">
        <f t="shared" si="1639"/>
        <v>0</v>
      </c>
      <c r="M213" s="23">
        <f t="shared" si="1639"/>
        <v>0</v>
      </c>
      <c r="N213" s="23">
        <f t="shared" si="1639"/>
        <v>0</v>
      </c>
      <c r="O213" s="23">
        <f t="shared" si="1639"/>
        <v>0</v>
      </c>
      <c r="P213" s="23">
        <f t="shared" si="1639"/>
        <v>0</v>
      </c>
      <c r="Q213" s="23">
        <f t="shared" si="1639"/>
        <v>0</v>
      </c>
      <c r="R213" s="23">
        <f t="shared" si="1639"/>
        <v>0</v>
      </c>
      <c r="S213" s="23">
        <f t="shared" si="1639"/>
        <v>0</v>
      </c>
      <c r="T213" s="23">
        <f t="shared" si="1639"/>
        <v>0</v>
      </c>
      <c r="U213" s="23">
        <f t="shared" si="1639"/>
        <v>0</v>
      </c>
      <c r="V213" s="23">
        <f t="shared" si="1639"/>
        <v>0</v>
      </c>
      <c r="W213" s="23">
        <f t="shared" si="1639"/>
        <v>0</v>
      </c>
      <c r="X213" s="23">
        <f t="shared" si="1639"/>
        <v>0</v>
      </c>
      <c r="Y213" s="23">
        <f t="shared" si="1639"/>
        <v>0</v>
      </c>
      <c r="Z213" s="23">
        <f t="shared" si="1639"/>
        <v>0</v>
      </c>
      <c r="AA213" s="23">
        <f t="shared" si="1639"/>
        <v>0</v>
      </c>
      <c r="AB213" s="23">
        <f t="shared" si="1639"/>
        <v>0</v>
      </c>
      <c r="AC213" s="23">
        <f t="shared" si="1639"/>
        <v>0</v>
      </c>
      <c r="AD213" s="23">
        <f t="shared" si="1639"/>
        <v>0</v>
      </c>
      <c r="AE213" s="23">
        <f t="shared" si="1639"/>
        <v>0</v>
      </c>
      <c r="AF213" s="23">
        <f t="shared" si="1639"/>
        <v>0</v>
      </c>
      <c r="AG213" s="23">
        <f t="shared" si="1639"/>
        <v>0</v>
      </c>
      <c r="AH213" s="23">
        <f t="shared" si="1639"/>
        <v>0</v>
      </c>
      <c r="AI213" s="23">
        <f t="shared" si="1639"/>
        <v>0</v>
      </c>
      <c r="AJ213" s="23">
        <f t="shared" si="1639"/>
        <v>0</v>
      </c>
      <c r="AK213" s="23">
        <f t="shared" si="1639"/>
        <v>0</v>
      </c>
      <c r="AL213" s="23">
        <f t="shared" si="1639"/>
        <v>0</v>
      </c>
      <c r="AM213" s="23">
        <f t="shared" si="1639"/>
        <v>0</v>
      </c>
      <c r="AN213" s="23">
        <f t="shared" si="1639"/>
        <v>0</v>
      </c>
      <c r="AO213" s="23">
        <f t="shared" si="1639"/>
        <v>0</v>
      </c>
      <c r="AP213" s="23">
        <f t="shared" si="1639"/>
        <v>0</v>
      </c>
      <c r="AQ213" s="23">
        <f t="shared" si="1639"/>
        <v>0</v>
      </c>
      <c r="AR213" s="23">
        <f t="shared" si="1639"/>
        <v>0</v>
      </c>
      <c r="AS213" s="23">
        <f t="shared" si="1639"/>
        <v>0</v>
      </c>
      <c r="AT213" s="23">
        <f t="shared" si="1639"/>
        <v>0</v>
      </c>
      <c r="AU213" s="23">
        <f t="shared" si="1639"/>
        <v>0</v>
      </c>
      <c r="AV213" s="23">
        <f t="shared" si="1639"/>
        <v>0</v>
      </c>
      <c r="AW213" s="23">
        <f t="shared" si="1639"/>
        <v>0</v>
      </c>
      <c r="AX213" s="23">
        <f t="shared" si="1639"/>
        <v>0</v>
      </c>
      <c r="AY213" s="23">
        <f t="shared" si="1639"/>
        <v>0</v>
      </c>
      <c r="AZ213" s="23">
        <f t="shared" si="1639"/>
        <v>0</v>
      </c>
      <c r="BA213" s="23">
        <f t="shared" si="1639"/>
        <v>0</v>
      </c>
      <c r="BB213" s="23">
        <f t="shared" si="1639"/>
        <v>0</v>
      </c>
      <c r="BC213" s="23">
        <f t="shared" si="1639"/>
        <v>0</v>
      </c>
      <c r="BD213" s="23">
        <f t="shared" si="1639"/>
        <v>0</v>
      </c>
      <c r="BE213" s="23">
        <f t="shared" si="1639"/>
        <v>0</v>
      </c>
      <c r="BF213" s="23">
        <f t="shared" si="1639"/>
        <v>0</v>
      </c>
      <c r="BG213" s="23">
        <f t="shared" si="1639"/>
        <v>0</v>
      </c>
      <c r="BH213" s="23">
        <f t="shared" si="1639"/>
        <v>0</v>
      </c>
      <c r="BI213" s="23">
        <f t="shared" si="1639"/>
        <v>0</v>
      </c>
      <c r="BJ213" s="23">
        <f t="shared" si="1639"/>
        <v>0</v>
      </c>
      <c r="BK213" s="23">
        <f t="shared" si="1639"/>
        <v>0</v>
      </c>
      <c r="BL213" s="23">
        <f t="shared" si="1639"/>
        <v>0</v>
      </c>
      <c r="BM213" s="23">
        <f t="shared" si="1639"/>
        <v>0</v>
      </c>
      <c r="BN213" s="23">
        <f t="shared" si="1639"/>
        <v>0</v>
      </c>
    </row>
    <row r="214" spans="3:66" x14ac:dyDescent="0.2">
      <c r="C214" s="322"/>
      <c r="D214" s="23" t="s">
        <v>9</v>
      </c>
      <c r="E214" s="225">
        <f>SUM(F214:BN214)</f>
        <v>0</v>
      </c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2"/>
    </row>
    <row r="215" spans="3:66" x14ac:dyDescent="0.2">
      <c r="C215" s="322"/>
      <c r="D215" s="23" t="s">
        <v>14</v>
      </c>
      <c r="E215" s="27">
        <f>SUM(F215:AY215)</f>
        <v>977016.62140721886</v>
      </c>
      <c r="F215" s="23">
        <f>IF(F210=0,F211-F214,F210-F214)</f>
        <v>-171.43650138747478</v>
      </c>
      <c r="G215" s="23">
        <f t="shared" ref="G215" si="1640">IF(G210=0,G211-G214,G210-G214)</f>
        <v>462878.55374618201</v>
      </c>
      <c r="H215" s="23">
        <f t="shared" ref="H215" si="1641">IF(H210=0,H211-H214,H210-H214)</f>
        <v>514309.5041624243</v>
      </c>
      <c r="I215" s="23">
        <f t="shared" ref="I215" si="1642">IF(I210=0,I211-I214,I210-I214)</f>
        <v>0</v>
      </c>
      <c r="J215" s="23">
        <f t="shared" ref="J215" si="1643">IF(J210=0,J211-J214,J210-J214)</f>
        <v>0</v>
      </c>
      <c r="K215" s="23">
        <f t="shared" ref="K215" si="1644">IF(K210=0,K211-K214,K210-K214)</f>
        <v>0</v>
      </c>
      <c r="L215" s="23">
        <f t="shared" ref="L215" si="1645">IF(L210=0,L211-L214,L210-L214)</f>
        <v>0</v>
      </c>
      <c r="M215" s="23">
        <f t="shared" ref="M215" si="1646">IF(M210=0,M211-M214,M210-M214)</f>
        <v>0</v>
      </c>
      <c r="N215" s="23">
        <f t="shared" ref="N215" si="1647">IF(N210=0,N211-N214,N210-N214)</f>
        <v>0</v>
      </c>
      <c r="O215" s="23">
        <f t="shared" ref="O215" si="1648">IF(O210=0,O211-O214,O210-O214)</f>
        <v>0</v>
      </c>
      <c r="P215" s="23">
        <f t="shared" ref="P215" si="1649">IF(P210=0,P211-P214,P210-P214)</f>
        <v>0</v>
      </c>
      <c r="Q215" s="23">
        <f t="shared" ref="Q215" si="1650">IF(Q210=0,Q211-Q214,Q210-Q214)</f>
        <v>0</v>
      </c>
      <c r="R215" s="23">
        <f t="shared" ref="R215" si="1651">IF(R210=0,R211-R214,R210-R214)</f>
        <v>0</v>
      </c>
      <c r="S215" s="23">
        <f t="shared" ref="S215" si="1652">IF(S210=0,S211-S214,S210-S214)</f>
        <v>0</v>
      </c>
      <c r="T215" s="23">
        <f t="shared" ref="T215" si="1653">IF(T210=0,T211-T214,T210-T214)</f>
        <v>0</v>
      </c>
      <c r="U215" s="23">
        <f t="shared" ref="U215" si="1654">IF(U210=0,U211-U214,U210-U214)</f>
        <v>0</v>
      </c>
      <c r="V215" s="23">
        <f t="shared" ref="V215" si="1655">IF(V210=0,V211-V214,V210-V214)</f>
        <v>0</v>
      </c>
      <c r="W215" s="23">
        <f t="shared" ref="W215" si="1656">IF(W210=0,W211-W214,W210-W214)</f>
        <v>0</v>
      </c>
      <c r="X215" s="23">
        <f t="shared" ref="X215" si="1657">IF(X210=0,X211-X214,X210-X214)</f>
        <v>0</v>
      </c>
      <c r="Y215" s="23">
        <f t="shared" ref="Y215" si="1658">IF(Y210=0,Y211-Y214,Y210-Y214)</f>
        <v>0</v>
      </c>
      <c r="Z215" s="23">
        <f t="shared" ref="Z215" si="1659">IF(Z210=0,Z211-Z214,Z210-Z214)</f>
        <v>0</v>
      </c>
      <c r="AA215" s="23">
        <f t="shared" ref="AA215" si="1660">IF(AA210=0,AA211-AA214,AA210-AA214)</f>
        <v>0</v>
      </c>
      <c r="AB215" s="23">
        <f t="shared" ref="AB215" si="1661">IF(AB210=0,AB211-AB214,AB210-AB214)</f>
        <v>0</v>
      </c>
      <c r="AC215" s="23">
        <f t="shared" ref="AC215" si="1662">IF(AC210=0,AC211-AC214,AC210-AC214)</f>
        <v>0</v>
      </c>
      <c r="AD215" s="23">
        <f t="shared" ref="AD215" si="1663">IF(AD210=0,AD211-AD214,AD210-AD214)</f>
        <v>0</v>
      </c>
      <c r="AE215" s="23">
        <f t="shared" ref="AE215" si="1664">IF(AE210=0,AE211-AE214,AE210-AE214)</f>
        <v>0</v>
      </c>
      <c r="AF215" s="23">
        <f t="shared" ref="AF215" si="1665">IF(AF210=0,AF211-AF214,AF210-AF214)</f>
        <v>0</v>
      </c>
      <c r="AG215" s="23">
        <f t="shared" ref="AG215" si="1666">IF(AG210=0,AG211-AG214,AG210-AG214)</f>
        <v>0</v>
      </c>
      <c r="AH215" s="23">
        <f t="shared" ref="AH215" si="1667">IF(AH210=0,AH211-AH214,AH210-AH214)</f>
        <v>0</v>
      </c>
      <c r="AI215" s="23">
        <f t="shared" ref="AI215" si="1668">IF(AI210=0,AI211-AI214,AI210-AI214)</f>
        <v>0</v>
      </c>
      <c r="AJ215" s="23">
        <f t="shared" ref="AJ215" si="1669">IF(AJ210=0,AJ211-AJ214,AJ210-AJ214)</f>
        <v>0</v>
      </c>
      <c r="AK215" s="23">
        <f t="shared" ref="AK215" si="1670">IF(AK210=0,AK211-AK214,AK210-AK214)</f>
        <v>0</v>
      </c>
      <c r="AL215" s="23">
        <f t="shared" ref="AL215" si="1671">IF(AL210=0,AL211-AL214,AL210-AL214)</f>
        <v>0</v>
      </c>
      <c r="AM215" s="23">
        <f t="shared" ref="AM215" si="1672">IF(AM210=0,AM211-AM214,AM210-AM214)</f>
        <v>0</v>
      </c>
      <c r="AN215" s="23">
        <f t="shared" ref="AN215" si="1673">IF(AN210=0,AN211-AN214,AN210-AN214)</f>
        <v>0</v>
      </c>
      <c r="AO215" s="23">
        <f t="shared" ref="AO215" si="1674">IF(AO210=0,AO211-AO214,AO210-AO214)</f>
        <v>0</v>
      </c>
      <c r="AP215" s="23">
        <f t="shared" ref="AP215" si="1675">IF(AP210=0,AP211-AP214,AP210-AP214)</f>
        <v>0</v>
      </c>
      <c r="AQ215" s="23">
        <f t="shared" ref="AQ215" si="1676">IF(AQ210=0,AQ211-AQ214,AQ210-AQ214)</f>
        <v>0</v>
      </c>
      <c r="AR215" s="23">
        <f t="shared" ref="AR215" si="1677">IF(AR210=0,AR211-AR214,AR210-AR214)</f>
        <v>0</v>
      </c>
      <c r="AS215" s="23">
        <f t="shared" ref="AS215" si="1678">IF(AS210=0,AS211-AS214,AS210-AS214)</f>
        <v>0</v>
      </c>
      <c r="AT215" s="23">
        <f t="shared" ref="AT215" si="1679">IF(AT210=0,AT211-AT214,AT210-AT214)</f>
        <v>0</v>
      </c>
      <c r="AU215" s="23">
        <f t="shared" ref="AU215" si="1680">IF(AU210=0,AU211-AU214,AU210-AU214)</f>
        <v>0</v>
      </c>
      <c r="AV215" s="23">
        <f t="shared" ref="AV215" si="1681">IF(AV210=0,AV211-AV214,AV210-AV214)</f>
        <v>0</v>
      </c>
      <c r="AW215" s="23">
        <f t="shared" ref="AW215" si="1682">IF(AW210=0,AW211-AW214,AW210-AW214)</f>
        <v>0</v>
      </c>
      <c r="AX215" s="23">
        <f t="shared" ref="AX215" si="1683">IF(AX210=0,AX211-AX214,AX210-AX214)</f>
        <v>0</v>
      </c>
      <c r="AY215" s="23">
        <f t="shared" ref="AY215" si="1684">IF(AY210=0,AY211-AY214,AY210-AY214)</f>
        <v>0</v>
      </c>
      <c r="AZ215" s="23">
        <f t="shared" ref="AZ215" si="1685">IF(AZ210=0,AZ211-AZ214,AZ210-AZ214)</f>
        <v>0</v>
      </c>
      <c r="BA215" s="23">
        <f t="shared" ref="BA215" si="1686">IF(BA210=0,BA211-BA214,BA210-BA214)</f>
        <v>0</v>
      </c>
      <c r="BB215" s="23">
        <f t="shared" ref="BB215" si="1687">IF(BB210=0,BB211-BB214,BB210-BB214)</f>
        <v>0</v>
      </c>
      <c r="BC215" s="23">
        <f t="shared" ref="BC215" si="1688">IF(BC210=0,BC211-BC214,BC210-BC214)</f>
        <v>0</v>
      </c>
      <c r="BD215" s="23">
        <f t="shared" ref="BD215" si="1689">IF(BD210=0,BD211-BD214,BD210-BD214)</f>
        <v>0</v>
      </c>
      <c r="BE215" s="23">
        <f t="shared" ref="BE215" si="1690">IF(BE210=0,BE211-BE214,BE210-BE214)</f>
        <v>0</v>
      </c>
      <c r="BF215" s="23">
        <f t="shared" ref="BF215" si="1691">IF(BF210=0,BF211-BF214,BF210-BF214)</f>
        <v>0</v>
      </c>
      <c r="BG215" s="23">
        <f t="shared" ref="BG215" si="1692">IF(BG210=0,BG211-BG214,BG210-BG214)</f>
        <v>0</v>
      </c>
      <c r="BH215" s="23">
        <f t="shared" ref="BH215" si="1693">IF(BH210=0,BH211-BH214,BH210-BH214)</f>
        <v>0</v>
      </c>
      <c r="BI215" s="23">
        <f t="shared" ref="BI215" si="1694">IF(BI210=0,BI211-BI214,BI210-BI214)</f>
        <v>0</v>
      </c>
      <c r="BJ215" s="23">
        <f t="shared" ref="BJ215" si="1695">IF(BJ210=0,BJ211-BJ214,BJ210-BJ214)</f>
        <v>0</v>
      </c>
      <c r="BK215" s="23">
        <f t="shared" ref="BK215" si="1696">IF(BK210=0,BK211-BK214,BK210-BK214)</f>
        <v>0</v>
      </c>
      <c r="BL215" s="23">
        <f t="shared" ref="BL215" si="1697">IF(BL210=0,BL211-BL214,BL210-BL214)</f>
        <v>0</v>
      </c>
      <c r="BM215" s="23">
        <f t="shared" ref="BM215" si="1698">IF(BM210=0,BM211-BM214,BM210-BM214)</f>
        <v>0</v>
      </c>
      <c r="BN215" s="23">
        <f t="shared" ref="BN215" si="1699">IF(BN210=0,BN211-BN214,BN210-BN214)</f>
        <v>0</v>
      </c>
    </row>
    <row r="216" spans="3:66" x14ac:dyDescent="0.2">
      <c r="C216" s="322"/>
      <c r="D216" s="23" t="s">
        <v>10</v>
      </c>
      <c r="E216" s="72">
        <v>1.2999999999999999E-2</v>
      </c>
      <c r="F216" s="54">
        <v>1.2999999999999999E-2</v>
      </c>
      <c r="G216" s="54">
        <v>1.2999999999999999E-2</v>
      </c>
      <c r="H216" s="54">
        <v>1.2999999999999999E-2</v>
      </c>
      <c r="I216" s="54">
        <v>1.2999999999999999E-2</v>
      </c>
      <c r="J216" s="54">
        <v>1.2999999999999999E-2</v>
      </c>
      <c r="K216" s="54">
        <v>1.2999999999999999E-2</v>
      </c>
      <c r="L216" s="54">
        <v>1.2999999999999999E-2</v>
      </c>
      <c r="M216" s="54">
        <v>1.2999999999999999E-2</v>
      </c>
      <c r="N216" s="54">
        <v>1.2999999999999999E-2</v>
      </c>
      <c r="O216" s="54">
        <v>1.2999999999999999E-2</v>
      </c>
      <c r="P216" s="54">
        <v>1.2999999999999999E-2</v>
      </c>
      <c r="Q216" s="54">
        <v>1.2999999999999999E-2</v>
      </c>
      <c r="R216" s="54">
        <v>1.2999999999999999E-2</v>
      </c>
      <c r="S216" s="54">
        <v>1.2999999999999999E-2</v>
      </c>
      <c r="T216" s="54">
        <v>1.2999999999999999E-2</v>
      </c>
      <c r="U216" s="54">
        <v>1.2999999999999999E-2</v>
      </c>
      <c r="V216" s="54">
        <v>1.2999999999999999E-2</v>
      </c>
      <c r="W216" s="54">
        <v>1.2999999999999999E-2</v>
      </c>
      <c r="X216" s="54">
        <v>1.2999999999999999E-2</v>
      </c>
      <c r="Y216" s="54">
        <v>1.2999999999999999E-2</v>
      </c>
      <c r="Z216" s="54">
        <v>1.2999999999999999E-2</v>
      </c>
      <c r="AA216" s="54">
        <v>1.2999999999999999E-2</v>
      </c>
      <c r="AB216" s="54">
        <v>1.2999999999999999E-2</v>
      </c>
      <c r="AC216" s="54">
        <v>1.2999999999999999E-2</v>
      </c>
      <c r="AD216" s="54">
        <v>1.2999999999999999E-2</v>
      </c>
      <c r="AE216" s="54">
        <v>1.2999999999999999E-2</v>
      </c>
      <c r="AF216" s="54">
        <v>1.2999999999999999E-2</v>
      </c>
      <c r="AG216" s="54">
        <v>1.2999999999999999E-2</v>
      </c>
      <c r="AH216" s="54">
        <v>1.2999999999999999E-2</v>
      </c>
      <c r="AI216" s="54">
        <v>1.2999999999999999E-2</v>
      </c>
      <c r="AJ216" s="54">
        <v>1.2999999999999999E-2</v>
      </c>
      <c r="AK216" s="54">
        <v>1.2999999999999999E-2</v>
      </c>
      <c r="AL216" s="54">
        <v>1.2999999999999999E-2</v>
      </c>
      <c r="AM216" s="54">
        <v>1.2999999999999999E-2</v>
      </c>
      <c r="AN216" s="54">
        <v>1.2999999999999999E-2</v>
      </c>
      <c r="AO216" s="54">
        <v>1.2999999999999999E-2</v>
      </c>
      <c r="AP216" s="54">
        <v>1.2999999999999999E-2</v>
      </c>
      <c r="AQ216" s="54">
        <v>1.2999999999999999E-2</v>
      </c>
      <c r="AR216" s="54">
        <v>1.2999999999999999E-2</v>
      </c>
      <c r="AS216" s="54">
        <v>1.2999999999999999E-2</v>
      </c>
      <c r="AT216" s="54">
        <v>1.2999999999999999E-2</v>
      </c>
      <c r="AU216" s="54">
        <v>1.2999999999999999E-2</v>
      </c>
      <c r="AV216" s="54">
        <v>1.2999999999999999E-2</v>
      </c>
      <c r="AW216" s="54">
        <v>1.2999999999999999E-2</v>
      </c>
      <c r="AX216" s="54">
        <v>1.2999999999999999E-2</v>
      </c>
      <c r="AY216" s="54">
        <v>1.2999999999999999E-2</v>
      </c>
      <c r="AZ216" s="54">
        <v>1.2999999999999999E-2</v>
      </c>
      <c r="BA216" s="54">
        <v>1.2999999999999999E-2</v>
      </c>
      <c r="BB216" s="54">
        <v>1.2999999999999999E-2</v>
      </c>
      <c r="BC216" s="54">
        <v>1.2999999999999999E-2</v>
      </c>
      <c r="BD216" s="54">
        <v>1.2999999999999999E-2</v>
      </c>
      <c r="BE216" s="54">
        <v>1.2999999999999999E-2</v>
      </c>
      <c r="BF216" s="54">
        <v>1.2999999999999999E-2</v>
      </c>
      <c r="BG216" s="54">
        <v>1.2999999999999999E-2</v>
      </c>
      <c r="BH216" s="54">
        <v>1.2999999999999999E-2</v>
      </c>
      <c r="BI216" s="54">
        <v>1.2999999999999999E-2</v>
      </c>
      <c r="BJ216" s="54">
        <v>1.2999999999999999E-2</v>
      </c>
      <c r="BK216" s="54">
        <v>1.2999999999999999E-2</v>
      </c>
      <c r="BL216" s="54">
        <v>1.2999999999999999E-2</v>
      </c>
      <c r="BM216" s="54">
        <v>1.2999999999999999E-2</v>
      </c>
      <c r="BN216" s="54">
        <v>1.2999999999999999E-2</v>
      </c>
    </row>
    <row r="217" spans="3:66" x14ac:dyDescent="0.2">
      <c r="C217" s="322"/>
      <c r="D217" s="23" t="s">
        <v>12</v>
      </c>
      <c r="E217" s="27">
        <f>SUM(F217:AY217)</f>
        <v>12701.216078293844</v>
      </c>
      <c r="F217" s="29">
        <f>+F215*F216</f>
        <v>-2.2286745180371721</v>
      </c>
      <c r="G217" s="29">
        <f>+G215*G216</f>
        <v>6017.4211987003655</v>
      </c>
      <c r="H217" s="29">
        <f>+H215*H216</f>
        <v>6686.0235541115153</v>
      </c>
      <c r="I217" s="29">
        <f t="shared" ref="I217:O217" si="1700">+I215*I216</f>
        <v>0</v>
      </c>
      <c r="J217" s="29">
        <f t="shared" si="1700"/>
        <v>0</v>
      </c>
      <c r="K217" s="29">
        <f t="shared" si="1700"/>
        <v>0</v>
      </c>
      <c r="L217" s="29">
        <f t="shared" si="1700"/>
        <v>0</v>
      </c>
      <c r="M217" s="29">
        <v>0</v>
      </c>
      <c r="N217" s="29">
        <f t="shared" si="1700"/>
        <v>0</v>
      </c>
      <c r="O217" s="29">
        <f t="shared" si="1700"/>
        <v>0</v>
      </c>
      <c r="P217" s="29">
        <f>+P215*P216</f>
        <v>0</v>
      </c>
      <c r="Q217" s="29">
        <f t="shared" ref="Q217" si="1701">+Q215*Q216</f>
        <v>0</v>
      </c>
      <c r="R217" s="29">
        <f>+R215*R216</f>
        <v>0</v>
      </c>
      <c r="S217" s="29">
        <f>+S215*S216</f>
        <v>0</v>
      </c>
      <c r="T217" s="29">
        <f t="shared" ref="T217" si="1702">+T215*T216</f>
        <v>0</v>
      </c>
      <c r="U217" s="29">
        <f>+U215*U216</f>
        <v>0</v>
      </c>
      <c r="V217" s="29">
        <f t="shared" ref="V217:Y217" si="1703">+V215*V216</f>
        <v>0</v>
      </c>
      <c r="W217" s="29">
        <f t="shared" si="1703"/>
        <v>0</v>
      </c>
      <c r="X217" s="29">
        <f t="shared" si="1703"/>
        <v>0</v>
      </c>
      <c r="Y217" s="29">
        <f t="shared" si="1703"/>
        <v>0</v>
      </c>
      <c r="Z217" s="29">
        <f>+Z215*Z216</f>
        <v>0</v>
      </c>
      <c r="AA217" s="29">
        <f>+AA215*AA216</f>
        <v>0</v>
      </c>
      <c r="AB217" s="29">
        <f t="shared" ref="AB217:AD217" si="1704">+AB215*AB216</f>
        <v>0</v>
      </c>
      <c r="AC217" s="29">
        <f t="shared" si="1704"/>
        <v>0</v>
      </c>
      <c r="AD217" s="29">
        <f t="shared" si="1704"/>
        <v>0</v>
      </c>
      <c r="AE217" s="29">
        <v>0</v>
      </c>
      <c r="AF217" s="29">
        <f>+AF215*AF216</f>
        <v>0</v>
      </c>
      <c r="AG217" s="29">
        <f t="shared" ref="AG217:AP217" si="1705">+AG215*AG216</f>
        <v>0</v>
      </c>
      <c r="AH217" s="29">
        <f t="shared" si="1705"/>
        <v>0</v>
      </c>
      <c r="AI217" s="29">
        <f t="shared" si="1705"/>
        <v>0</v>
      </c>
      <c r="AJ217" s="29">
        <f t="shared" si="1705"/>
        <v>0</v>
      </c>
      <c r="AK217" s="29">
        <f t="shared" si="1705"/>
        <v>0</v>
      </c>
      <c r="AL217" s="29">
        <f t="shared" si="1705"/>
        <v>0</v>
      </c>
      <c r="AM217" s="29">
        <f t="shared" si="1705"/>
        <v>0</v>
      </c>
      <c r="AN217" s="29">
        <f t="shared" si="1705"/>
        <v>0</v>
      </c>
      <c r="AO217" s="29">
        <f t="shared" si="1705"/>
        <v>0</v>
      </c>
      <c r="AP217" s="29">
        <f t="shared" si="1705"/>
        <v>0</v>
      </c>
      <c r="AQ217" s="29">
        <f>+AQ215*AQ216</f>
        <v>0</v>
      </c>
      <c r="AR217" s="29">
        <f>+AR215*AR216</f>
        <v>0</v>
      </c>
      <c r="AS217" s="29">
        <f t="shared" ref="AS217:AU217" si="1706">+AS215*AS216</f>
        <v>0</v>
      </c>
      <c r="AT217" s="29">
        <f t="shared" si="1706"/>
        <v>0</v>
      </c>
      <c r="AU217" s="29">
        <f t="shared" si="1706"/>
        <v>0</v>
      </c>
      <c r="AV217" s="29">
        <v>0</v>
      </c>
      <c r="AW217" s="29">
        <f t="shared" ref="AW217:AX217" si="1707">+AW215*AW216</f>
        <v>0</v>
      </c>
      <c r="AX217" s="29">
        <f t="shared" si="1707"/>
        <v>0</v>
      </c>
      <c r="AY217" s="29">
        <f>+AY215*AY216</f>
        <v>0</v>
      </c>
      <c r="AZ217" s="29">
        <f t="shared" ref="AZ217:BN217" si="1708">+AZ215*AZ216</f>
        <v>0</v>
      </c>
      <c r="BA217" s="29">
        <f t="shared" si="1708"/>
        <v>0</v>
      </c>
      <c r="BB217" s="29">
        <v>0</v>
      </c>
      <c r="BC217" s="29">
        <f t="shared" si="1708"/>
        <v>0</v>
      </c>
      <c r="BD217" s="29">
        <f t="shared" si="1708"/>
        <v>0</v>
      </c>
      <c r="BE217" s="29">
        <f t="shared" si="1708"/>
        <v>0</v>
      </c>
      <c r="BF217" s="29">
        <f t="shared" si="1708"/>
        <v>0</v>
      </c>
      <c r="BG217" s="29">
        <f t="shared" si="1708"/>
        <v>0</v>
      </c>
      <c r="BH217" s="29">
        <f t="shared" si="1708"/>
        <v>0</v>
      </c>
      <c r="BI217" s="29">
        <f t="shared" si="1708"/>
        <v>0</v>
      </c>
      <c r="BJ217" s="29">
        <f t="shared" si="1708"/>
        <v>0</v>
      </c>
      <c r="BK217" s="29">
        <f t="shared" si="1708"/>
        <v>0</v>
      </c>
      <c r="BL217" s="29">
        <f t="shared" si="1708"/>
        <v>0</v>
      </c>
      <c r="BM217" s="29">
        <f t="shared" si="1708"/>
        <v>0</v>
      </c>
      <c r="BN217" s="29">
        <f t="shared" si="1708"/>
        <v>0</v>
      </c>
    </row>
    <row r="218" spans="3:66" ht="13.5" thickBot="1" x14ac:dyDescent="0.25">
      <c r="C218" s="323"/>
      <c r="D218" s="25" t="s">
        <v>11</v>
      </c>
      <c r="E218" s="30">
        <f>SUM(F218:BN218)</f>
        <v>989717.83748551272</v>
      </c>
      <c r="F218" s="46">
        <f>+F215+F217</f>
        <v>-173.66517590551194</v>
      </c>
      <c r="G218" s="46">
        <f>+G215+G217</f>
        <v>468895.97494488239</v>
      </c>
      <c r="H218" s="46">
        <f>+H215+H217</f>
        <v>520995.52771653584</v>
      </c>
      <c r="I218" s="46">
        <f t="shared" ref="I218:AU218" si="1709">+I215+I217</f>
        <v>0</v>
      </c>
      <c r="J218" s="46">
        <f t="shared" si="1709"/>
        <v>0</v>
      </c>
      <c r="K218" s="46">
        <f t="shared" si="1709"/>
        <v>0</v>
      </c>
      <c r="L218" s="46">
        <f t="shared" si="1709"/>
        <v>0</v>
      </c>
      <c r="M218" s="46">
        <f t="shared" si="1709"/>
        <v>0</v>
      </c>
      <c r="N218" s="46">
        <f t="shared" si="1709"/>
        <v>0</v>
      </c>
      <c r="O218" s="46">
        <f t="shared" si="1709"/>
        <v>0</v>
      </c>
      <c r="P218" s="46">
        <f t="shared" si="1709"/>
        <v>0</v>
      </c>
      <c r="Q218" s="46">
        <f t="shared" si="1709"/>
        <v>0</v>
      </c>
      <c r="R218" s="46">
        <f t="shared" si="1709"/>
        <v>0</v>
      </c>
      <c r="S218" s="46">
        <f t="shared" si="1709"/>
        <v>0</v>
      </c>
      <c r="T218" s="46">
        <f t="shared" si="1709"/>
        <v>0</v>
      </c>
      <c r="U218" s="46">
        <f t="shared" si="1709"/>
        <v>0</v>
      </c>
      <c r="V218" s="46">
        <f t="shared" si="1709"/>
        <v>0</v>
      </c>
      <c r="W218" s="46">
        <f t="shared" si="1709"/>
        <v>0</v>
      </c>
      <c r="X218" s="46">
        <f t="shared" si="1709"/>
        <v>0</v>
      </c>
      <c r="Y218" s="46">
        <f t="shared" si="1709"/>
        <v>0</v>
      </c>
      <c r="Z218" s="46">
        <f t="shared" si="1709"/>
        <v>0</v>
      </c>
      <c r="AA218" s="46">
        <f t="shared" si="1709"/>
        <v>0</v>
      </c>
      <c r="AB218" s="46">
        <f t="shared" si="1709"/>
        <v>0</v>
      </c>
      <c r="AC218" s="46">
        <f t="shared" si="1709"/>
        <v>0</v>
      </c>
      <c r="AD218" s="46">
        <f t="shared" si="1709"/>
        <v>0</v>
      </c>
      <c r="AE218" s="46">
        <f t="shared" si="1709"/>
        <v>0</v>
      </c>
      <c r="AF218" s="46">
        <f t="shared" si="1709"/>
        <v>0</v>
      </c>
      <c r="AG218" s="46">
        <f t="shared" si="1709"/>
        <v>0</v>
      </c>
      <c r="AH218" s="46">
        <f t="shared" si="1709"/>
        <v>0</v>
      </c>
      <c r="AI218" s="46">
        <f t="shared" si="1709"/>
        <v>0</v>
      </c>
      <c r="AJ218" s="46">
        <f t="shared" si="1709"/>
        <v>0</v>
      </c>
      <c r="AK218" s="46">
        <f t="shared" si="1709"/>
        <v>0</v>
      </c>
      <c r="AL218" s="46">
        <f t="shared" si="1709"/>
        <v>0</v>
      </c>
      <c r="AM218" s="46">
        <f t="shared" si="1709"/>
        <v>0</v>
      </c>
      <c r="AN218" s="46">
        <f t="shared" si="1709"/>
        <v>0</v>
      </c>
      <c r="AO218" s="46">
        <f t="shared" si="1709"/>
        <v>0</v>
      </c>
      <c r="AP218" s="46">
        <f t="shared" si="1709"/>
        <v>0</v>
      </c>
      <c r="AQ218" s="46">
        <f t="shared" si="1709"/>
        <v>0</v>
      </c>
      <c r="AR218" s="46">
        <f t="shared" si="1709"/>
        <v>0</v>
      </c>
      <c r="AS218" s="46">
        <f t="shared" si="1709"/>
        <v>0</v>
      </c>
      <c r="AT218" s="46">
        <f t="shared" si="1709"/>
        <v>0</v>
      </c>
      <c r="AU218" s="46">
        <f t="shared" si="1709"/>
        <v>0</v>
      </c>
      <c r="AV218" s="46">
        <f>+AV215+AV217</f>
        <v>0</v>
      </c>
      <c r="AW218" s="46">
        <f t="shared" ref="AW218:BN218" si="1710">+AW215+AW217</f>
        <v>0</v>
      </c>
      <c r="AX218" s="46">
        <f t="shared" si="1710"/>
        <v>0</v>
      </c>
      <c r="AY218" s="46">
        <f t="shared" si="1710"/>
        <v>0</v>
      </c>
      <c r="AZ218" s="46">
        <f t="shared" si="1710"/>
        <v>0</v>
      </c>
      <c r="BA218" s="46">
        <f t="shared" si="1710"/>
        <v>0</v>
      </c>
      <c r="BB218" s="46">
        <f t="shared" si="1710"/>
        <v>0</v>
      </c>
      <c r="BC218" s="46">
        <f t="shared" si="1710"/>
        <v>0</v>
      </c>
      <c r="BD218" s="46">
        <f t="shared" si="1710"/>
        <v>0</v>
      </c>
      <c r="BE218" s="46">
        <f t="shared" si="1710"/>
        <v>0</v>
      </c>
      <c r="BF218" s="46">
        <f t="shared" si="1710"/>
        <v>0</v>
      </c>
      <c r="BG218" s="46">
        <f t="shared" si="1710"/>
        <v>0</v>
      </c>
      <c r="BH218" s="46">
        <f t="shared" si="1710"/>
        <v>0</v>
      </c>
      <c r="BI218" s="46">
        <f t="shared" si="1710"/>
        <v>0</v>
      </c>
      <c r="BJ218" s="46">
        <f t="shared" si="1710"/>
        <v>0</v>
      </c>
      <c r="BK218" s="46">
        <f t="shared" si="1710"/>
        <v>0</v>
      </c>
      <c r="BL218" s="46">
        <f t="shared" si="1710"/>
        <v>0</v>
      </c>
      <c r="BM218" s="46">
        <f t="shared" si="1710"/>
        <v>0</v>
      </c>
      <c r="BN218" s="46">
        <f t="shared" si="1710"/>
        <v>0</v>
      </c>
    </row>
    <row r="219" spans="3:66" x14ac:dyDescent="0.2">
      <c r="C219" s="321">
        <v>44348</v>
      </c>
      <c r="D219" s="20" t="s">
        <v>5</v>
      </c>
      <c r="E219" s="50">
        <f>SUM(F219:BN219)</f>
        <v>0</v>
      </c>
      <c r="F219" s="279">
        <f>IF(F$6=$C219,F$7,0)</f>
        <v>0</v>
      </c>
      <c r="G219" s="279">
        <f t="shared" ref="G219:BN219" si="1711">IF(G$6=$C219,G$7,0)</f>
        <v>0</v>
      </c>
      <c r="H219" s="279">
        <f t="shared" si="1711"/>
        <v>0</v>
      </c>
      <c r="I219" s="279">
        <f t="shared" si="1711"/>
        <v>0</v>
      </c>
      <c r="J219" s="279">
        <f t="shared" si="1711"/>
        <v>0</v>
      </c>
      <c r="K219" s="279">
        <f t="shared" si="1711"/>
        <v>0</v>
      </c>
      <c r="L219" s="279">
        <f t="shared" si="1711"/>
        <v>0</v>
      </c>
      <c r="M219" s="279">
        <f t="shared" si="1711"/>
        <v>0</v>
      </c>
      <c r="N219" s="279">
        <f t="shared" si="1711"/>
        <v>0</v>
      </c>
      <c r="O219" s="279">
        <f t="shared" si="1711"/>
        <v>0</v>
      </c>
      <c r="P219" s="279">
        <f t="shared" si="1711"/>
        <v>0</v>
      </c>
      <c r="Q219" s="279">
        <f t="shared" si="1711"/>
        <v>0</v>
      </c>
      <c r="R219" s="279">
        <f t="shared" si="1711"/>
        <v>0</v>
      </c>
      <c r="S219" s="279">
        <f t="shared" si="1711"/>
        <v>0</v>
      </c>
      <c r="T219" s="279">
        <f t="shared" si="1711"/>
        <v>0</v>
      </c>
      <c r="U219" s="279">
        <f t="shared" si="1711"/>
        <v>0</v>
      </c>
      <c r="V219" s="279">
        <f t="shared" si="1711"/>
        <v>0</v>
      </c>
      <c r="W219" s="279">
        <f t="shared" si="1711"/>
        <v>0</v>
      </c>
      <c r="X219" s="279">
        <f t="shared" si="1711"/>
        <v>0</v>
      </c>
      <c r="Y219" s="279">
        <f t="shared" si="1711"/>
        <v>0</v>
      </c>
      <c r="Z219" s="279">
        <f t="shared" si="1711"/>
        <v>0</v>
      </c>
      <c r="AA219" s="279">
        <f t="shared" si="1711"/>
        <v>0</v>
      </c>
      <c r="AB219" s="279">
        <f t="shared" si="1711"/>
        <v>0</v>
      </c>
      <c r="AC219" s="279">
        <f t="shared" si="1711"/>
        <v>0</v>
      </c>
      <c r="AD219" s="279">
        <f t="shared" si="1711"/>
        <v>0</v>
      </c>
      <c r="AE219" s="279">
        <f t="shared" si="1711"/>
        <v>0</v>
      </c>
      <c r="AF219" s="279">
        <f t="shared" si="1711"/>
        <v>0</v>
      </c>
      <c r="AG219" s="279">
        <f t="shared" si="1711"/>
        <v>0</v>
      </c>
      <c r="AH219" s="279">
        <f t="shared" si="1711"/>
        <v>0</v>
      </c>
      <c r="AI219" s="279">
        <f t="shared" si="1711"/>
        <v>0</v>
      </c>
      <c r="AJ219" s="279">
        <f t="shared" si="1711"/>
        <v>0</v>
      </c>
      <c r="AK219" s="279">
        <f t="shared" si="1711"/>
        <v>0</v>
      </c>
      <c r="AL219" s="279">
        <f t="shared" si="1711"/>
        <v>0</v>
      </c>
      <c r="AM219" s="279">
        <f t="shared" si="1711"/>
        <v>0</v>
      </c>
      <c r="AN219" s="279">
        <f t="shared" si="1711"/>
        <v>0</v>
      </c>
      <c r="AO219" s="279">
        <f t="shared" si="1711"/>
        <v>0</v>
      </c>
      <c r="AP219" s="279">
        <f t="shared" si="1711"/>
        <v>0</v>
      </c>
      <c r="AQ219" s="279">
        <f t="shared" si="1711"/>
        <v>0</v>
      </c>
      <c r="AR219" s="279">
        <f t="shared" si="1711"/>
        <v>0</v>
      </c>
      <c r="AS219" s="279">
        <f t="shared" si="1711"/>
        <v>0</v>
      </c>
      <c r="AT219" s="279">
        <f t="shared" si="1711"/>
        <v>0</v>
      </c>
      <c r="AU219" s="279">
        <f t="shared" si="1711"/>
        <v>0</v>
      </c>
      <c r="AV219" s="279">
        <f t="shared" si="1711"/>
        <v>0</v>
      </c>
      <c r="AW219" s="279">
        <f t="shared" si="1711"/>
        <v>0</v>
      </c>
      <c r="AX219" s="279">
        <f t="shared" si="1711"/>
        <v>0</v>
      </c>
      <c r="AY219" s="279">
        <f t="shared" si="1711"/>
        <v>0</v>
      </c>
      <c r="AZ219" s="279">
        <f t="shared" si="1711"/>
        <v>0</v>
      </c>
      <c r="BA219" s="279">
        <f t="shared" si="1711"/>
        <v>0</v>
      </c>
      <c r="BB219" s="279">
        <f t="shared" si="1711"/>
        <v>0</v>
      </c>
      <c r="BC219" s="279">
        <f t="shared" si="1711"/>
        <v>0</v>
      </c>
      <c r="BD219" s="279">
        <f t="shared" si="1711"/>
        <v>0</v>
      </c>
      <c r="BE219" s="279">
        <f t="shared" si="1711"/>
        <v>0</v>
      </c>
      <c r="BF219" s="279">
        <f t="shared" si="1711"/>
        <v>0</v>
      </c>
      <c r="BG219" s="279">
        <f t="shared" si="1711"/>
        <v>0</v>
      </c>
      <c r="BH219" s="279">
        <f t="shared" si="1711"/>
        <v>0</v>
      </c>
      <c r="BI219" s="279">
        <f t="shared" si="1711"/>
        <v>0</v>
      </c>
      <c r="BJ219" s="279">
        <f t="shared" si="1711"/>
        <v>0</v>
      </c>
      <c r="BK219" s="279">
        <f t="shared" si="1711"/>
        <v>0</v>
      </c>
      <c r="BL219" s="279">
        <f t="shared" si="1711"/>
        <v>0</v>
      </c>
      <c r="BM219" s="279">
        <f t="shared" si="1711"/>
        <v>0</v>
      </c>
      <c r="BN219" s="279">
        <f t="shared" si="1711"/>
        <v>0</v>
      </c>
    </row>
    <row r="220" spans="3:66" x14ac:dyDescent="0.2">
      <c r="C220" s="322"/>
      <c r="D220" s="23" t="s">
        <v>7</v>
      </c>
      <c r="E220" s="91">
        <f>SUM(F220:BN220)</f>
        <v>14.640000000000011</v>
      </c>
      <c r="F220" s="28">
        <f>IF(F219="",VLOOKUP($C219,'CUSTOS REALIZADOS'!$A$11:$E$995,4),(VLOOKUP($C219,'CUSTOS REALIZADOS'!$A$11:$E$995,5)))</f>
        <v>0.24000000000000002</v>
      </c>
      <c r="G220" s="28">
        <f>IF(G219="",VLOOKUP($C219,'CUSTOS REALIZADOS'!$A$11:$E$995,4),(VLOOKUP($C219,'CUSTOS REALIZADOS'!$A$11:$E$995,5)))</f>
        <v>0.24000000000000002</v>
      </c>
      <c r="H220" s="28">
        <f>IF(H219="",VLOOKUP($C219,'CUSTOS REALIZADOS'!$A$11:$E$995,4),(VLOOKUP($C219,'CUSTOS REALIZADOS'!$A$11:$E$995,5)))</f>
        <v>0.24000000000000002</v>
      </c>
      <c r="I220" s="28">
        <f>IF(I219="",VLOOKUP($C219,'CUSTOS REALIZADOS'!$A$11:$E$995,4),(VLOOKUP($C219,'CUSTOS REALIZADOS'!$A$11:$E$995,5)))</f>
        <v>0.24000000000000002</v>
      </c>
      <c r="J220" s="28">
        <f>IF(J219="",VLOOKUP($C219,'CUSTOS REALIZADOS'!$A$11:$E$995,4),(VLOOKUP($C219,'CUSTOS REALIZADOS'!$A$11:$E$995,5)))</f>
        <v>0.24000000000000002</v>
      </c>
      <c r="K220" s="28">
        <f>IF(K219="",VLOOKUP($C219,'CUSTOS REALIZADOS'!$A$11:$E$995,4),(VLOOKUP($C219,'CUSTOS REALIZADOS'!$A$11:$E$995,5)))</f>
        <v>0.24000000000000002</v>
      </c>
      <c r="L220" s="28">
        <f>IF(L219="",VLOOKUP($C219,'CUSTOS REALIZADOS'!$A$11:$E$995,4),(VLOOKUP($C219,'CUSTOS REALIZADOS'!$A$11:$E$995,5)))</f>
        <v>0.24000000000000002</v>
      </c>
      <c r="M220" s="28">
        <f>IF(M219="",VLOOKUP($C219,'CUSTOS REALIZADOS'!$A$11:$E$995,4),(VLOOKUP($C219,'CUSTOS REALIZADOS'!$A$11:$E$995,5)))</f>
        <v>0.24000000000000002</v>
      </c>
      <c r="N220" s="28">
        <f>IF(N219="",VLOOKUP($C219,'CUSTOS REALIZADOS'!$A$11:$E$995,4),(VLOOKUP($C219,'CUSTOS REALIZADOS'!$A$11:$E$995,5)))</f>
        <v>0.24000000000000002</v>
      </c>
      <c r="O220" s="28">
        <f>IF(O219="",VLOOKUP($C219,'CUSTOS REALIZADOS'!$A$11:$E$995,4),(VLOOKUP($C219,'CUSTOS REALIZADOS'!$A$11:$E$995,5)))</f>
        <v>0.24000000000000002</v>
      </c>
      <c r="P220" s="28">
        <f>IF(P219="",VLOOKUP($C219,'CUSTOS REALIZADOS'!$A$11:$E$995,4),(VLOOKUP($C219,'CUSTOS REALIZADOS'!$A$11:$E$995,5)))</f>
        <v>0.24000000000000002</v>
      </c>
      <c r="Q220" s="28">
        <f>IF(Q219="",VLOOKUP($C219,'CUSTOS REALIZADOS'!$A$11:$E$995,4),(VLOOKUP($C219,'CUSTOS REALIZADOS'!$A$11:$E$995,5)))</f>
        <v>0.24000000000000002</v>
      </c>
      <c r="R220" s="28">
        <f>IF(R219="",VLOOKUP($C219,'CUSTOS REALIZADOS'!$A$11:$E$995,4),(VLOOKUP($C219,'CUSTOS REALIZADOS'!$A$11:$E$995,5)))</f>
        <v>0.24000000000000002</v>
      </c>
      <c r="S220" s="28">
        <f>IF(S219="",VLOOKUP($C219,'CUSTOS REALIZADOS'!$A$11:$E$995,4),(VLOOKUP($C219,'CUSTOS REALIZADOS'!$A$11:$E$995,5)))</f>
        <v>0.24000000000000002</v>
      </c>
      <c r="T220" s="28">
        <f>IF(T219="",VLOOKUP($C219,'CUSTOS REALIZADOS'!$A$11:$E$995,4),(VLOOKUP($C219,'CUSTOS REALIZADOS'!$A$11:$E$995,5)))</f>
        <v>0.24000000000000002</v>
      </c>
      <c r="U220" s="28">
        <f>IF(U219="",VLOOKUP($C219,'CUSTOS REALIZADOS'!$A$11:$E$995,4),(VLOOKUP($C219,'CUSTOS REALIZADOS'!$A$11:$E$995,5)))</f>
        <v>0.24000000000000002</v>
      </c>
      <c r="V220" s="28">
        <f>IF(V219="",VLOOKUP($C219,'CUSTOS REALIZADOS'!$A$11:$E$995,4),(VLOOKUP($C219,'CUSTOS REALIZADOS'!$A$11:$E$995,5)))</f>
        <v>0.24000000000000002</v>
      </c>
      <c r="W220" s="28">
        <f>IF(W219="",VLOOKUP($C219,'CUSTOS REALIZADOS'!$A$11:$E$995,4),(VLOOKUP($C219,'CUSTOS REALIZADOS'!$A$11:$E$995,5)))</f>
        <v>0.24000000000000002</v>
      </c>
      <c r="X220" s="28">
        <f>IF(X219="",VLOOKUP($C219,'CUSTOS REALIZADOS'!$A$11:$E$995,4),(VLOOKUP($C219,'CUSTOS REALIZADOS'!$A$11:$E$995,5)))</f>
        <v>0.24000000000000002</v>
      </c>
      <c r="Y220" s="28">
        <f>IF(Y219="",VLOOKUP($C219,'CUSTOS REALIZADOS'!$A$11:$E$995,4),(VLOOKUP($C219,'CUSTOS REALIZADOS'!$A$11:$E$995,5)))</f>
        <v>0.24000000000000002</v>
      </c>
      <c r="Z220" s="28">
        <f>IF(Z219="",VLOOKUP($C219,'CUSTOS REALIZADOS'!$A$11:$E$995,4),(VLOOKUP($C219,'CUSTOS REALIZADOS'!$A$11:$E$995,5)))</f>
        <v>0.24000000000000002</v>
      </c>
      <c r="AA220" s="28">
        <f>IF(AA219="",VLOOKUP($C219,'CUSTOS REALIZADOS'!$A$11:$E$995,4),(VLOOKUP($C219,'CUSTOS REALIZADOS'!$A$11:$E$995,5)))</f>
        <v>0.24000000000000002</v>
      </c>
      <c r="AB220" s="28">
        <f>IF(AB219="",VLOOKUP($C219,'CUSTOS REALIZADOS'!$A$11:$E$995,4),(VLOOKUP($C219,'CUSTOS REALIZADOS'!$A$11:$E$995,5)))</f>
        <v>0.24000000000000002</v>
      </c>
      <c r="AC220" s="28">
        <f>IF(AC219="",VLOOKUP($C219,'CUSTOS REALIZADOS'!$A$11:$E$995,4),(VLOOKUP($C219,'CUSTOS REALIZADOS'!$A$11:$E$995,5)))</f>
        <v>0.24000000000000002</v>
      </c>
      <c r="AD220" s="28">
        <f>IF(AD219="",VLOOKUP($C219,'CUSTOS REALIZADOS'!$A$11:$E$995,4),(VLOOKUP($C219,'CUSTOS REALIZADOS'!$A$11:$E$995,5)))</f>
        <v>0.24000000000000002</v>
      </c>
      <c r="AE220" s="28">
        <f>IF(AE219="",VLOOKUP($C219,'CUSTOS REALIZADOS'!$A$11:$E$995,4),(VLOOKUP($C219,'CUSTOS REALIZADOS'!$A$11:$E$995,5)))</f>
        <v>0.24000000000000002</v>
      </c>
      <c r="AF220" s="28">
        <f>IF(AF219="",VLOOKUP($C219,'CUSTOS REALIZADOS'!$A$11:$E$995,4),(VLOOKUP($C219,'CUSTOS REALIZADOS'!$A$11:$E$995,5)))</f>
        <v>0.24000000000000002</v>
      </c>
      <c r="AG220" s="28">
        <f>IF(AG219="",VLOOKUP($C219,'CUSTOS REALIZADOS'!$A$11:$E$995,4),(VLOOKUP($C219,'CUSTOS REALIZADOS'!$A$11:$E$995,5)))</f>
        <v>0.24000000000000002</v>
      </c>
      <c r="AH220" s="28">
        <f>IF(AH219="",VLOOKUP($C219,'CUSTOS REALIZADOS'!$A$11:$E$995,4),(VLOOKUP($C219,'CUSTOS REALIZADOS'!$A$11:$E$995,5)))</f>
        <v>0.24000000000000002</v>
      </c>
      <c r="AI220" s="28">
        <f>IF(AI219="",VLOOKUP($C219,'CUSTOS REALIZADOS'!$A$11:$E$995,4),(VLOOKUP($C219,'CUSTOS REALIZADOS'!$A$11:$E$995,5)))</f>
        <v>0.24000000000000002</v>
      </c>
      <c r="AJ220" s="28">
        <f>IF(AJ219="",VLOOKUP($C219,'CUSTOS REALIZADOS'!$A$11:$E$995,4),(VLOOKUP($C219,'CUSTOS REALIZADOS'!$A$11:$E$995,5)))</f>
        <v>0.24000000000000002</v>
      </c>
      <c r="AK220" s="28">
        <f>IF(AK219="",VLOOKUP($C219,'CUSTOS REALIZADOS'!$A$11:$E$995,4),(VLOOKUP($C219,'CUSTOS REALIZADOS'!$A$11:$E$995,5)))</f>
        <v>0.24000000000000002</v>
      </c>
      <c r="AL220" s="28">
        <f>IF(AL219="",VLOOKUP($C219,'CUSTOS REALIZADOS'!$A$11:$E$995,4),(VLOOKUP($C219,'CUSTOS REALIZADOS'!$A$11:$E$995,5)))</f>
        <v>0.24000000000000002</v>
      </c>
      <c r="AM220" s="28">
        <f>IF(AM219="",VLOOKUP($C219,'CUSTOS REALIZADOS'!$A$11:$E$995,4),(VLOOKUP($C219,'CUSTOS REALIZADOS'!$A$11:$E$995,5)))</f>
        <v>0.24000000000000002</v>
      </c>
      <c r="AN220" s="28">
        <f>IF(AN219="",VLOOKUP($C219,'CUSTOS REALIZADOS'!$A$11:$E$995,4),(VLOOKUP($C219,'CUSTOS REALIZADOS'!$A$11:$E$995,5)))</f>
        <v>0.24000000000000002</v>
      </c>
      <c r="AO220" s="28">
        <f>IF(AO219="",VLOOKUP($C219,'CUSTOS REALIZADOS'!$A$11:$E$995,4),(VLOOKUP($C219,'CUSTOS REALIZADOS'!$A$11:$E$995,5)))</f>
        <v>0.24000000000000002</v>
      </c>
      <c r="AP220" s="28">
        <f>IF(AP219="",VLOOKUP($C219,'CUSTOS REALIZADOS'!$A$11:$E$995,4),(VLOOKUP($C219,'CUSTOS REALIZADOS'!$A$11:$E$995,5)))</f>
        <v>0.24000000000000002</v>
      </c>
      <c r="AQ220" s="28">
        <f>IF(AQ219="",VLOOKUP($C219,'CUSTOS REALIZADOS'!$A$11:$E$995,4),(VLOOKUP($C219,'CUSTOS REALIZADOS'!$A$11:$E$995,5)))</f>
        <v>0.24000000000000002</v>
      </c>
      <c r="AR220" s="28">
        <f>IF(AR219="",VLOOKUP($C219,'CUSTOS REALIZADOS'!$A$11:$E$995,4),(VLOOKUP($C219,'CUSTOS REALIZADOS'!$A$11:$E$995,5)))</f>
        <v>0.24000000000000002</v>
      </c>
      <c r="AS220" s="28">
        <f>IF(AS219="",VLOOKUP($C219,'CUSTOS REALIZADOS'!$A$11:$E$995,4),(VLOOKUP($C219,'CUSTOS REALIZADOS'!$A$11:$E$995,5)))</f>
        <v>0.24000000000000002</v>
      </c>
      <c r="AT220" s="28">
        <f>IF(AT219="",VLOOKUP($C219,'CUSTOS REALIZADOS'!$A$11:$E$995,4),(VLOOKUP($C219,'CUSTOS REALIZADOS'!$A$11:$E$995,5)))</f>
        <v>0.24000000000000002</v>
      </c>
      <c r="AU220" s="28">
        <f>IF(AU219="",VLOOKUP($C219,'CUSTOS REALIZADOS'!$A$11:$E$995,4),(VLOOKUP($C219,'CUSTOS REALIZADOS'!$A$11:$E$995,5)))</f>
        <v>0.24000000000000002</v>
      </c>
      <c r="AV220" s="28">
        <f>IF(AV219="",VLOOKUP($C219,'CUSTOS REALIZADOS'!$A$11:$E$995,4),(VLOOKUP($C219,'CUSTOS REALIZADOS'!$A$11:$E$995,5)))</f>
        <v>0.24000000000000002</v>
      </c>
      <c r="AW220" s="28">
        <f>IF(AW219="",VLOOKUP($C219,'CUSTOS REALIZADOS'!$A$11:$E$995,4),(VLOOKUP($C219,'CUSTOS REALIZADOS'!$A$11:$E$995,5)))</f>
        <v>0.24000000000000002</v>
      </c>
      <c r="AX220" s="28">
        <f>IF(AX219="",VLOOKUP($C219,'CUSTOS REALIZADOS'!$A$11:$E$995,4),(VLOOKUP($C219,'CUSTOS REALIZADOS'!$A$11:$E$995,5)))</f>
        <v>0.24000000000000002</v>
      </c>
      <c r="AY220" s="28">
        <f>IF(AY219="",VLOOKUP($C219,'CUSTOS REALIZADOS'!$A$11:$E$995,4),(VLOOKUP($C219,'CUSTOS REALIZADOS'!$A$11:$E$995,5)))</f>
        <v>0.24000000000000002</v>
      </c>
      <c r="AZ220" s="28">
        <f>IF(AZ219="",VLOOKUP($C219,'CUSTOS REALIZADOS'!$A$11:$E$995,4),(VLOOKUP($C219,'CUSTOS REALIZADOS'!$A$11:$E$995,5)))</f>
        <v>0.24000000000000002</v>
      </c>
      <c r="BA220" s="28">
        <f>IF(BA219="",VLOOKUP($C219,'CUSTOS REALIZADOS'!$A$11:$E$995,4),(VLOOKUP($C219,'CUSTOS REALIZADOS'!$A$11:$E$995,5)))</f>
        <v>0.24000000000000002</v>
      </c>
      <c r="BB220" s="28">
        <f>IF(BB219="",VLOOKUP($C219,'CUSTOS REALIZADOS'!$A$11:$E$995,4),(VLOOKUP($C219,'CUSTOS REALIZADOS'!$A$11:$E$995,5)))</f>
        <v>0.24000000000000002</v>
      </c>
      <c r="BC220" s="28">
        <f>IF(BC219="",VLOOKUP($C219,'CUSTOS REALIZADOS'!$A$11:$E$995,4),(VLOOKUP($C219,'CUSTOS REALIZADOS'!$A$11:$E$995,5)))</f>
        <v>0.24000000000000002</v>
      </c>
      <c r="BD220" s="28">
        <f>IF(BD219="",VLOOKUP($C219,'CUSTOS REALIZADOS'!$A$11:$E$995,4),(VLOOKUP($C219,'CUSTOS REALIZADOS'!$A$11:$E$995,5)))</f>
        <v>0.24000000000000002</v>
      </c>
      <c r="BE220" s="28">
        <f>IF(BE219="",VLOOKUP($C219,'CUSTOS REALIZADOS'!$A$11:$E$995,4),(VLOOKUP($C219,'CUSTOS REALIZADOS'!$A$11:$E$995,5)))</f>
        <v>0.24000000000000002</v>
      </c>
      <c r="BF220" s="28">
        <f>IF(BF219="",VLOOKUP($C219,'CUSTOS REALIZADOS'!$A$11:$E$995,4),(VLOOKUP($C219,'CUSTOS REALIZADOS'!$A$11:$E$995,5)))</f>
        <v>0.24000000000000002</v>
      </c>
      <c r="BG220" s="28">
        <f>IF(BG219="",VLOOKUP($C219,'CUSTOS REALIZADOS'!$A$11:$E$995,4),(VLOOKUP($C219,'CUSTOS REALIZADOS'!$A$11:$E$995,5)))</f>
        <v>0.24000000000000002</v>
      </c>
      <c r="BH220" s="28">
        <f>IF(BH219="",VLOOKUP($C219,'CUSTOS REALIZADOS'!$A$11:$E$995,4),(VLOOKUP($C219,'CUSTOS REALIZADOS'!$A$11:$E$995,5)))</f>
        <v>0.24000000000000002</v>
      </c>
      <c r="BI220" s="28">
        <f>IF(BI219="",VLOOKUP($C219,'CUSTOS REALIZADOS'!$A$11:$E$995,4),(VLOOKUP($C219,'CUSTOS REALIZADOS'!$A$11:$E$995,5)))</f>
        <v>0.24000000000000002</v>
      </c>
      <c r="BJ220" s="28">
        <f>IF(BJ219="",VLOOKUP($C219,'CUSTOS REALIZADOS'!$A$11:$E$995,4),(VLOOKUP($C219,'CUSTOS REALIZADOS'!$A$11:$E$995,5)))</f>
        <v>0.24000000000000002</v>
      </c>
      <c r="BK220" s="28">
        <f>IF(BK219="",VLOOKUP($C219,'CUSTOS REALIZADOS'!$A$11:$E$995,4),(VLOOKUP($C219,'CUSTOS REALIZADOS'!$A$11:$E$995,5)))</f>
        <v>0.24000000000000002</v>
      </c>
      <c r="BL220" s="28">
        <f>IF(BL219="",VLOOKUP($C219,'CUSTOS REALIZADOS'!$A$11:$E$995,4),(VLOOKUP($C219,'CUSTOS REALIZADOS'!$A$11:$E$995,5)))</f>
        <v>0.24000000000000002</v>
      </c>
      <c r="BM220" s="28">
        <f>IF(BM219="",VLOOKUP($C219,'CUSTOS REALIZADOS'!$A$11:$E$995,4),(VLOOKUP($C219,'CUSTOS REALIZADOS'!$A$11:$E$995,5)))</f>
        <v>0.24000000000000002</v>
      </c>
      <c r="BN220" s="28">
        <f>IF(BN219="",VLOOKUP($C219,'CUSTOS REALIZADOS'!$A$11:$E$995,4),(VLOOKUP($C219,'CUSTOS REALIZADOS'!$A$11:$E$995,5)))</f>
        <v>0.24000000000000002</v>
      </c>
    </row>
    <row r="221" spans="3:66" x14ac:dyDescent="0.2">
      <c r="C221" s="322"/>
      <c r="D221" s="23" t="s">
        <v>6</v>
      </c>
      <c r="E221" s="27">
        <f>SUM(F221:BN221)</f>
        <v>95000</v>
      </c>
      <c r="F221" s="23">
        <f>IF(AND($C219&gt;=F$6,OR($C219&lt;F$8,F$8="")),F$7*F$28,0)</f>
        <v>0</v>
      </c>
      <c r="G221" s="23">
        <f t="shared" ref="G221:BN221" si="1712">IF(AND($C219&gt;=G$6,OR($C219&lt;G$8,G$8="")),G$7*G$28,0)</f>
        <v>45000</v>
      </c>
      <c r="H221" s="23">
        <f t="shared" si="1712"/>
        <v>50000</v>
      </c>
      <c r="I221" s="23">
        <f t="shared" si="1712"/>
        <v>0</v>
      </c>
      <c r="J221" s="23">
        <f t="shared" si="1712"/>
        <v>0</v>
      </c>
      <c r="K221" s="23">
        <f t="shared" si="1712"/>
        <v>0</v>
      </c>
      <c r="L221" s="23">
        <f t="shared" si="1712"/>
        <v>0</v>
      </c>
      <c r="M221" s="23">
        <f t="shared" si="1712"/>
        <v>0</v>
      </c>
      <c r="N221" s="23">
        <f t="shared" si="1712"/>
        <v>0</v>
      </c>
      <c r="O221" s="23">
        <f t="shared" si="1712"/>
        <v>0</v>
      </c>
      <c r="P221" s="23">
        <f t="shared" si="1712"/>
        <v>0</v>
      </c>
      <c r="Q221" s="23">
        <f t="shared" si="1712"/>
        <v>0</v>
      </c>
      <c r="R221" s="23">
        <f t="shared" si="1712"/>
        <v>0</v>
      </c>
      <c r="S221" s="23">
        <f t="shared" si="1712"/>
        <v>0</v>
      </c>
      <c r="T221" s="23">
        <f t="shared" si="1712"/>
        <v>0</v>
      </c>
      <c r="U221" s="23">
        <f t="shared" si="1712"/>
        <v>0</v>
      </c>
      <c r="V221" s="23">
        <f t="shared" si="1712"/>
        <v>0</v>
      </c>
      <c r="W221" s="23">
        <f t="shared" si="1712"/>
        <v>0</v>
      </c>
      <c r="X221" s="23">
        <f t="shared" si="1712"/>
        <v>0</v>
      </c>
      <c r="Y221" s="23">
        <f t="shared" si="1712"/>
        <v>0</v>
      </c>
      <c r="Z221" s="23">
        <f t="shared" si="1712"/>
        <v>0</v>
      </c>
      <c r="AA221" s="23">
        <f t="shared" si="1712"/>
        <v>0</v>
      </c>
      <c r="AB221" s="23">
        <f t="shared" si="1712"/>
        <v>0</v>
      </c>
      <c r="AC221" s="23">
        <f t="shared" si="1712"/>
        <v>0</v>
      </c>
      <c r="AD221" s="23">
        <f t="shared" si="1712"/>
        <v>0</v>
      </c>
      <c r="AE221" s="23">
        <f t="shared" si="1712"/>
        <v>0</v>
      </c>
      <c r="AF221" s="23">
        <f t="shared" si="1712"/>
        <v>0</v>
      </c>
      <c r="AG221" s="23">
        <f t="shared" si="1712"/>
        <v>0</v>
      </c>
      <c r="AH221" s="23">
        <f t="shared" si="1712"/>
        <v>0</v>
      </c>
      <c r="AI221" s="23">
        <f t="shared" si="1712"/>
        <v>0</v>
      </c>
      <c r="AJ221" s="23">
        <f t="shared" si="1712"/>
        <v>0</v>
      </c>
      <c r="AK221" s="23">
        <f t="shared" si="1712"/>
        <v>0</v>
      </c>
      <c r="AL221" s="23">
        <f t="shared" si="1712"/>
        <v>0</v>
      </c>
      <c r="AM221" s="23">
        <f t="shared" si="1712"/>
        <v>0</v>
      </c>
      <c r="AN221" s="23">
        <f t="shared" si="1712"/>
        <v>0</v>
      </c>
      <c r="AO221" s="23">
        <f t="shared" si="1712"/>
        <v>0</v>
      </c>
      <c r="AP221" s="23">
        <f t="shared" si="1712"/>
        <v>0</v>
      </c>
      <c r="AQ221" s="23">
        <f t="shared" si="1712"/>
        <v>0</v>
      </c>
      <c r="AR221" s="23">
        <f t="shared" si="1712"/>
        <v>0</v>
      </c>
      <c r="AS221" s="23">
        <f t="shared" si="1712"/>
        <v>0</v>
      </c>
      <c r="AT221" s="23">
        <f t="shared" si="1712"/>
        <v>0</v>
      </c>
      <c r="AU221" s="23">
        <f t="shared" si="1712"/>
        <v>0</v>
      </c>
      <c r="AV221" s="23">
        <f t="shared" si="1712"/>
        <v>0</v>
      </c>
      <c r="AW221" s="23">
        <f t="shared" si="1712"/>
        <v>0</v>
      </c>
      <c r="AX221" s="23">
        <f t="shared" si="1712"/>
        <v>0</v>
      </c>
      <c r="AY221" s="23">
        <f t="shared" si="1712"/>
        <v>0</v>
      </c>
      <c r="AZ221" s="23">
        <f t="shared" si="1712"/>
        <v>0</v>
      </c>
      <c r="BA221" s="23">
        <f t="shared" si="1712"/>
        <v>0</v>
      </c>
      <c r="BB221" s="23">
        <f t="shared" si="1712"/>
        <v>0</v>
      </c>
      <c r="BC221" s="23">
        <f t="shared" si="1712"/>
        <v>0</v>
      </c>
      <c r="BD221" s="23">
        <f t="shared" si="1712"/>
        <v>0</v>
      </c>
      <c r="BE221" s="23">
        <f t="shared" si="1712"/>
        <v>0</v>
      </c>
      <c r="BF221" s="23">
        <f t="shared" si="1712"/>
        <v>0</v>
      </c>
      <c r="BG221" s="23">
        <f t="shared" si="1712"/>
        <v>0</v>
      </c>
      <c r="BH221" s="23">
        <f t="shared" si="1712"/>
        <v>0</v>
      </c>
      <c r="BI221" s="23">
        <f t="shared" si="1712"/>
        <v>0</v>
      </c>
      <c r="BJ221" s="23">
        <f t="shared" si="1712"/>
        <v>0</v>
      </c>
      <c r="BK221" s="23">
        <f t="shared" si="1712"/>
        <v>0</v>
      </c>
      <c r="BL221" s="23">
        <f t="shared" si="1712"/>
        <v>0</v>
      </c>
      <c r="BM221" s="23">
        <f t="shared" si="1712"/>
        <v>0</v>
      </c>
      <c r="BN221" s="23">
        <f t="shared" si="1712"/>
        <v>0</v>
      </c>
    </row>
    <row r="222" spans="3:66" x14ac:dyDescent="0.2">
      <c r="C222" s="322"/>
      <c r="D222" s="23" t="s">
        <v>9</v>
      </c>
      <c r="E222" s="225">
        <f>SUM(F222:BN222)</f>
        <v>0</v>
      </c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2"/>
    </row>
    <row r="223" spans="3:66" x14ac:dyDescent="0.2">
      <c r="C223" s="322"/>
      <c r="D223" s="23" t="s">
        <v>14</v>
      </c>
      <c r="E223" s="27">
        <f>SUM(F223:AY223)</f>
        <v>989717.83748551272</v>
      </c>
      <c r="F223" s="23">
        <f>IF(F218=0,F219-F222,F218-F222)</f>
        <v>-173.66517590551194</v>
      </c>
      <c r="G223" s="23">
        <f t="shared" ref="G223" si="1713">IF(G218=0,G219-G222,G218-G222)</f>
        <v>468895.97494488239</v>
      </c>
      <c r="H223" s="23">
        <f t="shared" ref="H223" si="1714">IF(H218=0,H219-H222,H218-H222)</f>
        <v>520995.52771653584</v>
      </c>
      <c r="I223" s="23">
        <f t="shared" ref="I223" si="1715">IF(I218=0,I219-I222,I218-I222)</f>
        <v>0</v>
      </c>
      <c r="J223" s="23">
        <f t="shared" ref="J223" si="1716">IF(J218=0,J219-J222,J218-J222)</f>
        <v>0</v>
      </c>
      <c r="K223" s="23">
        <f t="shared" ref="K223" si="1717">IF(K218=0,K219-K222,K218-K222)</f>
        <v>0</v>
      </c>
      <c r="L223" s="23">
        <f t="shared" ref="L223" si="1718">IF(L218=0,L219-L222,L218-L222)</f>
        <v>0</v>
      </c>
      <c r="M223" s="23">
        <f t="shared" ref="M223" si="1719">IF(M218=0,M219-M222,M218-M222)</f>
        <v>0</v>
      </c>
      <c r="N223" s="23">
        <f t="shared" ref="N223" si="1720">IF(N218=0,N219-N222,N218-N222)</f>
        <v>0</v>
      </c>
      <c r="O223" s="23">
        <f t="shared" ref="O223" si="1721">IF(O218=0,O219-O222,O218-O222)</f>
        <v>0</v>
      </c>
      <c r="P223" s="23">
        <f t="shared" ref="P223" si="1722">IF(P218=0,P219-P222,P218-P222)</f>
        <v>0</v>
      </c>
      <c r="Q223" s="23">
        <f t="shared" ref="Q223" si="1723">IF(Q218=0,Q219-Q222,Q218-Q222)</f>
        <v>0</v>
      </c>
      <c r="R223" s="23">
        <f t="shared" ref="R223" si="1724">IF(R218=0,R219-R222,R218-R222)</f>
        <v>0</v>
      </c>
      <c r="S223" s="23">
        <f t="shared" ref="S223" si="1725">IF(S218=0,S219-S222,S218-S222)</f>
        <v>0</v>
      </c>
      <c r="T223" s="23">
        <f t="shared" ref="T223" si="1726">IF(T218=0,T219-T222,T218-T222)</f>
        <v>0</v>
      </c>
      <c r="U223" s="23">
        <f t="shared" ref="U223" si="1727">IF(U218=0,U219-U222,U218-U222)</f>
        <v>0</v>
      </c>
      <c r="V223" s="23">
        <f t="shared" ref="V223" si="1728">IF(V218=0,V219-V222,V218-V222)</f>
        <v>0</v>
      </c>
      <c r="W223" s="23">
        <f t="shared" ref="W223" si="1729">IF(W218=0,W219-W222,W218-W222)</f>
        <v>0</v>
      </c>
      <c r="X223" s="23">
        <f t="shared" ref="X223" si="1730">IF(X218=0,X219-X222,X218-X222)</f>
        <v>0</v>
      </c>
      <c r="Y223" s="23">
        <f t="shared" ref="Y223" si="1731">IF(Y218=0,Y219-Y222,Y218-Y222)</f>
        <v>0</v>
      </c>
      <c r="Z223" s="23">
        <f t="shared" ref="Z223" si="1732">IF(Z218=0,Z219-Z222,Z218-Z222)</f>
        <v>0</v>
      </c>
      <c r="AA223" s="23">
        <f t="shared" ref="AA223" si="1733">IF(AA218=0,AA219-AA222,AA218-AA222)</f>
        <v>0</v>
      </c>
      <c r="AB223" s="23">
        <f t="shared" ref="AB223" si="1734">IF(AB218=0,AB219-AB222,AB218-AB222)</f>
        <v>0</v>
      </c>
      <c r="AC223" s="23">
        <f t="shared" ref="AC223" si="1735">IF(AC218=0,AC219-AC222,AC218-AC222)</f>
        <v>0</v>
      </c>
      <c r="AD223" s="23">
        <f t="shared" ref="AD223" si="1736">IF(AD218=0,AD219-AD222,AD218-AD222)</f>
        <v>0</v>
      </c>
      <c r="AE223" s="23">
        <f t="shared" ref="AE223" si="1737">IF(AE218=0,AE219-AE222,AE218-AE222)</f>
        <v>0</v>
      </c>
      <c r="AF223" s="23">
        <f t="shared" ref="AF223" si="1738">IF(AF218=0,AF219-AF222,AF218-AF222)</f>
        <v>0</v>
      </c>
      <c r="AG223" s="23">
        <f t="shared" ref="AG223" si="1739">IF(AG218=0,AG219-AG222,AG218-AG222)</f>
        <v>0</v>
      </c>
      <c r="AH223" s="23">
        <f t="shared" ref="AH223" si="1740">IF(AH218=0,AH219-AH222,AH218-AH222)</f>
        <v>0</v>
      </c>
      <c r="AI223" s="23">
        <f t="shared" ref="AI223" si="1741">IF(AI218=0,AI219-AI222,AI218-AI222)</f>
        <v>0</v>
      </c>
      <c r="AJ223" s="23">
        <f t="shared" ref="AJ223" si="1742">IF(AJ218=0,AJ219-AJ222,AJ218-AJ222)</f>
        <v>0</v>
      </c>
      <c r="AK223" s="23">
        <f t="shared" ref="AK223" si="1743">IF(AK218=0,AK219-AK222,AK218-AK222)</f>
        <v>0</v>
      </c>
      <c r="AL223" s="23">
        <f t="shared" ref="AL223" si="1744">IF(AL218=0,AL219-AL222,AL218-AL222)</f>
        <v>0</v>
      </c>
      <c r="AM223" s="23">
        <f t="shared" ref="AM223" si="1745">IF(AM218=0,AM219-AM222,AM218-AM222)</f>
        <v>0</v>
      </c>
      <c r="AN223" s="23">
        <f t="shared" ref="AN223" si="1746">IF(AN218=0,AN219-AN222,AN218-AN222)</f>
        <v>0</v>
      </c>
      <c r="AO223" s="23">
        <f t="shared" ref="AO223" si="1747">IF(AO218=0,AO219-AO222,AO218-AO222)</f>
        <v>0</v>
      </c>
      <c r="AP223" s="23">
        <f t="shared" ref="AP223" si="1748">IF(AP218=0,AP219-AP222,AP218-AP222)</f>
        <v>0</v>
      </c>
      <c r="AQ223" s="23">
        <f t="shared" ref="AQ223" si="1749">IF(AQ218=0,AQ219-AQ222,AQ218-AQ222)</f>
        <v>0</v>
      </c>
      <c r="AR223" s="23">
        <f t="shared" ref="AR223" si="1750">IF(AR218=0,AR219-AR222,AR218-AR222)</f>
        <v>0</v>
      </c>
      <c r="AS223" s="23">
        <f t="shared" ref="AS223" si="1751">IF(AS218=0,AS219-AS222,AS218-AS222)</f>
        <v>0</v>
      </c>
      <c r="AT223" s="23">
        <f t="shared" ref="AT223" si="1752">IF(AT218=0,AT219-AT222,AT218-AT222)</f>
        <v>0</v>
      </c>
      <c r="AU223" s="23">
        <f t="shared" ref="AU223" si="1753">IF(AU218=0,AU219-AU222,AU218-AU222)</f>
        <v>0</v>
      </c>
      <c r="AV223" s="23">
        <f t="shared" ref="AV223" si="1754">IF(AV218=0,AV219-AV222,AV218-AV222)</f>
        <v>0</v>
      </c>
      <c r="AW223" s="23">
        <f t="shared" ref="AW223" si="1755">IF(AW218=0,AW219-AW222,AW218-AW222)</f>
        <v>0</v>
      </c>
      <c r="AX223" s="23">
        <f t="shared" ref="AX223" si="1756">IF(AX218=0,AX219-AX222,AX218-AX222)</f>
        <v>0</v>
      </c>
      <c r="AY223" s="23">
        <f t="shared" ref="AY223" si="1757">IF(AY218=0,AY219-AY222,AY218-AY222)</f>
        <v>0</v>
      </c>
      <c r="AZ223" s="23">
        <f t="shared" ref="AZ223" si="1758">IF(AZ218=0,AZ219-AZ222,AZ218-AZ222)</f>
        <v>0</v>
      </c>
      <c r="BA223" s="23">
        <f t="shared" ref="BA223" si="1759">IF(BA218=0,BA219-BA222,BA218-BA222)</f>
        <v>0</v>
      </c>
      <c r="BB223" s="23">
        <f t="shared" ref="BB223" si="1760">IF(BB218=0,BB219-BB222,BB218-BB222)</f>
        <v>0</v>
      </c>
      <c r="BC223" s="23">
        <f t="shared" ref="BC223" si="1761">IF(BC218=0,BC219-BC222,BC218-BC222)</f>
        <v>0</v>
      </c>
      <c r="BD223" s="23">
        <f t="shared" ref="BD223" si="1762">IF(BD218=0,BD219-BD222,BD218-BD222)</f>
        <v>0</v>
      </c>
      <c r="BE223" s="23">
        <f t="shared" ref="BE223" si="1763">IF(BE218=0,BE219-BE222,BE218-BE222)</f>
        <v>0</v>
      </c>
      <c r="BF223" s="23">
        <f t="shared" ref="BF223" si="1764">IF(BF218=0,BF219-BF222,BF218-BF222)</f>
        <v>0</v>
      </c>
      <c r="BG223" s="23">
        <f t="shared" ref="BG223" si="1765">IF(BG218=0,BG219-BG222,BG218-BG222)</f>
        <v>0</v>
      </c>
      <c r="BH223" s="23">
        <f t="shared" ref="BH223" si="1766">IF(BH218=0,BH219-BH222,BH218-BH222)</f>
        <v>0</v>
      </c>
      <c r="BI223" s="23">
        <f t="shared" ref="BI223" si="1767">IF(BI218=0,BI219-BI222,BI218-BI222)</f>
        <v>0</v>
      </c>
      <c r="BJ223" s="23">
        <f t="shared" ref="BJ223" si="1768">IF(BJ218=0,BJ219-BJ222,BJ218-BJ222)</f>
        <v>0</v>
      </c>
      <c r="BK223" s="23">
        <f t="shared" ref="BK223" si="1769">IF(BK218=0,BK219-BK222,BK218-BK222)</f>
        <v>0</v>
      </c>
      <c r="BL223" s="23">
        <f t="shared" ref="BL223" si="1770">IF(BL218=0,BL219-BL222,BL218-BL222)</f>
        <v>0</v>
      </c>
      <c r="BM223" s="23">
        <f t="shared" ref="BM223" si="1771">IF(BM218=0,BM219-BM222,BM218-BM222)</f>
        <v>0</v>
      </c>
      <c r="BN223" s="23">
        <f t="shared" ref="BN223" si="1772">IF(BN218=0,BN219-BN222,BN218-BN222)</f>
        <v>0</v>
      </c>
    </row>
    <row r="224" spans="3:66" x14ac:dyDescent="0.2">
      <c r="C224" s="322"/>
      <c r="D224" s="23" t="s">
        <v>10</v>
      </c>
      <c r="E224" s="72">
        <v>8.9999999999999993E-3</v>
      </c>
      <c r="F224" s="54">
        <v>8.9999999999999993E-3</v>
      </c>
      <c r="G224" s="54">
        <v>8.9999999999999993E-3</v>
      </c>
      <c r="H224" s="54">
        <v>8.9999999999999993E-3</v>
      </c>
      <c r="I224" s="54">
        <v>8.9999999999999993E-3</v>
      </c>
      <c r="J224" s="54">
        <v>8.9999999999999993E-3</v>
      </c>
      <c r="K224" s="54">
        <v>8.9999999999999993E-3</v>
      </c>
      <c r="L224" s="54">
        <v>8.9999999999999993E-3</v>
      </c>
      <c r="M224" s="54">
        <v>8.9999999999999993E-3</v>
      </c>
      <c r="N224" s="54">
        <v>8.9999999999999993E-3</v>
      </c>
      <c r="O224" s="54">
        <v>8.9999999999999993E-3</v>
      </c>
      <c r="P224" s="54">
        <v>8.9999999999999993E-3</v>
      </c>
      <c r="Q224" s="54">
        <v>8.9999999999999993E-3</v>
      </c>
      <c r="R224" s="54">
        <v>8.9999999999999993E-3</v>
      </c>
      <c r="S224" s="54">
        <v>8.9999999999999993E-3</v>
      </c>
      <c r="T224" s="54">
        <v>8.9999999999999993E-3</v>
      </c>
      <c r="U224" s="54">
        <v>8.9999999999999993E-3</v>
      </c>
      <c r="V224" s="54">
        <v>8.9999999999999993E-3</v>
      </c>
      <c r="W224" s="54">
        <v>8.9999999999999993E-3</v>
      </c>
      <c r="X224" s="54">
        <v>8.9999999999999993E-3</v>
      </c>
      <c r="Y224" s="54">
        <v>8.9999999999999993E-3</v>
      </c>
      <c r="Z224" s="54">
        <v>8.9999999999999993E-3</v>
      </c>
      <c r="AA224" s="54">
        <v>8.9999999999999993E-3</v>
      </c>
      <c r="AB224" s="54">
        <v>8.9999999999999993E-3</v>
      </c>
      <c r="AC224" s="54">
        <v>8.9999999999999993E-3</v>
      </c>
      <c r="AD224" s="54">
        <v>8.9999999999999993E-3</v>
      </c>
      <c r="AE224" s="54">
        <v>8.9999999999999993E-3</v>
      </c>
      <c r="AF224" s="54">
        <v>8.9999999999999993E-3</v>
      </c>
      <c r="AG224" s="54">
        <v>8.9999999999999993E-3</v>
      </c>
      <c r="AH224" s="54">
        <v>8.9999999999999993E-3</v>
      </c>
      <c r="AI224" s="54">
        <v>8.9999999999999993E-3</v>
      </c>
      <c r="AJ224" s="54">
        <v>8.9999999999999993E-3</v>
      </c>
      <c r="AK224" s="54">
        <v>8.9999999999999993E-3</v>
      </c>
      <c r="AL224" s="54">
        <v>8.9999999999999993E-3</v>
      </c>
      <c r="AM224" s="54">
        <v>8.9999999999999993E-3</v>
      </c>
      <c r="AN224" s="54">
        <v>8.9999999999999993E-3</v>
      </c>
      <c r="AO224" s="54">
        <v>8.9999999999999993E-3</v>
      </c>
      <c r="AP224" s="54">
        <v>8.9999999999999993E-3</v>
      </c>
      <c r="AQ224" s="54">
        <v>8.9999999999999993E-3</v>
      </c>
      <c r="AR224" s="54">
        <v>8.9999999999999993E-3</v>
      </c>
      <c r="AS224" s="54">
        <v>8.9999999999999993E-3</v>
      </c>
      <c r="AT224" s="54">
        <v>8.9999999999999993E-3</v>
      </c>
      <c r="AU224" s="54">
        <v>8.9999999999999993E-3</v>
      </c>
      <c r="AV224" s="54">
        <v>8.9999999999999993E-3</v>
      </c>
      <c r="AW224" s="54">
        <v>8.9999999999999993E-3</v>
      </c>
      <c r="AX224" s="54">
        <v>8.9999999999999993E-3</v>
      </c>
      <c r="AY224" s="54">
        <v>8.9999999999999993E-3</v>
      </c>
      <c r="AZ224" s="54">
        <v>8.9999999999999993E-3</v>
      </c>
      <c r="BA224" s="54">
        <v>8.9999999999999993E-3</v>
      </c>
      <c r="BB224" s="54">
        <v>8.9999999999999993E-3</v>
      </c>
      <c r="BC224" s="54">
        <v>8.9999999999999993E-3</v>
      </c>
      <c r="BD224" s="54">
        <v>8.9999999999999993E-3</v>
      </c>
      <c r="BE224" s="54">
        <v>8.9999999999999993E-3</v>
      </c>
      <c r="BF224" s="54">
        <v>8.9999999999999993E-3</v>
      </c>
      <c r="BG224" s="54">
        <v>8.9999999999999993E-3</v>
      </c>
      <c r="BH224" s="54">
        <v>8.9999999999999993E-3</v>
      </c>
      <c r="BI224" s="54">
        <v>8.9999999999999993E-3</v>
      </c>
      <c r="BJ224" s="54">
        <v>8.9999999999999993E-3</v>
      </c>
      <c r="BK224" s="54">
        <v>8.9999999999999993E-3</v>
      </c>
      <c r="BL224" s="54">
        <v>8.9999999999999993E-3</v>
      </c>
      <c r="BM224" s="54">
        <v>8.9999999999999993E-3</v>
      </c>
      <c r="BN224" s="54">
        <v>8.9999999999999993E-3</v>
      </c>
    </row>
    <row r="225" spans="3:66" x14ac:dyDescent="0.2">
      <c r="C225" s="322"/>
      <c r="D225" s="23" t="s">
        <v>12</v>
      </c>
      <c r="E225" s="27">
        <f>SUM(F225:AY225)</f>
        <v>8907.460537369614</v>
      </c>
      <c r="F225" s="29">
        <f>+F223*F224</f>
        <v>-1.5629865831496075</v>
      </c>
      <c r="G225" s="29">
        <f>+G223*G224</f>
        <v>4220.0637745039412</v>
      </c>
      <c r="H225" s="29">
        <f>+H223*H224</f>
        <v>4688.9597494488225</v>
      </c>
      <c r="I225" s="29">
        <f t="shared" ref="I225:O225" si="1773">+I223*I224</f>
        <v>0</v>
      </c>
      <c r="J225" s="29">
        <f t="shared" si="1773"/>
        <v>0</v>
      </c>
      <c r="K225" s="29">
        <f t="shared" si="1773"/>
        <v>0</v>
      </c>
      <c r="L225" s="29">
        <f t="shared" si="1773"/>
        <v>0</v>
      </c>
      <c r="M225" s="29"/>
      <c r="N225" s="29">
        <f t="shared" si="1773"/>
        <v>0</v>
      </c>
      <c r="O225" s="29">
        <f t="shared" si="1773"/>
        <v>0</v>
      </c>
      <c r="P225" s="29">
        <f>+P223*P224</f>
        <v>0</v>
      </c>
      <c r="Q225" s="29">
        <f t="shared" ref="Q225" si="1774">+Q223*Q224</f>
        <v>0</v>
      </c>
      <c r="R225" s="29">
        <f>+R223*R224</f>
        <v>0</v>
      </c>
      <c r="S225" s="29">
        <f>+S223*S224</f>
        <v>0</v>
      </c>
      <c r="T225" s="29">
        <f t="shared" ref="T225" si="1775">+T223*T224</f>
        <v>0</v>
      </c>
      <c r="U225" s="29">
        <f>+U223*U224</f>
        <v>0</v>
      </c>
      <c r="V225" s="29">
        <f t="shared" ref="V225:X225" si="1776">+V223*V224</f>
        <v>0</v>
      </c>
      <c r="W225" s="29">
        <f t="shared" si="1776"/>
        <v>0</v>
      </c>
      <c r="X225" s="29">
        <f t="shared" si="1776"/>
        <v>0</v>
      </c>
      <c r="Y225" s="29">
        <f>+Y223*Y224</f>
        <v>0</v>
      </c>
      <c r="Z225" s="29">
        <f>+Z223*Z224</f>
        <v>0</v>
      </c>
      <c r="AA225" s="29">
        <f>+AA223*AA224</f>
        <v>0</v>
      </c>
      <c r="AB225" s="29">
        <f t="shared" ref="AB225:AD225" si="1777">+AB223*AB224</f>
        <v>0</v>
      </c>
      <c r="AC225" s="29">
        <f t="shared" si="1777"/>
        <v>0</v>
      </c>
      <c r="AD225" s="29">
        <f t="shared" si="1777"/>
        <v>0</v>
      </c>
      <c r="AE225" s="29">
        <v>0</v>
      </c>
      <c r="AF225" s="29">
        <f>+AF223*AF224</f>
        <v>0</v>
      </c>
      <c r="AG225" s="29">
        <f t="shared" ref="AG225:AP225" si="1778">+AG223*AG224</f>
        <v>0</v>
      </c>
      <c r="AH225" s="29">
        <f t="shared" si="1778"/>
        <v>0</v>
      </c>
      <c r="AI225" s="29">
        <f t="shared" si="1778"/>
        <v>0</v>
      </c>
      <c r="AJ225" s="29">
        <f t="shared" si="1778"/>
        <v>0</v>
      </c>
      <c r="AK225" s="29">
        <f t="shared" si="1778"/>
        <v>0</v>
      </c>
      <c r="AL225" s="29">
        <f t="shared" si="1778"/>
        <v>0</v>
      </c>
      <c r="AM225" s="29">
        <f t="shared" si="1778"/>
        <v>0</v>
      </c>
      <c r="AN225" s="29">
        <f t="shared" si="1778"/>
        <v>0</v>
      </c>
      <c r="AO225" s="29">
        <f t="shared" si="1778"/>
        <v>0</v>
      </c>
      <c r="AP225" s="29">
        <f t="shared" si="1778"/>
        <v>0</v>
      </c>
      <c r="AQ225" s="29">
        <f>+AQ223*AQ224</f>
        <v>0</v>
      </c>
      <c r="AR225" s="29">
        <v>0</v>
      </c>
      <c r="AS225" s="29">
        <f t="shared" ref="AS225:AU225" si="1779">+AS223*AS224</f>
        <v>0</v>
      </c>
      <c r="AT225" s="29">
        <f t="shared" si="1779"/>
        <v>0</v>
      </c>
      <c r="AU225" s="29">
        <f t="shared" si="1779"/>
        <v>0</v>
      </c>
      <c r="AV225" s="29">
        <v>0</v>
      </c>
      <c r="AW225" s="29">
        <f t="shared" ref="AW225:AX225" si="1780">+AW223*AW224</f>
        <v>0</v>
      </c>
      <c r="AX225" s="29">
        <f t="shared" si="1780"/>
        <v>0</v>
      </c>
      <c r="AY225" s="29">
        <f>+AY223*AY224</f>
        <v>0</v>
      </c>
      <c r="AZ225" s="29">
        <f t="shared" ref="AZ225:BN225" si="1781">+AZ223*AZ224</f>
        <v>0</v>
      </c>
      <c r="BA225" s="29">
        <f t="shared" si="1781"/>
        <v>0</v>
      </c>
      <c r="BB225" s="29"/>
      <c r="BC225" s="29">
        <f t="shared" si="1781"/>
        <v>0</v>
      </c>
      <c r="BD225" s="29">
        <f t="shared" si="1781"/>
        <v>0</v>
      </c>
      <c r="BE225" s="29">
        <f t="shared" si="1781"/>
        <v>0</v>
      </c>
      <c r="BF225" s="29">
        <f t="shared" si="1781"/>
        <v>0</v>
      </c>
      <c r="BG225" s="29">
        <f t="shared" si="1781"/>
        <v>0</v>
      </c>
      <c r="BH225" s="29">
        <f t="shared" si="1781"/>
        <v>0</v>
      </c>
      <c r="BI225" s="29">
        <f t="shared" si="1781"/>
        <v>0</v>
      </c>
      <c r="BJ225" s="29">
        <f t="shared" si="1781"/>
        <v>0</v>
      </c>
      <c r="BK225" s="29">
        <f t="shared" si="1781"/>
        <v>0</v>
      </c>
      <c r="BL225" s="29">
        <f t="shared" si="1781"/>
        <v>0</v>
      </c>
      <c r="BM225" s="29">
        <f t="shared" si="1781"/>
        <v>0</v>
      </c>
      <c r="BN225" s="29">
        <f t="shared" si="1781"/>
        <v>0</v>
      </c>
    </row>
    <row r="226" spans="3:66" ht="13.5" thickBot="1" x14ac:dyDescent="0.25">
      <c r="C226" s="323"/>
      <c r="D226" s="25" t="s">
        <v>11</v>
      </c>
      <c r="E226" s="30">
        <f>SUM(F226:BN226)</f>
        <v>998625.29802288231</v>
      </c>
      <c r="F226" s="46">
        <f>+F223+F225</f>
        <v>-175.22816248866155</v>
      </c>
      <c r="G226" s="46">
        <f>+G223+G225</f>
        <v>473116.03871938633</v>
      </c>
      <c r="H226" s="46">
        <f>+H223+H225</f>
        <v>525684.48746598465</v>
      </c>
      <c r="I226" s="46">
        <f t="shared" ref="I226:AU226" si="1782">+I223+I225</f>
        <v>0</v>
      </c>
      <c r="J226" s="46">
        <f t="shared" si="1782"/>
        <v>0</v>
      </c>
      <c r="K226" s="46">
        <f t="shared" si="1782"/>
        <v>0</v>
      </c>
      <c r="L226" s="46">
        <f t="shared" si="1782"/>
        <v>0</v>
      </c>
      <c r="M226" s="46">
        <f t="shared" si="1782"/>
        <v>0</v>
      </c>
      <c r="N226" s="46">
        <f t="shared" si="1782"/>
        <v>0</v>
      </c>
      <c r="O226" s="46">
        <f t="shared" si="1782"/>
        <v>0</v>
      </c>
      <c r="P226" s="46">
        <f t="shared" si="1782"/>
        <v>0</v>
      </c>
      <c r="Q226" s="46">
        <f t="shared" si="1782"/>
        <v>0</v>
      </c>
      <c r="R226" s="46">
        <f t="shared" si="1782"/>
        <v>0</v>
      </c>
      <c r="S226" s="46">
        <f t="shared" si="1782"/>
        <v>0</v>
      </c>
      <c r="T226" s="46">
        <f t="shared" si="1782"/>
        <v>0</v>
      </c>
      <c r="U226" s="46">
        <f t="shared" si="1782"/>
        <v>0</v>
      </c>
      <c r="V226" s="46">
        <f t="shared" si="1782"/>
        <v>0</v>
      </c>
      <c r="W226" s="46">
        <f t="shared" si="1782"/>
        <v>0</v>
      </c>
      <c r="X226" s="46">
        <f t="shared" si="1782"/>
        <v>0</v>
      </c>
      <c r="Y226" s="46">
        <f t="shared" si="1782"/>
        <v>0</v>
      </c>
      <c r="Z226" s="46">
        <f t="shared" si="1782"/>
        <v>0</v>
      </c>
      <c r="AA226" s="46">
        <f t="shared" si="1782"/>
        <v>0</v>
      </c>
      <c r="AB226" s="46">
        <f t="shared" si="1782"/>
        <v>0</v>
      </c>
      <c r="AC226" s="46">
        <f t="shared" si="1782"/>
        <v>0</v>
      </c>
      <c r="AD226" s="46">
        <f t="shared" si="1782"/>
        <v>0</v>
      </c>
      <c r="AE226" s="46">
        <f t="shared" si="1782"/>
        <v>0</v>
      </c>
      <c r="AF226" s="46">
        <f t="shared" si="1782"/>
        <v>0</v>
      </c>
      <c r="AG226" s="46">
        <f t="shared" si="1782"/>
        <v>0</v>
      </c>
      <c r="AH226" s="46">
        <f t="shared" si="1782"/>
        <v>0</v>
      </c>
      <c r="AI226" s="46">
        <f t="shared" si="1782"/>
        <v>0</v>
      </c>
      <c r="AJ226" s="46">
        <f t="shared" si="1782"/>
        <v>0</v>
      </c>
      <c r="AK226" s="46">
        <f t="shared" si="1782"/>
        <v>0</v>
      </c>
      <c r="AL226" s="46">
        <f t="shared" si="1782"/>
        <v>0</v>
      </c>
      <c r="AM226" s="46">
        <f t="shared" si="1782"/>
        <v>0</v>
      </c>
      <c r="AN226" s="46">
        <f t="shared" si="1782"/>
        <v>0</v>
      </c>
      <c r="AO226" s="46">
        <f t="shared" si="1782"/>
        <v>0</v>
      </c>
      <c r="AP226" s="46">
        <f t="shared" si="1782"/>
        <v>0</v>
      </c>
      <c r="AQ226" s="46">
        <f t="shared" si="1782"/>
        <v>0</v>
      </c>
      <c r="AR226" s="46">
        <f t="shared" si="1782"/>
        <v>0</v>
      </c>
      <c r="AS226" s="46">
        <f t="shared" si="1782"/>
        <v>0</v>
      </c>
      <c r="AT226" s="46">
        <f t="shared" si="1782"/>
        <v>0</v>
      </c>
      <c r="AU226" s="46">
        <f t="shared" si="1782"/>
        <v>0</v>
      </c>
      <c r="AV226" s="46">
        <f>+AV223+AV225</f>
        <v>0</v>
      </c>
      <c r="AW226" s="46">
        <f t="shared" ref="AW226:BN226" si="1783">+AW223+AW225</f>
        <v>0</v>
      </c>
      <c r="AX226" s="46">
        <f t="shared" si="1783"/>
        <v>0</v>
      </c>
      <c r="AY226" s="46">
        <f t="shared" si="1783"/>
        <v>0</v>
      </c>
      <c r="AZ226" s="46">
        <f t="shared" si="1783"/>
        <v>0</v>
      </c>
      <c r="BA226" s="46">
        <f t="shared" si="1783"/>
        <v>0</v>
      </c>
      <c r="BB226" s="46">
        <f t="shared" si="1783"/>
        <v>0</v>
      </c>
      <c r="BC226" s="46">
        <f t="shared" si="1783"/>
        <v>0</v>
      </c>
      <c r="BD226" s="46">
        <f t="shared" si="1783"/>
        <v>0</v>
      </c>
      <c r="BE226" s="46">
        <f t="shared" si="1783"/>
        <v>0</v>
      </c>
      <c r="BF226" s="46">
        <f t="shared" si="1783"/>
        <v>0</v>
      </c>
      <c r="BG226" s="46">
        <f t="shared" si="1783"/>
        <v>0</v>
      </c>
      <c r="BH226" s="46">
        <f t="shared" si="1783"/>
        <v>0</v>
      </c>
      <c r="BI226" s="46">
        <f t="shared" si="1783"/>
        <v>0</v>
      </c>
      <c r="BJ226" s="46">
        <f t="shared" si="1783"/>
        <v>0</v>
      </c>
      <c r="BK226" s="46">
        <f t="shared" si="1783"/>
        <v>0</v>
      </c>
      <c r="BL226" s="46">
        <f t="shared" si="1783"/>
        <v>0</v>
      </c>
      <c r="BM226" s="46">
        <f t="shared" si="1783"/>
        <v>0</v>
      </c>
      <c r="BN226" s="46">
        <f t="shared" si="1783"/>
        <v>0</v>
      </c>
    </row>
    <row r="227" spans="3:66" x14ac:dyDescent="0.2">
      <c r="C227" s="321">
        <v>44378</v>
      </c>
      <c r="D227" s="20" t="s">
        <v>5</v>
      </c>
      <c r="E227" s="50">
        <f>SUM(F227:BN227)</f>
        <v>0</v>
      </c>
      <c r="F227" s="45">
        <f>IF(F219&lt;=0,0,F219)</f>
        <v>0</v>
      </c>
      <c r="G227" s="45">
        <f>IF(G219&lt;=0,0,G219)</f>
        <v>0</v>
      </c>
      <c r="H227" s="45">
        <f t="shared" ref="H227:BN227" si="1784">IF(H219&lt;=0,0,H219)</f>
        <v>0</v>
      </c>
      <c r="I227" s="45">
        <f t="shared" si="1784"/>
        <v>0</v>
      </c>
      <c r="J227" s="45">
        <f t="shared" si="1784"/>
        <v>0</v>
      </c>
      <c r="K227" s="45">
        <f t="shared" si="1784"/>
        <v>0</v>
      </c>
      <c r="L227" s="45">
        <f t="shared" si="1784"/>
        <v>0</v>
      </c>
      <c r="M227" s="45">
        <f t="shared" si="1784"/>
        <v>0</v>
      </c>
      <c r="N227" s="45">
        <f t="shared" si="1784"/>
        <v>0</v>
      </c>
      <c r="O227" s="45">
        <f t="shared" si="1784"/>
        <v>0</v>
      </c>
      <c r="P227" s="45">
        <f t="shared" si="1784"/>
        <v>0</v>
      </c>
      <c r="Q227" s="45">
        <f t="shared" si="1784"/>
        <v>0</v>
      </c>
      <c r="R227" s="45">
        <f t="shared" si="1784"/>
        <v>0</v>
      </c>
      <c r="S227" s="45">
        <f t="shared" si="1784"/>
        <v>0</v>
      </c>
      <c r="T227" s="45">
        <f t="shared" si="1784"/>
        <v>0</v>
      </c>
      <c r="U227" s="45">
        <f t="shared" si="1784"/>
        <v>0</v>
      </c>
      <c r="V227" s="45">
        <f t="shared" si="1784"/>
        <v>0</v>
      </c>
      <c r="W227" s="45">
        <f t="shared" si="1784"/>
        <v>0</v>
      </c>
      <c r="X227" s="45">
        <f t="shared" si="1784"/>
        <v>0</v>
      </c>
      <c r="Y227" s="45">
        <f t="shared" si="1784"/>
        <v>0</v>
      </c>
      <c r="Z227" s="45">
        <f t="shared" si="1784"/>
        <v>0</v>
      </c>
      <c r="AA227" s="45">
        <f t="shared" si="1784"/>
        <v>0</v>
      </c>
      <c r="AB227" s="45">
        <f t="shared" si="1784"/>
        <v>0</v>
      </c>
      <c r="AC227" s="45">
        <f t="shared" si="1784"/>
        <v>0</v>
      </c>
      <c r="AD227" s="45">
        <f t="shared" si="1784"/>
        <v>0</v>
      </c>
      <c r="AE227" s="45">
        <f t="shared" si="1784"/>
        <v>0</v>
      </c>
      <c r="AF227" s="45">
        <f t="shared" si="1784"/>
        <v>0</v>
      </c>
      <c r="AG227" s="45">
        <f t="shared" si="1784"/>
        <v>0</v>
      </c>
      <c r="AH227" s="45">
        <f t="shared" si="1784"/>
        <v>0</v>
      </c>
      <c r="AI227" s="45">
        <f t="shared" si="1784"/>
        <v>0</v>
      </c>
      <c r="AJ227" s="45">
        <f t="shared" si="1784"/>
        <v>0</v>
      </c>
      <c r="AK227" s="45">
        <f t="shared" si="1784"/>
        <v>0</v>
      </c>
      <c r="AL227" s="45">
        <f t="shared" si="1784"/>
        <v>0</v>
      </c>
      <c r="AM227" s="45">
        <f t="shared" si="1784"/>
        <v>0</v>
      </c>
      <c r="AN227" s="45">
        <f t="shared" si="1784"/>
        <v>0</v>
      </c>
      <c r="AO227" s="45">
        <f t="shared" si="1784"/>
        <v>0</v>
      </c>
      <c r="AP227" s="45">
        <f t="shared" si="1784"/>
        <v>0</v>
      </c>
      <c r="AQ227" s="45">
        <f t="shared" si="1784"/>
        <v>0</v>
      </c>
      <c r="AR227" s="45">
        <f t="shared" si="1784"/>
        <v>0</v>
      </c>
      <c r="AS227" s="45">
        <f t="shared" si="1784"/>
        <v>0</v>
      </c>
      <c r="AT227" s="45">
        <f t="shared" si="1784"/>
        <v>0</v>
      </c>
      <c r="AU227" s="45">
        <f t="shared" si="1784"/>
        <v>0</v>
      </c>
      <c r="AV227" s="45">
        <f t="shared" si="1784"/>
        <v>0</v>
      </c>
      <c r="AW227" s="45">
        <f t="shared" si="1784"/>
        <v>0</v>
      </c>
      <c r="AX227" s="45">
        <f t="shared" si="1784"/>
        <v>0</v>
      </c>
      <c r="AY227" s="45">
        <f t="shared" si="1784"/>
        <v>0</v>
      </c>
      <c r="AZ227" s="45">
        <f t="shared" si="1784"/>
        <v>0</v>
      </c>
      <c r="BA227" s="45">
        <f t="shared" si="1784"/>
        <v>0</v>
      </c>
      <c r="BB227" s="45">
        <f t="shared" si="1784"/>
        <v>0</v>
      </c>
      <c r="BC227" s="45">
        <f t="shared" si="1784"/>
        <v>0</v>
      </c>
      <c r="BD227" s="45">
        <f t="shared" si="1784"/>
        <v>0</v>
      </c>
      <c r="BE227" s="45">
        <f t="shared" si="1784"/>
        <v>0</v>
      </c>
      <c r="BF227" s="45">
        <f t="shared" si="1784"/>
        <v>0</v>
      </c>
      <c r="BG227" s="45">
        <f t="shared" si="1784"/>
        <v>0</v>
      </c>
      <c r="BH227" s="45">
        <f t="shared" si="1784"/>
        <v>0</v>
      </c>
      <c r="BI227" s="45">
        <f t="shared" si="1784"/>
        <v>0</v>
      </c>
      <c r="BJ227" s="45">
        <f t="shared" si="1784"/>
        <v>0</v>
      </c>
      <c r="BK227" s="45">
        <f t="shared" si="1784"/>
        <v>0</v>
      </c>
      <c r="BL227" s="45">
        <f t="shared" si="1784"/>
        <v>0</v>
      </c>
      <c r="BM227" s="45">
        <f t="shared" si="1784"/>
        <v>0</v>
      </c>
      <c r="BN227" s="45">
        <f t="shared" si="1784"/>
        <v>0</v>
      </c>
    </row>
    <row r="228" spans="3:66" x14ac:dyDescent="0.2">
      <c r="C228" s="322"/>
      <c r="D228" s="23" t="s">
        <v>7</v>
      </c>
      <c r="E228" s="91">
        <f>SUM(F228:BN228)</f>
        <v>14.640000000000011</v>
      </c>
      <c r="F228" s="28">
        <f>IF(F227="",VLOOKUP($C227,'CUSTOS REALIZADOS'!$A$11:$E$995,4),(VLOOKUP($C227,'CUSTOS REALIZADOS'!$A$11:$E$995,5)))</f>
        <v>0.24000000000000002</v>
      </c>
      <c r="G228" s="28">
        <f>IF(G227="",VLOOKUP($C227,'CUSTOS REALIZADOS'!$A$11:$E$995,4),(VLOOKUP($C227,'CUSTOS REALIZADOS'!$A$11:$E$995,5)))</f>
        <v>0.24000000000000002</v>
      </c>
      <c r="H228" s="28">
        <f>IF(H227="",VLOOKUP($C227,'CUSTOS REALIZADOS'!$A$11:$E$995,4),(VLOOKUP($C227,'CUSTOS REALIZADOS'!$A$11:$E$995,5)))</f>
        <v>0.24000000000000002</v>
      </c>
      <c r="I228" s="28">
        <f>IF(I227="",VLOOKUP($C227,'CUSTOS REALIZADOS'!$A$11:$E$995,4),(VLOOKUP($C227,'CUSTOS REALIZADOS'!$A$11:$E$995,5)))</f>
        <v>0.24000000000000002</v>
      </c>
      <c r="J228" s="28">
        <f>IF(J227="",VLOOKUP($C227,'CUSTOS REALIZADOS'!$A$11:$E$995,4),(VLOOKUP($C227,'CUSTOS REALIZADOS'!$A$11:$E$995,5)))</f>
        <v>0.24000000000000002</v>
      </c>
      <c r="K228" s="28">
        <f>IF(K227="",VLOOKUP($C227,'CUSTOS REALIZADOS'!$A$11:$E$995,4),(VLOOKUP($C227,'CUSTOS REALIZADOS'!$A$11:$E$995,5)))</f>
        <v>0.24000000000000002</v>
      </c>
      <c r="L228" s="28">
        <f>IF(L227="",VLOOKUP($C227,'CUSTOS REALIZADOS'!$A$11:$E$995,4),(VLOOKUP($C227,'CUSTOS REALIZADOS'!$A$11:$E$995,5)))</f>
        <v>0.24000000000000002</v>
      </c>
      <c r="M228" s="28">
        <f>IF(M227="",VLOOKUP($C227,'CUSTOS REALIZADOS'!$A$11:$E$995,4),(VLOOKUP($C227,'CUSTOS REALIZADOS'!$A$11:$E$995,5)))</f>
        <v>0.24000000000000002</v>
      </c>
      <c r="N228" s="28">
        <f>IF(N227="",VLOOKUP($C227,'CUSTOS REALIZADOS'!$A$11:$E$995,4),(VLOOKUP($C227,'CUSTOS REALIZADOS'!$A$11:$E$995,5)))</f>
        <v>0.24000000000000002</v>
      </c>
      <c r="O228" s="28">
        <f>IF(O227="",VLOOKUP($C227,'CUSTOS REALIZADOS'!$A$11:$E$995,4),(VLOOKUP($C227,'CUSTOS REALIZADOS'!$A$11:$E$995,5)))</f>
        <v>0.24000000000000002</v>
      </c>
      <c r="P228" s="28">
        <f>IF(P227="",VLOOKUP($C227,'CUSTOS REALIZADOS'!$A$11:$E$995,4),(VLOOKUP($C227,'CUSTOS REALIZADOS'!$A$11:$E$995,5)))</f>
        <v>0.24000000000000002</v>
      </c>
      <c r="Q228" s="28">
        <f>IF(Q227="",VLOOKUP($C227,'CUSTOS REALIZADOS'!$A$11:$E$995,4),(VLOOKUP($C227,'CUSTOS REALIZADOS'!$A$11:$E$995,5)))</f>
        <v>0.24000000000000002</v>
      </c>
      <c r="R228" s="28">
        <f>IF(R227="",VLOOKUP($C227,'CUSTOS REALIZADOS'!$A$11:$E$995,4),(VLOOKUP($C227,'CUSTOS REALIZADOS'!$A$11:$E$995,5)))</f>
        <v>0.24000000000000002</v>
      </c>
      <c r="S228" s="28">
        <f>IF(S227="",VLOOKUP($C227,'CUSTOS REALIZADOS'!$A$11:$E$995,4),(VLOOKUP($C227,'CUSTOS REALIZADOS'!$A$11:$E$995,5)))</f>
        <v>0.24000000000000002</v>
      </c>
      <c r="T228" s="28">
        <f>IF(T227="",VLOOKUP($C227,'CUSTOS REALIZADOS'!$A$11:$E$995,4),(VLOOKUP($C227,'CUSTOS REALIZADOS'!$A$11:$E$995,5)))</f>
        <v>0.24000000000000002</v>
      </c>
      <c r="U228" s="28">
        <f>IF(U227="",VLOOKUP($C227,'CUSTOS REALIZADOS'!$A$11:$E$995,4),(VLOOKUP($C227,'CUSTOS REALIZADOS'!$A$11:$E$995,5)))</f>
        <v>0.24000000000000002</v>
      </c>
      <c r="V228" s="28">
        <f>IF(V227="",VLOOKUP($C227,'CUSTOS REALIZADOS'!$A$11:$E$995,4),(VLOOKUP($C227,'CUSTOS REALIZADOS'!$A$11:$E$995,5)))</f>
        <v>0.24000000000000002</v>
      </c>
      <c r="W228" s="28">
        <f>IF(W227="",VLOOKUP($C227,'CUSTOS REALIZADOS'!$A$11:$E$995,4),(VLOOKUP($C227,'CUSTOS REALIZADOS'!$A$11:$E$995,5)))</f>
        <v>0.24000000000000002</v>
      </c>
      <c r="X228" s="28">
        <f>IF(X227="",VLOOKUP($C227,'CUSTOS REALIZADOS'!$A$11:$E$995,4),(VLOOKUP($C227,'CUSTOS REALIZADOS'!$A$11:$E$995,5)))</f>
        <v>0.24000000000000002</v>
      </c>
      <c r="Y228" s="28">
        <f>IF(Y227="",VLOOKUP($C227,'CUSTOS REALIZADOS'!$A$11:$E$995,4),(VLOOKUP($C227,'CUSTOS REALIZADOS'!$A$11:$E$995,5)))</f>
        <v>0.24000000000000002</v>
      </c>
      <c r="Z228" s="28">
        <f>IF(Z227="",VLOOKUP($C227,'CUSTOS REALIZADOS'!$A$11:$E$995,4),(VLOOKUP($C227,'CUSTOS REALIZADOS'!$A$11:$E$995,5)))</f>
        <v>0.24000000000000002</v>
      </c>
      <c r="AA228" s="28">
        <f>IF(AA227="",VLOOKUP($C227,'CUSTOS REALIZADOS'!$A$11:$E$995,4),(VLOOKUP($C227,'CUSTOS REALIZADOS'!$A$11:$E$995,5)))</f>
        <v>0.24000000000000002</v>
      </c>
      <c r="AB228" s="28">
        <f>IF(AB227="",VLOOKUP($C227,'CUSTOS REALIZADOS'!$A$11:$E$995,4),(VLOOKUP($C227,'CUSTOS REALIZADOS'!$A$11:$E$995,5)))</f>
        <v>0.24000000000000002</v>
      </c>
      <c r="AC228" s="28">
        <f>IF(AC227="",VLOOKUP($C227,'CUSTOS REALIZADOS'!$A$11:$E$995,4),(VLOOKUP($C227,'CUSTOS REALIZADOS'!$A$11:$E$995,5)))</f>
        <v>0.24000000000000002</v>
      </c>
      <c r="AD228" s="28">
        <f>IF(AD227="",VLOOKUP($C227,'CUSTOS REALIZADOS'!$A$11:$E$995,4),(VLOOKUP($C227,'CUSTOS REALIZADOS'!$A$11:$E$995,5)))</f>
        <v>0.24000000000000002</v>
      </c>
      <c r="AE228" s="28">
        <f>IF(AE227="",VLOOKUP($C227,'CUSTOS REALIZADOS'!$A$11:$E$995,4),(VLOOKUP($C227,'CUSTOS REALIZADOS'!$A$11:$E$995,5)))</f>
        <v>0.24000000000000002</v>
      </c>
      <c r="AF228" s="28">
        <f>IF(AF227="",VLOOKUP($C227,'CUSTOS REALIZADOS'!$A$11:$E$995,4),(VLOOKUP($C227,'CUSTOS REALIZADOS'!$A$11:$E$995,5)))</f>
        <v>0.24000000000000002</v>
      </c>
      <c r="AG228" s="28">
        <f>IF(AG227="",VLOOKUP($C227,'CUSTOS REALIZADOS'!$A$11:$E$995,4),(VLOOKUP($C227,'CUSTOS REALIZADOS'!$A$11:$E$995,5)))</f>
        <v>0.24000000000000002</v>
      </c>
      <c r="AH228" s="28">
        <f>IF(AH227="",VLOOKUP($C227,'CUSTOS REALIZADOS'!$A$11:$E$995,4),(VLOOKUP($C227,'CUSTOS REALIZADOS'!$A$11:$E$995,5)))</f>
        <v>0.24000000000000002</v>
      </c>
      <c r="AI228" s="28">
        <f>IF(AI227="",VLOOKUP($C227,'CUSTOS REALIZADOS'!$A$11:$E$995,4),(VLOOKUP($C227,'CUSTOS REALIZADOS'!$A$11:$E$995,5)))</f>
        <v>0.24000000000000002</v>
      </c>
      <c r="AJ228" s="28">
        <f>IF(AJ227="",VLOOKUP($C227,'CUSTOS REALIZADOS'!$A$11:$E$995,4),(VLOOKUP($C227,'CUSTOS REALIZADOS'!$A$11:$E$995,5)))</f>
        <v>0.24000000000000002</v>
      </c>
      <c r="AK228" s="28">
        <f>IF(AK227="",VLOOKUP($C227,'CUSTOS REALIZADOS'!$A$11:$E$995,4),(VLOOKUP($C227,'CUSTOS REALIZADOS'!$A$11:$E$995,5)))</f>
        <v>0.24000000000000002</v>
      </c>
      <c r="AL228" s="28">
        <f>IF(AL227="",VLOOKUP($C227,'CUSTOS REALIZADOS'!$A$11:$E$995,4),(VLOOKUP($C227,'CUSTOS REALIZADOS'!$A$11:$E$995,5)))</f>
        <v>0.24000000000000002</v>
      </c>
      <c r="AM228" s="28">
        <f>IF(AM227="",VLOOKUP($C227,'CUSTOS REALIZADOS'!$A$11:$E$995,4),(VLOOKUP($C227,'CUSTOS REALIZADOS'!$A$11:$E$995,5)))</f>
        <v>0.24000000000000002</v>
      </c>
      <c r="AN228" s="28">
        <f>IF(AN227="",VLOOKUP($C227,'CUSTOS REALIZADOS'!$A$11:$E$995,4),(VLOOKUP($C227,'CUSTOS REALIZADOS'!$A$11:$E$995,5)))</f>
        <v>0.24000000000000002</v>
      </c>
      <c r="AO228" s="28">
        <f>IF(AO227="",VLOOKUP($C227,'CUSTOS REALIZADOS'!$A$11:$E$995,4),(VLOOKUP($C227,'CUSTOS REALIZADOS'!$A$11:$E$995,5)))</f>
        <v>0.24000000000000002</v>
      </c>
      <c r="AP228" s="28">
        <f>IF(AP227="",VLOOKUP($C227,'CUSTOS REALIZADOS'!$A$11:$E$995,4),(VLOOKUP($C227,'CUSTOS REALIZADOS'!$A$11:$E$995,5)))</f>
        <v>0.24000000000000002</v>
      </c>
      <c r="AQ228" s="28">
        <f>IF(AQ227="",VLOOKUP($C227,'CUSTOS REALIZADOS'!$A$11:$E$995,4),(VLOOKUP($C227,'CUSTOS REALIZADOS'!$A$11:$E$995,5)))</f>
        <v>0.24000000000000002</v>
      </c>
      <c r="AR228" s="28">
        <f>IF(AR227="",VLOOKUP($C227,'CUSTOS REALIZADOS'!$A$11:$E$995,4),(VLOOKUP($C227,'CUSTOS REALIZADOS'!$A$11:$E$995,5)))</f>
        <v>0.24000000000000002</v>
      </c>
      <c r="AS228" s="28">
        <f>IF(AS227="",VLOOKUP($C227,'CUSTOS REALIZADOS'!$A$11:$E$995,4),(VLOOKUP($C227,'CUSTOS REALIZADOS'!$A$11:$E$995,5)))</f>
        <v>0.24000000000000002</v>
      </c>
      <c r="AT228" s="28">
        <f>IF(AT227="",VLOOKUP($C227,'CUSTOS REALIZADOS'!$A$11:$E$995,4),(VLOOKUP($C227,'CUSTOS REALIZADOS'!$A$11:$E$995,5)))</f>
        <v>0.24000000000000002</v>
      </c>
      <c r="AU228" s="28">
        <f>IF(AU227="",VLOOKUP($C227,'CUSTOS REALIZADOS'!$A$11:$E$995,4),(VLOOKUP($C227,'CUSTOS REALIZADOS'!$A$11:$E$995,5)))</f>
        <v>0.24000000000000002</v>
      </c>
      <c r="AV228" s="28">
        <f>IF(AV227="",VLOOKUP($C227,'CUSTOS REALIZADOS'!$A$11:$E$995,4),(VLOOKUP($C227,'CUSTOS REALIZADOS'!$A$11:$E$995,5)))</f>
        <v>0.24000000000000002</v>
      </c>
      <c r="AW228" s="28">
        <f>IF(AW227="",VLOOKUP($C227,'CUSTOS REALIZADOS'!$A$11:$E$995,4),(VLOOKUP($C227,'CUSTOS REALIZADOS'!$A$11:$E$995,5)))</f>
        <v>0.24000000000000002</v>
      </c>
      <c r="AX228" s="28">
        <f>IF(AX227="",VLOOKUP($C227,'CUSTOS REALIZADOS'!$A$11:$E$995,4),(VLOOKUP($C227,'CUSTOS REALIZADOS'!$A$11:$E$995,5)))</f>
        <v>0.24000000000000002</v>
      </c>
      <c r="AY228" s="28">
        <f>IF(AY227="",VLOOKUP($C227,'CUSTOS REALIZADOS'!$A$11:$E$995,4),(VLOOKUP($C227,'CUSTOS REALIZADOS'!$A$11:$E$995,5)))</f>
        <v>0.24000000000000002</v>
      </c>
      <c r="AZ228" s="28">
        <f>IF(AZ227="",VLOOKUP($C227,'CUSTOS REALIZADOS'!$A$11:$E$995,4),(VLOOKUP($C227,'CUSTOS REALIZADOS'!$A$11:$E$995,5)))</f>
        <v>0.24000000000000002</v>
      </c>
      <c r="BA228" s="28">
        <f>IF(BA227="",VLOOKUP($C227,'CUSTOS REALIZADOS'!$A$11:$E$995,4),(VLOOKUP($C227,'CUSTOS REALIZADOS'!$A$11:$E$995,5)))</f>
        <v>0.24000000000000002</v>
      </c>
      <c r="BB228" s="28">
        <f>IF(BB227="",VLOOKUP($C227,'CUSTOS REALIZADOS'!$A$11:$E$995,4),(VLOOKUP($C227,'CUSTOS REALIZADOS'!$A$11:$E$995,5)))</f>
        <v>0.24000000000000002</v>
      </c>
      <c r="BC228" s="28">
        <f>IF(BC227="",VLOOKUP($C227,'CUSTOS REALIZADOS'!$A$11:$E$995,4),(VLOOKUP($C227,'CUSTOS REALIZADOS'!$A$11:$E$995,5)))</f>
        <v>0.24000000000000002</v>
      </c>
      <c r="BD228" s="28">
        <f>IF(BD227="",VLOOKUP($C227,'CUSTOS REALIZADOS'!$A$11:$E$995,4),(VLOOKUP($C227,'CUSTOS REALIZADOS'!$A$11:$E$995,5)))</f>
        <v>0.24000000000000002</v>
      </c>
      <c r="BE228" s="28">
        <f>IF(BE227="",VLOOKUP($C227,'CUSTOS REALIZADOS'!$A$11:$E$995,4),(VLOOKUP($C227,'CUSTOS REALIZADOS'!$A$11:$E$995,5)))</f>
        <v>0.24000000000000002</v>
      </c>
      <c r="BF228" s="28">
        <f>IF(BF227="",VLOOKUP($C227,'CUSTOS REALIZADOS'!$A$11:$E$995,4),(VLOOKUP($C227,'CUSTOS REALIZADOS'!$A$11:$E$995,5)))</f>
        <v>0.24000000000000002</v>
      </c>
      <c r="BG228" s="28">
        <f>IF(BG227="",VLOOKUP($C227,'CUSTOS REALIZADOS'!$A$11:$E$995,4),(VLOOKUP($C227,'CUSTOS REALIZADOS'!$A$11:$E$995,5)))</f>
        <v>0.24000000000000002</v>
      </c>
      <c r="BH228" s="28">
        <f>IF(BH227="",VLOOKUP($C227,'CUSTOS REALIZADOS'!$A$11:$E$995,4),(VLOOKUP($C227,'CUSTOS REALIZADOS'!$A$11:$E$995,5)))</f>
        <v>0.24000000000000002</v>
      </c>
      <c r="BI228" s="28">
        <f>IF(BI227="",VLOOKUP($C227,'CUSTOS REALIZADOS'!$A$11:$E$995,4),(VLOOKUP($C227,'CUSTOS REALIZADOS'!$A$11:$E$995,5)))</f>
        <v>0.24000000000000002</v>
      </c>
      <c r="BJ228" s="28">
        <f>IF(BJ227="",VLOOKUP($C227,'CUSTOS REALIZADOS'!$A$11:$E$995,4),(VLOOKUP($C227,'CUSTOS REALIZADOS'!$A$11:$E$995,5)))</f>
        <v>0.24000000000000002</v>
      </c>
      <c r="BK228" s="28">
        <f>IF(BK227="",VLOOKUP($C227,'CUSTOS REALIZADOS'!$A$11:$E$995,4),(VLOOKUP($C227,'CUSTOS REALIZADOS'!$A$11:$E$995,5)))</f>
        <v>0.24000000000000002</v>
      </c>
      <c r="BL228" s="28">
        <f>IF(BL227="",VLOOKUP($C227,'CUSTOS REALIZADOS'!$A$11:$E$995,4),(VLOOKUP($C227,'CUSTOS REALIZADOS'!$A$11:$E$995,5)))</f>
        <v>0.24000000000000002</v>
      </c>
      <c r="BM228" s="28">
        <f>IF(BM227="",VLOOKUP($C227,'CUSTOS REALIZADOS'!$A$11:$E$995,4),(VLOOKUP($C227,'CUSTOS REALIZADOS'!$A$11:$E$995,5)))</f>
        <v>0.24000000000000002</v>
      </c>
      <c r="BN228" s="28">
        <f>IF(BN227="",VLOOKUP($C227,'CUSTOS REALIZADOS'!$A$11:$E$995,4),(VLOOKUP($C227,'CUSTOS REALIZADOS'!$A$11:$E$995,5)))</f>
        <v>0.24000000000000002</v>
      </c>
    </row>
    <row r="229" spans="3:66" x14ac:dyDescent="0.2">
      <c r="C229" s="322"/>
      <c r="D229" s="23" t="s">
        <v>6</v>
      </c>
      <c r="E229" s="27">
        <f>SUM(F229:BN229)</f>
        <v>95000</v>
      </c>
      <c r="F229" s="23">
        <f>IF(AND($C227&gt;=F$6,OR($C227&lt;F$8,F$8="")),F$7*F$28,0)</f>
        <v>0</v>
      </c>
      <c r="G229" s="23">
        <f t="shared" ref="G229:BN229" si="1785">IF(AND($C227&gt;=G$6,OR($C227&lt;G$8,G$8="")),G$7*G$28,0)</f>
        <v>45000</v>
      </c>
      <c r="H229" s="23">
        <f t="shared" si="1785"/>
        <v>50000</v>
      </c>
      <c r="I229" s="23">
        <f t="shared" si="1785"/>
        <v>0</v>
      </c>
      <c r="J229" s="23">
        <f t="shared" si="1785"/>
        <v>0</v>
      </c>
      <c r="K229" s="23">
        <f t="shared" si="1785"/>
        <v>0</v>
      </c>
      <c r="L229" s="23">
        <f t="shared" si="1785"/>
        <v>0</v>
      </c>
      <c r="M229" s="23">
        <f t="shared" si="1785"/>
        <v>0</v>
      </c>
      <c r="N229" s="23">
        <f t="shared" si="1785"/>
        <v>0</v>
      </c>
      <c r="O229" s="23">
        <f t="shared" si="1785"/>
        <v>0</v>
      </c>
      <c r="P229" s="23">
        <f t="shared" si="1785"/>
        <v>0</v>
      </c>
      <c r="Q229" s="23">
        <f t="shared" si="1785"/>
        <v>0</v>
      </c>
      <c r="R229" s="23">
        <f t="shared" si="1785"/>
        <v>0</v>
      </c>
      <c r="S229" s="23">
        <f t="shared" si="1785"/>
        <v>0</v>
      </c>
      <c r="T229" s="23">
        <f t="shared" si="1785"/>
        <v>0</v>
      </c>
      <c r="U229" s="23">
        <f t="shared" si="1785"/>
        <v>0</v>
      </c>
      <c r="V229" s="23">
        <f t="shared" si="1785"/>
        <v>0</v>
      </c>
      <c r="W229" s="23">
        <f t="shared" si="1785"/>
        <v>0</v>
      </c>
      <c r="X229" s="23">
        <f t="shared" si="1785"/>
        <v>0</v>
      </c>
      <c r="Y229" s="23">
        <f t="shared" si="1785"/>
        <v>0</v>
      </c>
      <c r="Z229" s="23">
        <f t="shared" si="1785"/>
        <v>0</v>
      </c>
      <c r="AA229" s="23">
        <f t="shared" si="1785"/>
        <v>0</v>
      </c>
      <c r="AB229" s="23">
        <f t="shared" si="1785"/>
        <v>0</v>
      </c>
      <c r="AC229" s="23">
        <f t="shared" si="1785"/>
        <v>0</v>
      </c>
      <c r="AD229" s="23">
        <f t="shared" si="1785"/>
        <v>0</v>
      </c>
      <c r="AE229" s="23">
        <f t="shared" si="1785"/>
        <v>0</v>
      </c>
      <c r="AF229" s="23">
        <f t="shared" si="1785"/>
        <v>0</v>
      </c>
      <c r="AG229" s="23">
        <f t="shared" si="1785"/>
        <v>0</v>
      </c>
      <c r="AH229" s="23">
        <f t="shared" si="1785"/>
        <v>0</v>
      </c>
      <c r="AI229" s="23">
        <f t="shared" si="1785"/>
        <v>0</v>
      </c>
      <c r="AJ229" s="23">
        <f t="shared" si="1785"/>
        <v>0</v>
      </c>
      <c r="AK229" s="23">
        <f t="shared" si="1785"/>
        <v>0</v>
      </c>
      <c r="AL229" s="23">
        <f t="shared" si="1785"/>
        <v>0</v>
      </c>
      <c r="AM229" s="23">
        <f t="shared" si="1785"/>
        <v>0</v>
      </c>
      <c r="AN229" s="23">
        <f t="shared" si="1785"/>
        <v>0</v>
      </c>
      <c r="AO229" s="23">
        <f t="shared" si="1785"/>
        <v>0</v>
      </c>
      <c r="AP229" s="23">
        <f t="shared" si="1785"/>
        <v>0</v>
      </c>
      <c r="AQ229" s="23">
        <f t="shared" si="1785"/>
        <v>0</v>
      </c>
      <c r="AR229" s="23">
        <f t="shared" si="1785"/>
        <v>0</v>
      </c>
      <c r="AS229" s="23">
        <f t="shared" si="1785"/>
        <v>0</v>
      </c>
      <c r="AT229" s="23">
        <f t="shared" si="1785"/>
        <v>0</v>
      </c>
      <c r="AU229" s="23">
        <f t="shared" si="1785"/>
        <v>0</v>
      </c>
      <c r="AV229" s="23">
        <f t="shared" si="1785"/>
        <v>0</v>
      </c>
      <c r="AW229" s="23">
        <f t="shared" si="1785"/>
        <v>0</v>
      </c>
      <c r="AX229" s="23">
        <f t="shared" si="1785"/>
        <v>0</v>
      </c>
      <c r="AY229" s="23">
        <f t="shared" si="1785"/>
        <v>0</v>
      </c>
      <c r="AZ229" s="23">
        <f t="shared" si="1785"/>
        <v>0</v>
      </c>
      <c r="BA229" s="23">
        <f t="shared" si="1785"/>
        <v>0</v>
      </c>
      <c r="BB229" s="23">
        <f t="shared" si="1785"/>
        <v>0</v>
      </c>
      <c r="BC229" s="23">
        <f t="shared" si="1785"/>
        <v>0</v>
      </c>
      <c r="BD229" s="23">
        <f t="shared" si="1785"/>
        <v>0</v>
      </c>
      <c r="BE229" s="23">
        <f t="shared" si="1785"/>
        <v>0</v>
      </c>
      <c r="BF229" s="23">
        <f t="shared" si="1785"/>
        <v>0</v>
      </c>
      <c r="BG229" s="23">
        <f t="shared" si="1785"/>
        <v>0</v>
      </c>
      <c r="BH229" s="23">
        <f t="shared" si="1785"/>
        <v>0</v>
      </c>
      <c r="BI229" s="23">
        <f t="shared" si="1785"/>
        <v>0</v>
      </c>
      <c r="BJ229" s="23">
        <f t="shared" si="1785"/>
        <v>0</v>
      </c>
      <c r="BK229" s="23">
        <f t="shared" si="1785"/>
        <v>0</v>
      </c>
      <c r="BL229" s="23">
        <f t="shared" si="1785"/>
        <v>0</v>
      </c>
      <c r="BM229" s="23">
        <f t="shared" si="1785"/>
        <v>0</v>
      </c>
      <c r="BN229" s="23">
        <f t="shared" si="1785"/>
        <v>0</v>
      </c>
    </row>
    <row r="230" spans="3:66" x14ac:dyDescent="0.2">
      <c r="C230" s="322"/>
      <c r="D230" s="23" t="s">
        <v>9</v>
      </c>
      <c r="E230" s="225">
        <f>SUM(F230:BN230)</f>
        <v>0</v>
      </c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2"/>
    </row>
    <row r="231" spans="3:66" x14ac:dyDescent="0.2">
      <c r="C231" s="322"/>
      <c r="D231" s="23" t="s">
        <v>14</v>
      </c>
      <c r="E231" s="27">
        <f>SUM(F231:AY231)</f>
        <v>998625.29802288231</v>
      </c>
      <c r="F231" s="23">
        <f>IF(F226=0,F227-F230,F226-F230)</f>
        <v>-175.22816248866155</v>
      </c>
      <c r="G231" s="23">
        <f t="shared" ref="G231" si="1786">IF(G226=0,G227-G230,G226-G230)</f>
        <v>473116.03871938633</v>
      </c>
      <c r="H231" s="23">
        <f t="shared" ref="H231" si="1787">IF(H226=0,H227-H230,H226-H230)</f>
        <v>525684.48746598465</v>
      </c>
      <c r="I231" s="23">
        <f t="shared" ref="I231" si="1788">IF(I226=0,I227-I230,I226-I230)</f>
        <v>0</v>
      </c>
      <c r="J231" s="23">
        <f t="shared" ref="J231" si="1789">IF(J226=0,J227-J230,J226-J230)</f>
        <v>0</v>
      </c>
      <c r="K231" s="23">
        <f t="shared" ref="K231" si="1790">IF(K226=0,K227-K230,K226-K230)</f>
        <v>0</v>
      </c>
      <c r="L231" s="23">
        <f t="shared" ref="L231" si="1791">IF(L226=0,L227-L230,L226-L230)</f>
        <v>0</v>
      </c>
      <c r="M231" s="23">
        <f t="shared" ref="M231" si="1792">IF(M226=0,M227-M230,M226-M230)</f>
        <v>0</v>
      </c>
      <c r="N231" s="23">
        <f t="shared" ref="N231" si="1793">IF(N226=0,N227-N230,N226-N230)</f>
        <v>0</v>
      </c>
      <c r="O231" s="23">
        <f t="shared" ref="O231" si="1794">IF(O226=0,O227-O230,O226-O230)</f>
        <v>0</v>
      </c>
      <c r="P231" s="23">
        <f t="shared" ref="P231" si="1795">IF(P226=0,P227-P230,P226-P230)</f>
        <v>0</v>
      </c>
      <c r="Q231" s="23">
        <f t="shared" ref="Q231" si="1796">IF(Q226=0,Q227-Q230,Q226-Q230)</f>
        <v>0</v>
      </c>
      <c r="R231" s="23">
        <f t="shared" ref="R231" si="1797">IF(R226=0,R227-R230,R226-R230)</f>
        <v>0</v>
      </c>
      <c r="S231" s="23">
        <f t="shared" ref="S231" si="1798">IF(S226=0,S227-S230,S226-S230)</f>
        <v>0</v>
      </c>
      <c r="T231" s="23">
        <f t="shared" ref="T231" si="1799">IF(T226=0,T227-T230,T226-T230)</f>
        <v>0</v>
      </c>
      <c r="U231" s="23">
        <f t="shared" ref="U231" si="1800">IF(U226=0,U227-U230,U226-U230)</f>
        <v>0</v>
      </c>
      <c r="V231" s="23">
        <f t="shared" ref="V231" si="1801">IF(V226=0,V227-V230,V226-V230)</f>
        <v>0</v>
      </c>
      <c r="W231" s="23">
        <f t="shared" ref="W231" si="1802">IF(W226=0,W227-W230,W226-W230)</f>
        <v>0</v>
      </c>
      <c r="X231" s="23">
        <f t="shared" ref="X231" si="1803">IF(X226=0,X227-X230,X226-X230)</f>
        <v>0</v>
      </c>
      <c r="Y231" s="23">
        <f t="shared" ref="Y231" si="1804">IF(Y226=0,Y227-Y230,Y226-Y230)</f>
        <v>0</v>
      </c>
      <c r="Z231" s="23">
        <f t="shared" ref="Z231" si="1805">IF(Z226=0,Z227-Z230,Z226-Z230)</f>
        <v>0</v>
      </c>
      <c r="AA231" s="23">
        <f t="shared" ref="AA231" si="1806">IF(AA226=0,AA227-AA230,AA226-AA230)</f>
        <v>0</v>
      </c>
      <c r="AB231" s="23">
        <f t="shared" ref="AB231" si="1807">IF(AB226=0,AB227-AB230,AB226-AB230)</f>
        <v>0</v>
      </c>
      <c r="AC231" s="23">
        <f t="shared" ref="AC231" si="1808">IF(AC226=0,AC227-AC230,AC226-AC230)</f>
        <v>0</v>
      </c>
      <c r="AD231" s="23">
        <f t="shared" ref="AD231" si="1809">IF(AD226=0,AD227-AD230,AD226-AD230)</f>
        <v>0</v>
      </c>
      <c r="AE231" s="23">
        <f t="shared" ref="AE231" si="1810">IF(AE226=0,AE227-AE230,AE226-AE230)</f>
        <v>0</v>
      </c>
      <c r="AF231" s="23">
        <f t="shared" ref="AF231" si="1811">IF(AF226=0,AF227-AF230,AF226-AF230)</f>
        <v>0</v>
      </c>
      <c r="AG231" s="23">
        <f t="shared" ref="AG231" si="1812">IF(AG226=0,AG227-AG230,AG226-AG230)</f>
        <v>0</v>
      </c>
      <c r="AH231" s="23">
        <f t="shared" ref="AH231" si="1813">IF(AH226=0,AH227-AH230,AH226-AH230)</f>
        <v>0</v>
      </c>
      <c r="AI231" s="23">
        <f t="shared" ref="AI231" si="1814">IF(AI226=0,AI227-AI230,AI226-AI230)</f>
        <v>0</v>
      </c>
      <c r="AJ231" s="23">
        <f t="shared" ref="AJ231" si="1815">IF(AJ226=0,AJ227-AJ230,AJ226-AJ230)</f>
        <v>0</v>
      </c>
      <c r="AK231" s="23">
        <f t="shared" ref="AK231" si="1816">IF(AK226=0,AK227-AK230,AK226-AK230)</f>
        <v>0</v>
      </c>
      <c r="AL231" s="23">
        <f t="shared" ref="AL231" si="1817">IF(AL226=0,AL227-AL230,AL226-AL230)</f>
        <v>0</v>
      </c>
      <c r="AM231" s="23">
        <f t="shared" ref="AM231" si="1818">IF(AM226=0,AM227-AM230,AM226-AM230)</f>
        <v>0</v>
      </c>
      <c r="AN231" s="23">
        <f t="shared" ref="AN231" si="1819">IF(AN226=0,AN227-AN230,AN226-AN230)</f>
        <v>0</v>
      </c>
      <c r="AO231" s="23">
        <f t="shared" ref="AO231" si="1820">IF(AO226=0,AO227-AO230,AO226-AO230)</f>
        <v>0</v>
      </c>
      <c r="AP231" s="23">
        <f t="shared" ref="AP231" si="1821">IF(AP226=0,AP227-AP230,AP226-AP230)</f>
        <v>0</v>
      </c>
      <c r="AQ231" s="23">
        <f t="shared" ref="AQ231" si="1822">IF(AQ226=0,AQ227-AQ230,AQ226-AQ230)</f>
        <v>0</v>
      </c>
      <c r="AR231" s="23">
        <f t="shared" ref="AR231" si="1823">IF(AR226=0,AR227-AR230,AR226-AR230)</f>
        <v>0</v>
      </c>
      <c r="AS231" s="23">
        <f t="shared" ref="AS231" si="1824">IF(AS226=0,AS227-AS230,AS226-AS230)</f>
        <v>0</v>
      </c>
      <c r="AT231" s="23">
        <f t="shared" ref="AT231" si="1825">IF(AT226=0,AT227-AT230,AT226-AT230)</f>
        <v>0</v>
      </c>
      <c r="AU231" s="23">
        <f t="shared" ref="AU231" si="1826">IF(AU226=0,AU227-AU230,AU226-AU230)</f>
        <v>0</v>
      </c>
      <c r="AV231" s="23">
        <f t="shared" ref="AV231" si="1827">IF(AV226=0,AV227-AV230,AV226-AV230)</f>
        <v>0</v>
      </c>
      <c r="AW231" s="23">
        <f t="shared" ref="AW231" si="1828">IF(AW226=0,AW227-AW230,AW226-AW230)</f>
        <v>0</v>
      </c>
      <c r="AX231" s="23">
        <f t="shared" ref="AX231" si="1829">IF(AX226=0,AX227-AX230,AX226-AX230)</f>
        <v>0</v>
      </c>
      <c r="AY231" s="23">
        <f t="shared" ref="AY231" si="1830">IF(AY226=0,AY227-AY230,AY226-AY230)</f>
        <v>0</v>
      </c>
      <c r="AZ231" s="23">
        <f t="shared" ref="AZ231" si="1831">IF(AZ226=0,AZ227-AZ230,AZ226-AZ230)</f>
        <v>0</v>
      </c>
      <c r="BA231" s="23">
        <f t="shared" ref="BA231" si="1832">IF(BA226=0,BA227-BA230,BA226-BA230)</f>
        <v>0</v>
      </c>
      <c r="BB231" s="23">
        <f t="shared" ref="BB231" si="1833">IF(BB226=0,BB227-BB230,BB226-BB230)</f>
        <v>0</v>
      </c>
      <c r="BC231" s="23">
        <f t="shared" ref="BC231" si="1834">IF(BC226=0,BC227-BC230,BC226-BC230)</f>
        <v>0</v>
      </c>
      <c r="BD231" s="23">
        <f t="shared" ref="BD231" si="1835">IF(BD226=0,BD227-BD230,BD226-BD230)</f>
        <v>0</v>
      </c>
      <c r="BE231" s="23">
        <f t="shared" ref="BE231" si="1836">IF(BE226=0,BE227-BE230,BE226-BE230)</f>
        <v>0</v>
      </c>
      <c r="BF231" s="23">
        <f t="shared" ref="BF231" si="1837">IF(BF226=0,BF227-BF230,BF226-BF230)</f>
        <v>0</v>
      </c>
      <c r="BG231" s="23">
        <f t="shared" ref="BG231" si="1838">IF(BG226=0,BG227-BG230,BG226-BG230)</f>
        <v>0</v>
      </c>
      <c r="BH231" s="23">
        <f t="shared" ref="BH231" si="1839">IF(BH226=0,BH227-BH230,BH226-BH230)</f>
        <v>0</v>
      </c>
      <c r="BI231" s="23">
        <f t="shared" ref="BI231" si="1840">IF(BI226=0,BI227-BI230,BI226-BI230)</f>
        <v>0</v>
      </c>
      <c r="BJ231" s="23">
        <f t="shared" ref="BJ231" si="1841">IF(BJ226=0,BJ227-BJ230,BJ226-BJ230)</f>
        <v>0</v>
      </c>
      <c r="BK231" s="23">
        <f t="shared" ref="BK231" si="1842">IF(BK226=0,BK227-BK230,BK226-BK230)</f>
        <v>0</v>
      </c>
      <c r="BL231" s="23">
        <f t="shared" ref="BL231" si="1843">IF(BL226=0,BL227-BL230,BL226-BL230)</f>
        <v>0</v>
      </c>
      <c r="BM231" s="23">
        <f t="shared" ref="BM231" si="1844">IF(BM226=0,BM227-BM230,BM226-BM230)</f>
        <v>0</v>
      </c>
      <c r="BN231" s="23">
        <f t="shared" ref="BN231" si="1845">IF(BN226=0,BN227-BN230,BN226-BN230)</f>
        <v>0</v>
      </c>
    </row>
    <row r="232" spans="3:66" x14ac:dyDescent="0.2">
      <c r="C232" s="322"/>
      <c r="D232" s="23" t="s">
        <v>10</v>
      </c>
      <c r="E232" s="72">
        <v>2.2200000000000001E-2</v>
      </c>
      <c r="F232" s="54">
        <v>2.2200000000000001E-2</v>
      </c>
      <c r="G232" s="54">
        <v>2.2200000000000001E-2</v>
      </c>
      <c r="H232" s="54">
        <v>2.2200000000000001E-2</v>
      </c>
      <c r="I232" s="54">
        <v>2.2200000000000001E-2</v>
      </c>
      <c r="J232" s="54">
        <v>2.2200000000000001E-2</v>
      </c>
      <c r="K232" s="54">
        <v>2.2200000000000001E-2</v>
      </c>
      <c r="L232" s="54">
        <v>2.2200000000000001E-2</v>
      </c>
      <c r="M232" s="54">
        <v>2.2200000000000001E-2</v>
      </c>
      <c r="N232" s="54">
        <v>2.2200000000000001E-2</v>
      </c>
      <c r="O232" s="54">
        <v>2.2200000000000001E-2</v>
      </c>
      <c r="P232" s="54">
        <v>2.2200000000000001E-2</v>
      </c>
      <c r="Q232" s="54">
        <v>2.2200000000000001E-2</v>
      </c>
      <c r="R232" s="54">
        <v>2.2200000000000001E-2</v>
      </c>
      <c r="S232" s="54">
        <v>2.2200000000000001E-2</v>
      </c>
      <c r="T232" s="54">
        <v>2.2200000000000001E-2</v>
      </c>
      <c r="U232" s="54">
        <v>2.2200000000000001E-2</v>
      </c>
      <c r="V232" s="54">
        <v>2.2200000000000001E-2</v>
      </c>
      <c r="W232" s="54">
        <v>2.2200000000000001E-2</v>
      </c>
      <c r="X232" s="54">
        <v>2.2200000000000001E-2</v>
      </c>
      <c r="Y232" s="54">
        <v>2.2200000000000001E-2</v>
      </c>
      <c r="Z232" s="54">
        <v>2.2200000000000001E-2</v>
      </c>
      <c r="AA232" s="54">
        <v>2.2200000000000001E-2</v>
      </c>
      <c r="AB232" s="54">
        <v>2.2200000000000001E-2</v>
      </c>
      <c r="AC232" s="54">
        <v>2.2200000000000001E-2</v>
      </c>
      <c r="AD232" s="54">
        <v>2.2200000000000001E-2</v>
      </c>
      <c r="AE232" s="54">
        <v>2.2200000000000001E-2</v>
      </c>
      <c r="AF232" s="54">
        <v>2.2200000000000001E-2</v>
      </c>
      <c r="AG232" s="54">
        <v>2.2200000000000001E-2</v>
      </c>
      <c r="AH232" s="54">
        <v>2.2200000000000001E-2</v>
      </c>
      <c r="AI232" s="54">
        <v>2.2200000000000001E-2</v>
      </c>
      <c r="AJ232" s="54">
        <v>2.2200000000000001E-2</v>
      </c>
      <c r="AK232" s="54">
        <v>2.2200000000000001E-2</v>
      </c>
      <c r="AL232" s="54">
        <v>2.2200000000000001E-2</v>
      </c>
      <c r="AM232" s="54">
        <v>2.2200000000000001E-2</v>
      </c>
      <c r="AN232" s="54">
        <v>2.2200000000000001E-2</v>
      </c>
      <c r="AO232" s="54">
        <v>2.2200000000000001E-2</v>
      </c>
      <c r="AP232" s="54">
        <v>2.2200000000000001E-2</v>
      </c>
      <c r="AQ232" s="54">
        <v>2.2200000000000001E-2</v>
      </c>
      <c r="AR232" s="54">
        <v>2.2200000000000001E-2</v>
      </c>
      <c r="AS232" s="54">
        <v>2.2200000000000001E-2</v>
      </c>
      <c r="AT232" s="54">
        <v>2.2200000000000001E-2</v>
      </c>
      <c r="AU232" s="54">
        <v>2.2200000000000001E-2</v>
      </c>
      <c r="AV232" s="54">
        <v>2.2200000000000001E-2</v>
      </c>
      <c r="AW232" s="54">
        <v>2.2200000000000001E-2</v>
      </c>
      <c r="AX232" s="54">
        <v>2.2200000000000001E-2</v>
      </c>
      <c r="AY232" s="54">
        <v>2.2200000000000001E-2</v>
      </c>
      <c r="AZ232" s="54">
        <v>2.2200000000000001E-2</v>
      </c>
      <c r="BA232" s="54">
        <v>2.2200000000000001E-2</v>
      </c>
      <c r="BB232" s="54">
        <v>2.2200000000000001E-2</v>
      </c>
      <c r="BC232" s="54">
        <v>2.2200000000000001E-2</v>
      </c>
      <c r="BD232" s="54">
        <v>2.2200000000000001E-2</v>
      </c>
      <c r="BE232" s="54">
        <v>2.2200000000000001E-2</v>
      </c>
      <c r="BF232" s="54">
        <v>2.2200000000000001E-2</v>
      </c>
      <c r="BG232" s="54">
        <v>2.2200000000000001E-2</v>
      </c>
      <c r="BH232" s="54">
        <v>2.2200000000000001E-2</v>
      </c>
      <c r="BI232" s="54">
        <v>2.2200000000000001E-2</v>
      </c>
      <c r="BJ232" s="54">
        <v>2.2200000000000001E-2</v>
      </c>
      <c r="BK232" s="54">
        <v>2.2200000000000001E-2</v>
      </c>
      <c r="BL232" s="54">
        <v>2.2200000000000001E-2</v>
      </c>
      <c r="BM232" s="54">
        <v>2.2200000000000001E-2</v>
      </c>
      <c r="BN232" s="54">
        <v>2.2200000000000001E-2</v>
      </c>
    </row>
    <row r="233" spans="3:66" x14ac:dyDescent="0.2">
      <c r="C233" s="322"/>
      <c r="D233" s="23" t="s">
        <v>12</v>
      </c>
      <c r="E233" s="27">
        <f>SUM(F233:AY233)</f>
        <v>22169.481616107987</v>
      </c>
      <c r="F233" s="29">
        <f>+F231*F232</f>
        <v>-3.8900652072482869</v>
      </c>
      <c r="G233" s="29">
        <f>+G231*G232</f>
        <v>10503.176059570376</v>
      </c>
      <c r="H233" s="29">
        <f>+H231*H232</f>
        <v>11670.195621744861</v>
      </c>
      <c r="I233" s="29">
        <f t="shared" ref="I233:O233" si="1846">+I231*I232</f>
        <v>0</v>
      </c>
      <c r="J233" s="29">
        <f t="shared" si="1846"/>
        <v>0</v>
      </c>
      <c r="K233" s="29">
        <f t="shared" si="1846"/>
        <v>0</v>
      </c>
      <c r="L233" s="29">
        <f t="shared" si="1846"/>
        <v>0</v>
      </c>
      <c r="M233" s="29"/>
      <c r="N233" s="29">
        <f t="shared" si="1846"/>
        <v>0</v>
      </c>
      <c r="O233" s="29">
        <f t="shared" si="1846"/>
        <v>0</v>
      </c>
      <c r="P233" s="29">
        <f>+P231*P232</f>
        <v>0</v>
      </c>
      <c r="Q233" s="29">
        <f t="shared" ref="Q233" si="1847">+Q231*Q232</f>
        <v>0</v>
      </c>
      <c r="R233" s="29">
        <f>+R231*R232</f>
        <v>0</v>
      </c>
      <c r="S233" s="29">
        <f>+S231*S232</f>
        <v>0</v>
      </c>
      <c r="T233" s="29">
        <f t="shared" ref="T233" si="1848">+T231*T232</f>
        <v>0</v>
      </c>
      <c r="U233" s="29">
        <f>+U231*U232</f>
        <v>0</v>
      </c>
      <c r="V233" s="29">
        <f t="shared" ref="V233:X233" si="1849">+V231*V232</f>
        <v>0</v>
      </c>
      <c r="W233" s="29">
        <f t="shared" si="1849"/>
        <v>0</v>
      </c>
      <c r="X233" s="29">
        <f t="shared" si="1849"/>
        <v>0</v>
      </c>
      <c r="Y233" s="29">
        <f>+Y231*Y232</f>
        <v>0</v>
      </c>
      <c r="Z233" s="29">
        <f>+Z231*Z232</f>
        <v>0</v>
      </c>
      <c r="AA233" s="29">
        <f>+AA231*AA232</f>
        <v>0</v>
      </c>
      <c r="AB233" s="29">
        <f t="shared" ref="AB233:AD233" si="1850">+AB231*AB232</f>
        <v>0</v>
      </c>
      <c r="AC233" s="29">
        <f t="shared" si="1850"/>
        <v>0</v>
      </c>
      <c r="AD233" s="29">
        <f t="shared" si="1850"/>
        <v>0</v>
      </c>
      <c r="AE233" s="29">
        <v>0</v>
      </c>
      <c r="AF233" s="29">
        <f>+AF231*AF232</f>
        <v>0</v>
      </c>
      <c r="AG233" s="29">
        <f t="shared" ref="AG233:AP233" si="1851">+AG231*AG232</f>
        <v>0</v>
      </c>
      <c r="AH233" s="29"/>
      <c r="AI233" s="29">
        <f t="shared" si="1851"/>
        <v>0</v>
      </c>
      <c r="AJ233" s="29">
        <f t="shared" si="1851"/>
        <v>0</v>
      </c>
      <c r="AK233" s="29">
        <f t="shared" si="1851"/>
        <v>0</v>
      </c>
      <c r="AL233" s="29">
        <f t="shared" si="1851"/>
        <v>0</v>
      </c>
      <c r="AM233" s="29">
        <f t="shared" si="1851"/>
        <v>0</v>
      </c>
      <c r="AN233" s="29">
        <f t="shared" si="1851"/>
        <v>0</v>
      </c>
      <c r="AO233" s="29">
        <f t="shared" si="1851"/>
        <v>0</v>
      </c>
      <c r="AP233" s="29">
        <f t="shared" si="1851"/>
        <v>0</v>
      </c>
      <c r="AQ233" s="29">
        <f>+AQ231*AQ232</f>
        <v>0</v>
      </c>
      <c r="AR233" s="29">
        <v>0</v>
      </c>
      <c r="AS233" s="29">
        <f t="shared" ref="AS233:AU233" si="1852">+AS231*AS232</f>
        <v>0</v>
      </c>
      <c r="AT233" s="29">
        <f t="shared" si="1852"/>
        <v>0</v>
      </c>
      <c r="AU233" s="29">
        <f t="shared" si="1852"/>
        <v>0</v>
      </c>
      <c r="AV233" s="29">
        <v>0</v>
      </c>
      <c r="AW233" s="29">
        <f t="shared" ref="AW233:AX233" si="1853">+AW231*AW232</f>
        <v>0</v>
      </c>
      <c r="AX233" s="29">
        <f t="shared" si="1853"/>
        <v>0</v>
      </c>
      <c r="AY233" s="29">
        <f>+AY231*AY232</f>
        <v>0</v>
      </c>
      <c r="AZ233" s="29">
        <f t="shared" ref="AZ233:BN233" si="1854">+AZ231*AZ232</f>
        <v>0</v>
      </c>
      <c r="BA233" s="29">
        <f t="shared" si="1854"/>
        <v>0</v>
      </c>
      <c r="BB233" s="29"/>
      <c r="BC233" s="29">
        <f t="shared" si="1854"/>
        <v>0</v>
      </c>
      <c r="BD233" s="29">
        <f t="shared" si="1854"/>
        <v>0</v>
      </c>
      <c r="BE233" s="29">
        <f t="shared" si="1854"/>
        <v>0</v>
      </c>
      <c r="BF233" s="29">
        <f t="shared" si="1854"/>
        <v>0</v>
      </c>
      <c r="BG233" s="29">
        <f t="shared" si="1854"/>
        <v>0</v>
      </c>
      <c r="BH233" s="29">
        <f t="shared" si="1854"/>
        <v>0</v>
      </c>
      <c r="BI233" s="29">
        <f t="shared" si="1854"/>
        <v>0</v>
      </c>
      <c r="BJ233" s="29">
        <f t="shared" si="1854"/>
        <v>0</v>
      </c>
      <c r="BK233" s="29">
        <f t="shared" si="1854"/>
        <v>0</v>
      </c>
      <c r="BL233" s="29">
        <f t="shared" si="1854"/>
        <v>0</v>
      </c>
      <c r="BM233" s="29">
        <f t="shared" si="1854"/>
        <v>0</v>
      </c>
      <c r="BN233" s="29">
        <f t="shared" si="1854"/>
        <v>0</v>
      </c>
    </row>
    <row r="234" spans="3:66" ht="13.5" thickBot="1" x14ac:dyDescent="0.25">
      <c r="C234" s="323"/>
      <c r="D234" s="25" t="s">
        <v>11</v>
      </c>
      <c r="E234" s="30">
        <f>SUM(F234:BN234)</f>
        <v>1020794.7796389903</v>
      </c>
      <c r="F234" s="46">
        <f>+F231+F233</f>
        <v>-179.11822769590984</v>
      </c>
      <c r="G234" s="46">
        <f>+G231+G233</f>
        <v>483619.21477895672</v>
      </c>
      <c r="H234" s="46">
        <f>+H231+H233</f>
        <v>537354.6830877295</v>
      </c>
      <c r="I234" s="46">
        <f t="shared" ref="I234:AU234" si="1855">+I231+I233</f>
        <v>0</v>
      </c>
      <c r="J234" s="46">
        <f t="shared" si="1855"/>
        <v>0</v>
      </c>
      <c r="K234" s="46">
        <f t="shared" si="1855"/>
        <v>0</v>
      </c>
      <c r="L234" s="46">
        <f t="shared" si="1855"/>
        <v>0</v>
      </c>
      <c r="M234" s="46">
        <f t="shared" si="1855"/>
        <v>0</v>
      </c>
      <c r="N234" s="46">
        <f t="shared" si="1855"/>
        <v>0</v>
      </c>
      <c r="O234" s="46">
        <f t="shared" si="1855"/>
        <v>0</v>
      </c>
      <c r="P234" s="46">
        <f t="shared" si="1855"/>
        <v>0</v>
      </c>
      <c r="Q234" s="46">
        <f t="shared" si="1855"/>
        <v>0</v>
      </c>
      <c r="R234" s="46">
        <f t="shared" si="1855"/>
        <v>0</v>
      </c>
      <c r="S234" s="46">
        <f t="shared" si="1855"/>
        <v>0</v>
      </c>
      <c r="T234" s="46">
        <f t="shared" si="1855"/>
        <v>0</v>
      </c>
      <c r="U234" s="46">
        <f t="shared" si="1855"/>
        <v>0</v>
      </c>
      <c r="V234" s="46">
        <f t="shared" si="1855"/>
        <v>0</v>
      </c>
      <c r="W234" s="46">
        <f t="shared" si="1855"/>
        <v>0</v>
      </c>
      <c r="X234" s="46">
        <f t="shared" si="1855"/>
        <v>0</v>
      </c>
      <c r="Y234" s="46">
        <f t="shared" si="1855"/>
        <v>0</v>
      </c>
      <c r="Z234" s="46">
        <f t="shared" si="1855"/>
        <v>0</v>
      </c>
      <c r="AA234" s="46">
        <f t="shared" si="1855"/>
        <v>0</v>
      </c>
      <c r="AB234" s="46">
        <f t="shared" si="1855"/>
        <v>0</v>
      </c>
      <c r="AC234" s="46">
        <f t="shared" si="1855"/>
        <v>0</v>
      </c>
      <c r="AD234" s="46">
        <f t="shared" si="1855"/>
        <v>0</v>
      </c>
      <c r="AE234" s="46">
        <f t="shared" si="1855"/>
        <v>0</v>
      </c>
      <c r="AF234" s="46">
        <f t="shared" si="1855"/>
        <v>0</v>
      </c>
      <c r="AG234" s="46">
        <f>+AG231+AG233</f>
        <v>0</v>
      </c>
      <c r="AH234" s="46">
        <f t="shared" si="1855"/>
        <v>0</v>
      </c>
      <c r="AI234" s="46">
        <f t="shared" si="1855"/>
        <v>0</v>
      </c>
      <c r="AJ234" s="46">
        <f t="shared" si="1855"/>
        <v>0</v>
      </c>
      <c r="AK234" s="46">
        <f t="shared" si="1855"/>
        <v>0</v>
      </c>
      <c r="AL234" s="46">
        <f t="shared" si="1855"/>
        <v>0</v>
      </c>
      <c r="AM234" s="46">
        <f t="shared" si="1855"/>
        <v>0</v>
      </c>
      <c r="AN234" s="46">
        <f t="shared" si="1855"/>
        <v>0</v>
      </c>
      <c r="AO234" s="46">
        <f t="shared" si="1855"/>
        <v>0</v>
      </c>
      <c r="AP234" s="46">
        <f t="shared" si="1855"/>
        <v>0</v>
      </c>
      <c r="AQ234" s="46">
        <f t="shared" si="1855"/>
        <v>0</v>
      </c>
      <c r="AR234" s="46">
        <f t="shared" si="1855"/>
        <v>0</v>
      </c>
      <c r="AS234" s="46">
        <f t="shared" si="1855"/>
        <v>0</v>
      </c>
      <c r="AT234" s="46">
        <f t="shared" si="1855"/>
        <v>0</v>
      </c>
      <c r="AU234" s="46">
        <f t="shared" si="1855"/>
        <v>0</v>
      </c>
      <c r="AV234" s="46">
        <f>+AV231+AV233</f>
        <v>0</v>
      </c>
      <c r="AW234" s="46">
        <f t="shared" ref="AW234:BN234" si="1856">+AW231+AW233</f>
        <v>0</v>
      </c>
      <c r="AX234" s="46">
        <f t="shared" si="1856"/>
        <v>0</v>
      </c>
      <c r="AY234" s="46">
        <f t="shared" si="1856"/>
        <v>0</v>
      </c>
      <c r="AZ234" s="46">
        <f t="shared" si="1856"/>
        <v>0</v>
      </c>
      <c r="BA234" s="46">
        <f t="shared" si="1856"/>
        <v>0</v>
      </c>
      <c r="BB234" s="46">
        <f t="shared" si="1856"/>
        <v>0</v>
      </c>
      <c r="BC234" s="46">
        <f t="shared" si="1856"/>
        <v>0</v>
      </c>
      <c r="BD234" s="46">
        <f t="shared" si="1856"/>
        <v>0</v>
      </c>
      <c r="BE234" s="46">
        <f t="shared" si="1856"/>
        <v>0</v>
      </c>
      <c r="BF234" s="46">
        <f t="shared" si="1856"/>
        <v>0</v>
      </c>
      <c r="BG234" s="46">
        <f t="shared" si="1856"/>
        <v>0</v>
      </c>
      <c r="BH234" s="46">
        <f t="shared" si="1856"/>
        <v>0</v>
      </c>
      <c r="BI234" s="46">
        <f t="shared" si="1856"/>
        <v>0</v>
      </c>
      <c r="BJ234" s="46">
        <f t="shared" si="1856"/>
        <v>0</v>
      </c>
      <c r="BK234" s="46">
        <f t="shared" si="1856"/>
        <v>0</v>
      </c>
      <c r="BL234" s="46">
        <f t="shared" si="1856"/>
        <v>0</v>
      </c>
      <c r="BM234" s="46">
        <f t="shared" si="1856"/>
        <v>0</v>
      </c>
      <c r="BN234" s="46">
        <f t="shared" si="1856"/>
        <v>0</v>
      </c>
    </row>
    <row r="235" spans="3:66" x14ac:dyDescent="0.2">
      <c r="C235" s="321">
        <v>44409</v>
      </c>
      <c r="D235" s="20" t="s">
        <v>5</v>
      </c>
      <c r="E235" s="50">
        <f>SUM(F235:BN235)</f>
        <v>0</v>
      </c>
      <c r="F235" s="279">
        <f>IF(F$6=$C235,F$7,0)</f>
        <v>0</v>
      </c>
      <c r="G235" s="279">
        <f t="shared" ref="G235:BN235" si="1857">IF(G$6=$C235,G$7,0)</f>
        <v>0</v>
      </c>
      <c r="H235" s="279">
        <f t="shared" si="1857"/>
        <v>0</v>
      </c>
      <c r="I235" s="279">
        <f t="shared" si="1857"/>
        <v>0</v>
      </c>
      <c r="J235" s="279">
        <f t="shared" si="1857"/>
        <v>0</v>
      </c>
      <c r="K235" s="279">
        <f t="shared" si="1857"/>
        <v>0</v>
      </c>
      <c r="L235" s="279">
        <f t="shared" si="1857"/>
        <v>0</v>
      </c>
      <c r="M235" s="279">
        <f t="shared" si="1857"/>
        <v>0</v>
      </c>
      <c r="N235" s="279">
        <f t="shared" si="1857"/>
        <v>0</v>
      </c>
      <c r="O235" s="279">
        <f t="shared" si="1857"/>
        <v>0</v>
      </c>
      <c r="P235" s="279">
        <f t="shared" si="1857"/>
        <v>0</v>
      </c>
      <c r="Q235" s="279">
        <f t="shared" si="1857"/>
        <v>0</v>
      </c>
      <c r="R235" s="279">
        <f t="shared" si="1857"/>
        <v>0</v>
      </c>
      <c r="S235" s="279">
        <f t="shared" si="1857"/>
        <v>0</v>
      </c>
      <c r="T235" s="279">
        <f t="shared" si="1857"/>
        <v>0</v>
      </c>
      <c r="U235" s="279">
        <f t="shared" si="1857"/>
        <v>0</v>
      </c>
      <c r="V235" s="279">
        <f t="shared" si="1857"/>
        <v>0</v>
      </c>
      <c r="W235" s="279">
        <f t="shared" si="1857"/>
        <v>0</v>
      </c>
      <c r="X235" s="279">
        <f t="shared" si="1857"/>
        <v>0</v>
      </c>
      <c r="Y235" s="279">
        <f t="shared" si="1857"/>
        <v>0</v>
      </c>
      <c r="Z235" s="279">
        <f t="shared" si="1857"/>
        <v>0</v>
      </c>
      <c r="AA235" s="279">
        <f t="shared" si="1857"/>
        <v>0</v>
      </c>
      <c r="AB235" s="279">
        <f t="shared" si="1857"/>
        <v>0</v>
      </c>
      <c r="AC235" s="279">
        <f t="shared" si="1857"/>
        <v>0</v>
      </c>
      <c r="AD235" s="279">
        <f t="shared" si="1857"/>
        <v>0</v>
      </c>
      <c r="AE235" s="279">
        <f t="shared" si="1857"/>
        <v>0</v>
      </c>
      <c r="AF235" s="279">
        <f t="shared" si="1857"/>
        <v>0</v>
      </c>
      <c r="AG235" s="279">
        <f t="shared" si="1857"/>
        <v>0</v>
      </c>
      <c r="AH235" s="279">
        <f t="shared" si="1857"/>
        <v>0</v>
      </c>
      <c r="AI235" s="279">
        <f t="shared" si="1857"/>
        <v>0</v>
      </c>
      <c r="AJ235" s="279">
        <f t="shared" si="1857"/>
        <v>0</v>
      </c>
      <c r="AK235" s="279">
        <f t="shared" si="1857"/>
        <v>0</v>
      </c>
      <c r="AL235" s="279">
        <f t="shared" si="1857"/>
        <v>0</v>
      </c>
      <c r="AM235" s="279">
        <f t="shared" si="1857"/>
        <v>0</v>
      </c>
      <c r="AN235" s="279">
        <f t="shared" si="1857"/>
        <v>0</v>
      </c>
      <c r="AO235" s="279">
        <f t="shared" si="1857"/>
        <v>0</v>
      </c>
      <c r="AP235" s="279">
        <f t="shared" si="1857"/>
        <v>0</v>
      </c>
      <c r="AQ235" s="279">
        <f t="shared" si="1857"/>
        <v>0</v>
      </c>
      <c r="AR235" s="279">
        <f t="shared" si="1857"/>
        <v>0</v>
      </c>
      <c r="AS235" s="279">
        <f t="shared" si="1857"/>
        <v>0</v>
      </c>
      <c r="AT235" s="279">
        <f t="shared" si="1857"/>
        <v>0</v>
      </c>
      <c r="AU235" s="279">
        <f t="shared" si="1857"/>
        <v>0</v>
      </c>
      <c r="AV235" s="279">
        <f t="shared" si="1857"/>
        <v>0</v>
      </c>
      <c r="AW235" s="279">
        <f t="shared" si="1857"/>
        <v>0</v>
      </c>
      <c r="AX235" s="279">
        <f t="shared" si="1857"/>
        <v>0</v>
      </c>
      <c r="AY235" s="279">
        <f t="shared" si="1857"/>
        <v>0</v>
      </c>
      <c r="AZ235" s="279">
        <f t="shared" si="1857"/>
        <v>0</v>
      </c>
      <c r="BA235" s="279">
        <f t="shared" si="1857"/>
        <v>0</v>
      </c>
      <c r="BB235" s="279">
        <f t="shared" si="1857"/>
        <v>0</v>
      </c>
      <c r="BC235" s="279">
        <f t="shared" si="1857"/>
        <v>0</v>
      </c>
      <c r="BD235" s="279">
        <f t="shared" si="1857"/>
        <v>0</v>
      </c>
      <c r="BE235" s="279">
        <f t="shared" si="1857"/>
        <v>0</v>
      </c>
      <c r="BF235" s="279">
        <f t="shared" si="1857"/>
        <v>0</v>
      </c>
      <c r="BG235" s="279">
        <f t="shared" si="1857"/>
        <v>0</v>
      </c>
      <c r="BH235" s="279">
        <f t="shared" si="1857"/>
        <v>0</v>
      </c>
      <c r="BI235" s="279">
        <f t="shared" si="1857"/>
        <v>0</v>
      </c>
      <c r="BJ235" s="279">
        <f t="shared" si="1857"/>
        <v>0</v>
      </c>
      <c r="BK235" s="279">
        <f t="shared" si="1857"/>
        <v>0</v>
      </c>
      <c r="BL235" s="279">
        <f t="shared" si="1857"/>
        <v>0</v>
      </c>
      <c r="BM235" s="279">
        <f t="shared" si="1857"/>
        <v>0</v>
      </c>
      <c r="BN235" s="279">
        <f t="shared" si="1857"/>
        <v>0</v>
      </c>
    </row>
    <row r="236" spans="3:66" x14ac:dyDescent="0.2">
      <c r="C236" s="322"/>
      <c r="D236" s="23" t="s">
        <v>7</v>
      </c>
      <c r="E236" s="91">
        <v>6.3280000000000003E-2</v>
      </c>
      <c r="F236" s="28">
        <f>IF(F235="",VLOOKUP($C235,'CUSTOS REALIZADOS'!$A$11:$E$995,4),(VLOOKUP($C235,'CUSTOS REALIZADOS'!$A$11:$E$995,5)))</f>
        <v>0.24000000000000002</v>
      </c>
      <c r="G236" s="28">
        <f>IF(G235="",VLOOKUP($C235,'CUSTOS REALIZADOS'!$A$11:$E$995,4),(VLOOKUP($C235,'CUSTOS REALIZADOS'!$A$11:$E$995,5)))</f>
        <v>0.24000000000000002</v>
      </c>
      <c r="H236" s="28">
        <f>IF(H235="",VLOOKUP($C235,'CUSTOS REALIZADOS'!$A$11:$E$995,4),(VLOOKUP($C235,'CUSTOS REALIZADOS'!$A$11:$E$995,5)))</f>
        <v>0.24000000000000002</v>
      </c>
      <c r="I236" s="28">
        <f>IF(I235="",VLOOKUP($C235,'CUSTOS REALIZADOS'!$A$11:$E$995,4),(VLOOKUP($C235,'CUSTOS REALIZADOS'!$A$11:$E$995,5)))</f>
        <v>0.24000000000000002</v>
      </c>
      <c r="J236" s="28">
        <f>IF(J235="",VLOOKUP($C235,'CUSTOS REALIZADOS'!$A$11:$E$995,4),(VLOOKUP($C235,'CUSTOS REALIZADOS'!$A$11:$E$995,5)))</f>
        <v>0.24000000000000002</v>
      </c>
      <c r="K236" s="28">
        <f>IF(K235="",VLOOKUP($C235,'CUSTOS REALIZADOS'!$A$11:$E$995,4),(VLOOKUP($C235,'CUSTOS REALIZADOS'!$A$11:$E$995,5)))</f>
        <v>0.24000000000000002</v>
      </c>
      <c r="L236" s="28">
        <f>IF(L235="",VLOOKUP($C235,'CUSTOS REALIZADOS'!$A$11:$E$995,4),(VLOOKUP($C235,'CUSTOS REALIZADOS'!$A$11:$E$995,5)))</f>
        <v>0.24000000000000002</v>
      </c>
      <c r="M236" s="28">
        <f>IF(M235="",VLOOKUP($C235,'CUSTOS REALIZADOS'!$A$11:$E$995,4),(VLOOKUP($C235,'CUSTOS REALIZADOS'!$A$11:$E$995,5)))</f>
        <v>0.24000000000000002</v>
      </c>
      <c r="N236" s="28">
        <f>IF(N235="",VLOOKUP($C235,'CUSTOS REALIZADOS'!$A$11:$E$995,4),(VLOOKUP($C235,'CUSTOS REALIZADOS'!$A$11:$E$995,5)))</f>
        <v>0.24000000000000002</v>
      </c>
      <c r="O236" s="28">
        <f>IF(O235="",VLOOKUP($C235,'CUSTOS REALIZADOS'!$A$11:$E$995,4),(VLOOKUP($C235,'CUSTOS REALIZADOS'!$A$11:$E$995,5)))</f>
        <v>0.24000000000000002</v>
      </c>
      <c r="P236" s="28">
        <f>IF(P235="",VLOOKUP($C235,'CUSTOS REALIZADOS'!$A$11:$E$995,4),(VLOOKUP($C235,'CUSTOS REALIZADOS'!$A$11:$E$995,5)))</f>
        <v>0.24000000000000002</v>
      </c>
      <c r="Q236" s="28">
        <f>IF(Q235="",VLOOKUP($C235,'CUSTOS REALIZADOS'!$A$11:$E$995,4),(VLOOKUP($C235,'CUSTOS REALIZADOS'!$A$11:$E$995,5)))</f>
        <v>0.24000000000000002</v>
      </c>
      <c r="R236" s="28">
        <f>IF(R235="",VLOOKUP($C235,'CUSTOS REALIZADOS'!$A$11:$E$995,4),(VLOOKUP($C235,'CUSTOS REALIZADOS'!$A$11:$E$995,5)))</f>
        <v>0.24000000000000002</v>
      </c>
      <c r="S236" s="28">
        <f>IF(S235="",VLOOKUP($C235,'CUSTOS REALIZADOS'!$A$11:$E$995,4),(VLOOKUP($C235,'CUSTOS REALIZADOS'!$A$11:$E$995,5)))</f>
        <v>0.24000000000000002</v>
      </c>
      <c r="T236" s="28">
        <f>IF(T235="",VLOOKUP($C235,'CUSTOS REALIZADOS'!$A$11:$E$995,4),(VLOOKUP($C235,'CUSTOS REALIZADOS'!$A$11:$E$995,5)))</f>
        <v>0.24000000000000002</v>
      </c>
      <c r="U236" s="28">
        <f>IF(U235="",VLOOKUP($C235,'CUSTOS REALIZADOS'!$A$11:$E$995,4),(VLOOKUP($C235,'CUSTOS REALIZADOS'!$A$11:$E$995,5)))</f>
        <v>0.24000000000000002</v>
      </c>
      <c r="V236" s="28">
        <f>IF(V235="",VLOOKUP($C235,'CUSTOS REALIZADOS'!$A$11:$E$995,4),(VLOOKUP($C235,'CUSTOS REALIZADOS'!$A$11:$E$995,5)))</f>
        <v>0.24000000000000002</v>
      </c>
      <c r="W236" s="28">
        <f>IF(W235="",VLOOKUP($C235,'CUSTOS REALIZADOS'!$A$11:$E$995,4),(VLOOKUP($C235,'CUSTOS REALIZADOS'!$A$11:$E$995,5)))</f>
        <v>0.24000000000000002</v>
      </c>
      <c r="X236" s="28">
        <f>IF(X235="",VLOOKUP($C235,'CUSTOS REALIZADOS'!$A$11:$E$995,4),(VLOOKUP($C235,'CUSTOS REALIZADOS'!$A$11:$E$995,5)))</f>
        <v>0.24000000000000002</v>
      </c>
      <c r="Y236" s="28">
        <f>IF(Y235="",VLOOKUP($C235,'CUSTOS REALIZADOS'!$A$11:$E$995,4),(VLOOKUP($C235,'CUSTOS REALIZADOS'!$A$11:$E$995,5)))</f>
        <v>0.24000000000000002</v>
      </c>
      <c r="Z236" s="28">
        <f>IF(Z235="",VLOOKUP($C235,'CUSTOS REALIZADOS'!$A$11:$E$995,4),(VLOOKUP($C235,'CUSTOS REALIZADOS'!$A$11:$E$995,5)))</f>
        <v>0.24000000000000002</v>
      </c>
      <c r="AA236" s="28">
        <f>IF(AA235="",VLOOKUP($C235,'CUSTOS REALIZADOS'!$A$11:$E$995,4),(VLOOKUP($C235,'CUSTOS REALIZADOS'!$A$11:$E$995,5)))</f>
        <v>0.24000000000000002</v>
      </c>
      <c r="AB236" s="28">
        <f>IF(AB235="",VLOOKUP($C235,'CUSTOS REALIZADOS'!$A$11:$E$995,4),(VLOOKUP($C235,'CUSTOS REALIZADOS'!$A$11:$E$995,5)))</f>
        <v>0.24000000000000002</v>
      </c>
      <c r="AC236" s="28">
        <f>IF(AC235="",VLOOKUP($C235,'CUSTOS REALIZADOS'!$A$11:$E$995,4),(VLOOKUP($C235,'CUSTOS REALIZADOS'!$A$11:$E$995,5)))</f>
        <v>0.24000000000000002</v>
      </c>
      <c r="AD236" s="28">
        <f>IF(AD235="",VLOOKUP($C235,'CUSTOS REALIZADOS'!$A$11:$E$995,4),(VLOOKUP($C235,'CUSTOS REALIZADOS'!$A$11:$E$995,5)))</f>
        <v>0.24000000000000002</v>
      </c>
      <c r="AE236" s="28">
        <f>IF(AE235="",VLOOKUP($C235,'CUSTOS REALIZADOS'!$A$11:$E$995,4),(VLOOKUP($C235,'CUSTOS REALIZADOS'!$A$11:$E$995,5)))</f>
        <v>0.24000000000000002</v>
      </c>
      <c r="AF236" s="28">
        <f>IF(AF235="",VLOOKUP($C235,'CUSTOS REALIZADOS'!$A$11:$E$995,4),(VLOOKUP($C235,'CUSTOS REALIZADOS'!$A$11:$E$995,5)))</f>
        <v>0.24000000000000002</v>
      </c>
      <c r="AG236" s="28">
        <f>IF(AG235="",VLOOKUP($C235,'CUSTOS REALIZADOS'!$A$11:$E$995,4),(VLOOKUP($C235,'CUSTOS REALIZADOS'!$A$11:$E$995,5)))</f>
        <v>0.24000000000000002</v>
      </c>
      <c r="AH236" s="28">
        <f>IF(AH235="",VLOOKUP($C235,'CUSTOS REALIZADOS'!$A$11:$E$995,4),(VLOOKUP($C235,'CUSTOS REALIZADOS'!$A$11:$E$995,5)))</f>
        <v>0.24000000000000002</v>
      </c>
      <c r="AI236" s="28">
        <f>IF(AI235="",VLOOKUP($C235,'CUSTOS REALIZADOS'!$A$11:$E$995,4),(VLOOKUP($C235,'CUSTOS REALIZADOS'!$A$11:$E$995,5)))</f>
        <v>0.24000000000000002</v>
      </c>
      <c r="AJ236" s="28">
        <f>IF(AJ235="",VLOOKUP($C235,'CUSTOS REALIZADOS'!$A$11:$E$995,4),(VLOOKUP($C235,'CUSTOS REALIZADOS'!$A$11:$E$995,5)))</f>
        <v>0.24000000000000002</v>
      </c>
      <c r="AK236" s="28">
        <f>IF(AK235="",VLOOKUP($C235,'CUSTOS REALIZADOS'!$A$11:$E$995,4),(VLOOKUP($C235,'CUSTOS REALIZADOS'!$A$11:$E$995,5)))</f>
        <v>0.24000000000000002</v>
      </c>
      <c r="AL236" s="28">
        <f>IF(AL235="",VLOOKUP($C235,'CUSTOS REALIZADOS'!$A$11:$E$995,4),(VLOOKUP($C235,'CUSTOS REALIZADOS'!$A$11:$E$995,5)))</f>
        <v>0.24000000000000002</v>
      </c>
      <c r="AM236" s="28">
        <f>IF(AM235="",VLOOKUP($C235,'CUSTOS REALIZADOS'!$A$11:$E$995,4),(VLOOKUP($C235,'CUSTOS REALIZADOS'!$A$11:$E$995,5)))</f>
        <v>0.24000000000000002</v>
      </c>
      <c r="AN236" s="28">
        <f>IF(AN235="",VLOOKUP($C235,'CUSTOS REALIZADOS'!$A$11:$E$995,4),(VLOOKUP($C235,'CUSTOS REALIZADOS'!$A$11:$E$995,5)))</f>
        <v>0.24000000000000002</v>
      </c>
      <c r="AO236" s="28">
        <f>IF(AO235="",VLOOKUP($C235,'CUSTOS REALIZADOS'!$A$11:$E$995,4),(VLOOKUP($C235,'CUSTOS REALIZADOS'!$A$11:$E$995,5)))</f>
        <v>0.24000000000000002</v>
      </c>
      <c r="AP236" s="28">
        <f>IF(AP235="",VLOOKUP($C235,'CUSTOS REALIZADOS'!$A$11:$E$995,4),(VLOOKUP($C235,'CUSTOS REALIZADOS'!$A$11:$E$995,5)))</f>
        <v>0.24000000000000002</v>
      </c>
      <c r="AQ236" s="28">
        <f>IF(AQ235="",VLOOKUP($C235,'CUSTOS REALIZADOS'!$A$11:$E$995,4),(VLOOKUP($C235,'CUSTOS REALIZADOS'!$A$11:$E$995,5)))</f>
        <v>0.24000000000000002</v>
      </c>
      <c r="AR236" s="28">
        <f>IF(AR235="",VLOOKUP($C235,'CUSTOS REALIZADOS'!$A$11:$E$995,4),(VLOOKUP($C235,'CUSTOS REALIZADOS'!$A$11:$E$995,5)))</f>
        <v>0.24000000000000002</v>
      </c>
      <c r="AS236" s="28">
        <f>IF(AS235="",VLOOKUP($C235,'CUSTOS REALIZADOS'!$A$11:$E$995,4),(VLOOKUP($C235,'CUSTOS REALIZADOS'!$A$11:$E$995,5)))</f>
        <v>0.24000000000000002</v>
      </c>
      <c r="AT236" s="28">
        <f>IF(AT235="",VLOOKUP($C235,'CUSTOS REALIZADOS'!$A$11:$E$995,4),(VLOOKUP($C235,'CUSTOS REALIZADOS'!$A$11:$E$995,5)))</f>
        <v>0.24000000000000002</v>
      </c>
      <c r="AU236" s="28">
        <f>IF(AU235="",VLOOKUP($C235,'CUSTOS REALIZADOS'!$A$11:$E$995,4),(VLOOKUP($C235,'CUSTOS REALIZADOS'!$A$11:$E$995,5)))</f>
        <v>0.24000000000000002</v>
      </c>
      <c r="AV236" s="28">
        <f>IF(AV235="",VLOOKUP($C235,'CUSTOS REALIZADOS'!$A$11:$E$995,4),(VLOOKUP($C235,'CUSTOS REALIZADOS'!$A$11:$E$995,5)))</f>
        <v>0.24000000000000002</v>
      </c>
      <c r="AW236" s="28">
        <f>IF(AW235="",VLOOKUP($C235,'CUSTOS REALIZADOS'!$A$11:$E$995,4),(VLOOKUP($C235,'CUSTOS REALIZADOS'!$A$11:$E$995,5)))</f>
        <v>0.24000000000000002</v>
      </c>
      <c r="AX236" s="28">
        <f>IF(AX235="",VLOOKUP($C235,'CUSTOS REALIZADOS'!$A$11:$E$995,4),(VLOOKUP($C235,'CUSTOS REALIZADOS'!$A$11:$E$995,5)))</f>
        <v>0.24000000000000002</v>
      </c>
      <c r="AY236" s="28">
        <f>IF(AY235="",VLOOKUP($C235,'CUSTOS REALIZADOS'!$A$11:$E$995,4),(VLOOKUP($C235,'CUSTOS REALIZADOS'!$A$11:$E$995,5)))</f>
        <v>0.24000000000000002</v>
      </c>
      <c r="AZ236" s="28">
        <f>IF(AZ235="",VLOOKUP($C235,'CUSTOS REALIZADOS'!$A$11:$E$995,4),(VLOOKUP($C235,'CUSTOS REALIZADOS'!$A$11:$E$995,5)))</f>
        <v>0.24000000000000002</v>
      </c>
      <c r="BA236" s="28">
        <f>IF(BA235="",VLOOKUP($C235,'CUSTOS REALIZADOS'!$A$11:$E$995,4),(VLOOKUP($C235,'CUSTOS REALIZADOS'!$A$11:$E$995,5)))</f>
        <v>0.24000000000000002</v>
      </c>
      <c r="BB236" s="28">
        <f>IF(BB235="",VLOOKUP($C235,'CUSTOS REALIZADOS'!$A$11:$E$995,4),(VLOOKUP($C235,'CUSTOS REALIZADOS'!$A$11:$E$995,5)))</f>
        <v>0.24000000000000002</v>
      </c>
      <c r="BC236" s="28">
        <f>IF(BC235="",VLOOKUP($C235,'CUSTOS REALIZADOS'!$A$11:$E$995,4),(VLOOKUP($C235,'CUSTOS REALIZADOS'!$A$11:$E$995,5)))</f>
        <v>0.24000000000000002</v>
      </c>
      <c r="BD236" s="28">
        <f>IF(BD235="",VLOOKUP($C235,'CUSTOS REALIZADOS'!$A$11:$E$995,4),(VLOOKUP($C235,'CUSTOS REALIZADOS'!$A$11:$E$995,5)))</f>
        <v>0.24000000000000002</v>
      </c>
      <c r="BE236" s="28">
        <f>IF(BE235="",VLOOKUP($C235,'CUSTOS REALIZADOS'!$A$11:$E$995,4),(VLOOKUP($C235,'CUSTOS REALIZADOS'!$A$11:$E$995,5)))</f>
        <v>0.24000000000000002</v>
      </c>
      <c r="BF236" s="28">
        <f>IF(BF235="",VLOOKUP($C235,'CUSTOS REALIZADOS'!$A$11:$E$995,4),(VLOOKUP($C235,'CUSTOS REALIZADOS'!$A$11:$E$995,5)))</f>
        <v>0.24000000000000002</v>
      </c>
      <c r="BG236" s="28">
        <f>IF(BG235="",VLOOKUP($C235,'CUSTOS REALIZADOS'!$A$11:$E$995,4),(VLOOKUP($C235,'CUSTOS REALIZADOS'!$A$11:$E$995,5)))</f>
        <v>0.24000000000000002</v>
      </c>
      <c r="BH236" s="28">
        <f>IF(BH235="",VLOOKUP($C235,'CUSTOS REALIZADOS'!$A$11:$E$995,4),(VLOOKUP($C235,'CUSTOS REALIZADOS'!$A$11:$E$995,5)))</f>
        <v>0.24000000000000002</v>
      </c>
      <c r="BI236" s="28">
        <f>IF(BI235="",VLOOKUP($C235,'CUSTOS REALIZADOS'!$A$11:$E$995,4),(VLOOKUP($C235,'CUSTOS REALIZADOS'!$A$11:$E$995,5)))</f>
        <v>0.24000000000000002</v>
      </c>
      <c r="BJ236" s="28">
        <f>IF(BJ235="",VLOOKUP($C235,'CUSTOS REALIZADOS'!$A$11:$E$995,4),(VLOOKUP($C235,'CUSTOS REALIZADOS'!$A$11:$E$995,5)))</f>
        <v>0.24000000000000002</v>
      </c>
      <c r="BK236" s="28">
        <f>IF(BK235="",VLOOKUP($C235,'CUSTOS REALIZADOS'!$A$11:$E$995,4),(VLOOKUP($C235,'CUSTOS REALIZADOS'!$A$11:$E$995,5)))</f>
        <v>0.24000000000000002</v>
      </c>
      <c r="BL236" s="28">
        <f>IF(BL235="",VLOOKUP($C235,'CUSTOS REALIZADOS'!$A$11:$E$995,4),(VLOOKUP($C235,'CUSTOS REALIZADOS'!$A$11:$E$995,5)))</f>
        <v>0.24000000000000002</v>
      </c>
      <c r="BM236" s="28">
        <f>IF(BM235="",VLOOKUP($C235,'CUSTOS REALIZADOS'!$A$11:$E$995,4),(VLOOKUP($C235,'CUSTOS REALIZADOS'!$A$11:$E$995,5)))</f>
        <v>0.24000000000000002</v>
      </c>
      <c r="BN236" s="28">
        <f>IF(BN235="",VLOOKUP($C235,'CUSTOS REALIZADOS'!$A$11:$E$995,4),(VLOOKUP($C235,'CUSTOS REALIZADOS'!$A$11:$E$995,5)))</f>
        <v>0.24000000000000002</v>
      </c>
    </row>
    <row r="237" spans="3:66" x14ac:dyDescent="0.2">
      <c r="C237" s="322"/>
      <c r="D237" s="23" t="s">
        <v>6</v>
      </c>
      <c r="E237" s="27">
        <f>SUM(F237:BN237)</f>
        <v>95000</v>
      </c>
      <c r="F237" s="23">
        <f>IF(AND($C235&gt;=F$6,OR($C235&lt;F$8,F$8="")),F$7*F$28,0)</f>
        <v>0</v>
      </c>
      <c r="G237" s="23">
        <f t="shared" ref="G237:BN237" si="1858">IF(AND($C235&gt;=G$6,OR($C235&lt;G$8,G$8="")),G$7*G$28,0)</f>
        <v>45000</v>
      </c>
      <c r="H237" s="23">
        <f t="shared" si="1858"/>
        <v>50000</v>
      </c>
      <c r="I237" s="23">
        <f t="shared" si="1858"/>
        <v>0</v>
      </c>
      <c r="J237" s="23">
        <f t="shared" si="1858"/>
        <v>0</v>
      </c>
      <c r="K237" s="23">
        <f t="shared" si="1858"/>
        <v>0</v>
      </c>
      <c r="L237" s="23">
        <f t="shared" si="1858"/>
        <v>0</v>
      </c>
      <c r="M237" s="23">
        <f t="shared" si="1858"/>
        <v>0</v>
      </c>
      <c r="N237" s="23">
        <f t="shared" si="1858"/>
        <v>0</v>
      </c>
      <c r="O237" s="23">
        <f t="shared" si="1858"/>
        <v>0</v>
      </c>
      <c r="P237" s="23">
        <f t="shared" si="1858"/>
        <v>0</v>
      </c>
      <c r="Q237" s="23">
        <f t="shared" si="1858"/>
        <v>0</v>
      </c>
      <c r="R237" s="23">
        <f t="shared" si="1858"/>
        <v>0</v>
      </c>
      <c r="S237" s="23">
        <f t="shared" si="1858"/>
        <v>0</v>
      </c>
      <c r="T237" s="23">
        <f t="shared" si="1858"/>
        <v>0</v>
      </c>
      <c r="U237" s="23">
        <f t="shared" si="1858"/>
        <v>0</v>
      </c>
      <c r="V237" s="23">
        <f t="shared" si="1858"/>
        <v>0</v>
      </c>
      <c r="W237" s="23">
        <f t="shared" si="1858"/>
        <v>0</v>
      </c>
      <c r="X237" s="23">
        <f t="shared" si="1858"/>
        <v>0</v>
      </c>
      <c r="Y237" s="23">
        <f t="shared" si="1858"/>
        <v>0</v>
      </c>
      <c r="Z237" s="23">
        <f t="shared" si="1858"/>
        <v>0</v>
      </c>
      <c r="AA237" s="23">
        <f t="shared" si="1858"/>
        <v>0</v>
      </c>
      <c r="AB237" s="23">
        <f t="shared" si="1858"/>
        <v>0</v>
      </c>
      <c r="AC237" s="23">
        <f t="shared" si="1858"/>
        <v>0</v>
      </c>
      <c r="AD237" s="23">
        <f t="shared" si="1858"/>
        <v>0</v>
      </c>
      <c r="AE237" s="23">
        <f t="shared" si="1858"/>
        <v>0</v>
      </c>
      <c r="AF237" s="23">
        <f t="shared" si="1858"/>
        <v>0</v>
      </c>
      <c r="AG237" s="23">
        <f t="shared" si="1858"/>
        <v>0</v>
      </c>
      <c r="AH237" s="23">
        <f t="shared" si="1858"/>
        <v>0</v>
      </c>
      <c r="AI237" s="23">
        <f t="shared" si="1858"/>
        <v>0</v>
      </c>
      <c r="AJ237" s="23">
        <f t="shared" si="1858"/>
        <v>0</v>
      </c>
      <c r="AK237" s="23">
        <f t="shared" si="1858"/>
        <v>0</v>
      </c>
      <c r="AL237" s="23">
        <f t="shared" si="1858"/>
        <v>0</v>
      </c>
      <c r="AM237" s="23">
        <f t="shared" si="1858"/>
        <v>0</v>
      </c>
      <c r="AN237" s="23">
        <f t="shared" si="1858"/>
        <v>0</v>
      </c>
      <c r="AO237" s="23">
        <f t="shared" si="1858"/>
        <v>0</v>
      </c>
      <c r="AP237" s="23">
        <f t="shared" si="1858"/>
        <v>0</v>
      </c>
      <c r="AQ237" s="23">
        <f t="shared" si="1858"/>
        <v>0</v>
      </c>
      <c r="AR237" s="23">
        <f t="shared" si="1858"/>
        <v>0</v>
      </c>
      <c r="AS237" s="23">
        <f t="shared" si="1858"/>
        <v>0</v>
      </c>
      <c r="AT237" s="23">
        <f t="shared" si="1858"/>
        <v>0</v>
      </c>
      <c r="AU237" s="23">
        <f t="shared" si="1858"/>
        <v>0</v>
      </c>
      <c r="AV237" s="23">
        <f t="shared" si="1858"/>
        <v>0</v>
      </c>
      <c r="AW237" s="23">
        <f t="shared" si="1858"/>
        <v>0</v>
      </c>
      <c r="AX237" s="23">
        <f t="shared" si="1858"/>
        <v>0</v>
      </c>
      <c r="AY237" s="23">
        <f t="shared" si="1858"/>
        <v>0</v>
      </c>
      <c r="AZ237" s="23">
        <f t="shared" si="1858"/>
        <v>0</v>
      </c>
      <c r="BA237" s="23">
        <f t="shared" si="1858"/>
        <v>0</v>
      </c>
      <c r="BB237" s="23">
        <f t="shared" si="1858"/>
        <v>0</v>
      </c>
      <c r="BC237" s="23">
        <f t="shared" si="1858"/>
        <v>0</v>
      </c>
      <c r="BD237" s="23">
        <f t="shared" si="1858"/>
        <v>0</v>
      </c>
      <c r="BE237" s="23">
        <f t="shared" si="1858"/>
        <v>0</v>
      </c>
      <c r="BF237" s="23">
        <f t="shared" si="1858"/>
        <v>0</v>
      </c>
      <c r="BG237" s="23">
        <f t="shared" si="1858"/>
        <v>0</v>
      </c>
      <c r="BH237" s="23">
        <f t="shared" si="1858"/>
        <v>0</v>
      </c>
      <c r="BI237" s="23">
        <f t="shared" si="1858"/>
        <v>0</v>
      </c>
      <c r="BJ237" s="23">
        <f t="shared" si="1858"/>
        <v>0</v>
      </c>
      <c r="BK237" s="23">
        <f t="shared" si="1858"/>
        <v>0</v>
      </c>
      <c r="BL237" s="23">
        <f t="shared" si="1858"/>
        <v>0</v>
      </c>
      <c r="BM237" s="23">
        <f t="shared" si="1858"/>
        <v>0</v>
      </c>
      <c r="BN237" s="23">
        <f t="shared" si="1858"/>
        <v>0</v>
      </c>
    </row>
    <row r="238" spans="3:66" x14ac:dyDescent="0.2">
      <c r="C238" s="322"/>
      <c r="D238" s="23" t="s">
        <v>9</v>
      </c>
      <c r="E238" s="225">
        <f>SUM(F238:BN238)</f>
        <v>0</v>
      </c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2"/>
    </row>
    <row r="239" spans="3:66" x14ac:dyDescent="0.2">
      <c r="C239" s="322"/>
      <c r="D239" s="23" t="s">
        <v>14</v>
      </c>
      <c r="E239" s="27">
        <f>SUM(F239:AY239)</f>
        <v>1020794.7796389903</v>
      </c>
      <c r="F239" s="23">
        <f>IF(F234=0,F235-F238,F234-F238)</f>
        <v>-179.11822769590984</v>
      </c>
      <c r="G239" s="23">
        <f t="shared" ref="G239" si="1859">IF(G234=0,G235-G238,G234-G238)</f>
        <v>483619.21477895672</v>
      </c>
      <c r="H239" s="23">
        <f t="shared" ref="H239" si="1860">IF(H234=0,H235-H238,H234-H238)</f>
        <v>537354.6830877295</v>
      </c>
      <c r="I239" s="23">
        <f t="shared" ref="I239" si="1861">IF(I234=0,I235-I238,I234-I238)</f>
        <v>0</v>
      </c>
      <c r="J239" s="23">
        <f t="shared" ref="J239" si="1862">IF(J234=0,J235-J238,J234-J238)</f>
        <v>0</v>
      </c>
      <c r="K239" s="23">
        <f t="shared" ref="K239" si="1863">IF(K234=0,K235-K238,K234-K238)</f>
        <v>0</v>
      </c>
      <c r="L239" s="23">
        <f t="shared" ref="L239" si="1864">IF(L234=0,L235-L238,L234-L238)</f>
        <v>0</v>
      </c>
      <c r="M239" s="23">
        <f t="shared" ref="M239" si="1865">IF(M234=0,M235-M238,M234-M238)</f>
        <v>0</v>
      </c>
      <c r="N239" s="23">
        <f t="shared" ref="N239" si="1866">IF(N234=0,N235-N238,N234-N238)</f>
        <v>0</v>
      </c>
      <c r="O239" s="23">
        <f t="shared" ref="O239" si="1867">IF(O234=0,O235-O238,O234-O238)</f>
        <v>0</v>
      </c>
      <c r="P239" s="23">
        <f t="shared" ref="P239" si="1868">IF(P234=0,P235-P238,P234-P238)</f>
        <v>0</v>
      </c>
      <c r="Q239" s="23">
        <f t="shared" ref="Q239" si="1869">IF(Q234=0,Q235-Q238,Q234-Q238)</f>
        <v>0</v>
      </c>
      <c r="R239" s="23">
        <f t="shared" ref="R239" si="1870">IF(R234=0,R235-R238,R234-R238)</f>
        <v>0</v>
      </c>
      <c r="S239" s="23">
        <f t="shared" ref="S239" si="1871">IF(S234=0,S235-S238,S234-S238)</f>
        <v>0</v>
      </c>
      <c r="T239" s="23">
        <f t="shared" ref="T239" si="1872">IF(T234=0,T235-T238,T234-T238)</f>
        <v>0</v>
      </c>
      <c r="U239" s="23">
        <f t="shared" ref="U239" si="1873">IF(U234=0,U235-U238,U234-U238)</f>
        <v>0</v>
      </c>
      <c r="V239" s="23">
        <f t="shared" ref="V239" si="1874">IF(V234=0,V235-V238,V234-V238)</f>
        <v>0</v>
      </c>
      <c r="W239" s="23">
        <f t="shared" ref="W239" si="1875">IF(W234=0,W235-W238,W234-W238)</f>
        <v>0</v>
      </c>
      <c r="X239" s="23">
        <f t="shared" ref="X239" si="1876">IF(X234=0,X235-X238,X234-X238)</f>
        <v>0</v>
      </c>
      <c r="Y239" s="23">
        <f t="shared" ref="Y239" si="1877">IF(Y234=0,Y235-Y238,Y234-Y238)</f>
        <v>0</v>
      </c>
      <c r="Z239" s="23">
        <f t="shared" ref="Z239" si="1878">IF(Z234=0,Z235-Z238,Z234-Z238)</f>
        <v>0</v>
      </c>
      <c r="AA239" s="23">
        <f t="shared" ref="AA239" si="1879">IF(AA234=0,AA235-AA238,AA234-AA238)</f>
        <v>0</v>
      </c>
      <c r="AB239" s="23">
        <f t="shared" ref="AB239" si="1880">IF(AB234=0,AB235-AB238,AB234-AB238)</f>
        <v>0</v>
      </c>
      <c r="AC239" s="23">
        <f t="shared" ref="AC239" si="1881">IF(AC234=0,AC235-AC238,AC234-AC238)</f>
        <v>0</v>
      </c>
      <c r="AD239" s="23">
        <f t="shared" ref="AD239" si="1882">IF(AD234=0,AD235-AD238,AD234-AD238)</f>
        <v>0</v>
      </c>
      <c r="AE239" s="23">
        <f t="shared" ref="AE239" si="1883">IF(AE234=0,AE235-AE238,AE234-AE238)</f>
        <v>0</v>
      </c>
      <c r="AF239" s="23">
        <f t="shared" ref="AF239" si="1884">IF(AF234=0,AF235-AF238,AF234-AF238)</f>
        <v>0</v>
      </c>
      <c r="AG239" s="23">
        <f t="shared" ref="AG239" si="1885">IF(AG234=0,AG235-AG238,AG234-AG238)</f>
        <v>0</v>
      </c>
      <c r="AH239" s="23">
        <f t="shared" ref="AH239" si="1886">IF(AH234=0,AH235-AH238,AH234-AH238)</f>
        <v>0</v>
      </c>
      <c r="AI239" s="23">
        <f t="shared" ref="AI239" si="1887">IF(AI234=0,AI235-AI238,AI234-AI238)</f>
        <v>0</v>
      </c>
      <c r="AJ239" s="23">
        <f t="shared" ref="AJ239" si="1888">IF(AJ234=0,AJ235-AJ238,AJ234-AJ238)</f>
        <v>0</v>
      </c>
      <c r="AK239" s="23">
        <f t="shared" ref="AK239" si="1889">IF(AK234=0,AK235-AK238,AK234-AK238)</f>
        <v>0</v>
      </c>
      <c r="AL239" s="23">
        <f t="shared" ref="AL239" si="1890">IF(AL234=0,AL235-AL238,AL234-AL238)</f>
        <v>0</v>
      </c>
      <c r="AM239" s="23">
        <f t="shared" ref="AM239" si="1891">IF(AM234=0,AM235-AM238,AM234-AM238)</f>
        <v>0</v>
      </c>
      <c r="AN239" s="23">
        <f t="shared" ref="AN239" si="1892">IF(AN234=0,AN235-AN238,AN234-AN238)</f>
        <v>0</v>
      </c>
      <c r="AO239" s="23">
        <f t="shared" ref="AO239" si="1893">IF(AO234=0,AO235-AO238,AO234-AO238)</f>
        <v>0</v>
      </c>
      <c r="AP239" s="23">
        <f t="shared" ref="AP239" si="1894">IF(AP234=0,AP235-AP238,AP234-AP238)</f>
        <v>0</v>
      </c>
      <c r="AQ239" s="23">
        <f t="shared" ref="AQ239" si="1895">IF(AQ234=0,AQ235-AQ238,AQ234-AQ238)</f>
        <v>0</v>
      </c>
      <c r="AR239" s="23">
        <f t="shared" ref="AR239" si="1896">IF(AR234=0,AR235-AR238,AR234-AR238)</f>
        <v>0</v>
      </c>
      <c r="AS239" s="23">
        <f t="shared" ref="AS239" si="1897">IF(AS234=0,AS235-AS238,AS234-AS238)</f>
        <v>0</v>
      </c>
      <c r="AT239" s="23">
        <f t="shared" ref="AT239" si="1898">IF(AT234=0,AT235-AT238,AT234-AT238)</f>
        <v>0</v>
      </c>
      <c r="AU239" s="23">
        <f t="shared" ref="AU239" si="1899">IF(AU234=0,AU235-AU238,AU234-AU238)</f>
        <v>0</v>
      </c>
      <c r="AV239" s="23">
        <f t="shared" ref="AV239" si="1900">IF(AV234=0,AV235-AV238,AV234-AV238)</f>
        <v>0</v>
      </c>
      <c r="AW239" s="23">
        <f t="shared" ref="AW239" si="1901">IF(AW234=0,AW235-AW238,AW234-AW238)</f>
        <v>0</v>
      </c>
      <c r="AX239" s="23">
        <f t="shared" ref="AX239" si="1902">IF(AX234=0,AX235-AX238,AX234-AX238)</f>
        <v>0</v>
      </c>
      <c r="AY239" s="23">
        <f t="shared" ref="AY239" si="1903">IF(AY234=0,AY235-AY238,AY234-AY238)</f>
        <v>0</v>
      </c>
      <c r="AZ239" s="23">
        <f t="shared" ref="AZ239" si="1904">IF(AZ234=0,AZ235-AZ238,AZ234-AZ238)</f>
        <v>0</v>
      </c>
      <c r="BA239" s="23">
        <f t="shared" ref="BA239" si="1905">IF(BA234=0,BA235-BA238,BA234-BA238)</f>
        <v>0</v>
      </c>
      <c r="BB239" s="23">
        <f t="shared" ref="BB239" si="1906">IF(BB234=0,BB235-BB238,BB234-BB238)</f>
        <v>0</v>
      </c>
      <c r="BC239" s="23">
        <f t="shared" ref="BC239" si="1907">IF(BC234=0,BC235-BC238,BC234-BC238)</f>
        <v>0</v>
      </c>
      <c r="BD239" s="23">
        <f t="shared" ref="BD239" si="1908">IF(BD234=0,BD235-BD238,BD234-BD238)</f>
        <v>0</v>
      </c>
      <c r="BE239" s="23">
        <f t="shared" ref="BE239" si="1909">IF(BE234=0,BE235-BE238,BE234-BE238)</f>
        <v>0</v>
      </c>
      <c r="BF239" s="23">
        <f t="shared" ref="BF239" si="1910">IF(BF234=0,BF235-BF238,BF234-BF238)</f>
        <v>0</v>
      </c>
      <c r="BG239" s="23">
        <f t="shared" ref="BG239" si="1911">IF(BG234=0,BG235-BG238,BG234-BG238)</f>
        <v>0</v>
      </c>
      <c r="BH239" s="23">
        <f t="shared" ref="BH239" si="1912">IF(BH234=0,BH235-BH238,BH234-BH238)</f>
        <v>0</v>
      </c>
      <c r="BI239" s="23">
        <f t="shared" ref="BI239" si="1913">IF(BI234=0,BI235-BI238,BI234-BI238)</f>
        <v>0</v>
      </c>
      <c r="BJ239" s="23">
        <f t="shared" ref="BJ239" si="1914">IF(BJ234=0,BJ235-BJ238,BJ234-BJ238)</f>
        <v>0</v>
      </c>
      <c r="BK239" s="23">
        <f t="shared" ref="BK239" si="1915">IF(BK234=0,BK235-BK238,BK234-BK238)</f>
        <v>0</v>
      </c>
      <c r="BL239" s="23">
        <f t="shared" ref="BL239" si="1916">IF(BL234=0,BL235-BL238,BL234-BL238)</f>
        <v>0</v>
      </c>
      <c r="BM239" s="23">
        <f t="shared" ref="BM239" si="1917">IF(BM234=0,BM235-BM238,BM234-BM238)</f>
        <v>0</v>
      </c>
      <c r="BN239" s="23">
        <f t="shared" ref="BN239" si="1918">IF(BN234=0,BN235-BN238,BN234-BN238)</f>
        <v>0</v>
      </c>
    </row>
    <row r="240" spans="3:66" x14ac:dyDescent="0.2">
      <c r="C240" s="322"/>
      <c r="D240" s="23" t="s">
        <v>10</v>
      </c>
      <c r="E240" s="72">
        <v>2.1600000000000001E-2</v>
      </c>
      <c r="F240" s="54">
        <v>2.1600000000000001E-2</v>
      </c>
      <c r="G240" s="54">
        <v>2.1600000000000001E-2</v>
      </c>
      <c r="H240" s="54">
        <v>2.1600000000000001E-2</v>
      </c>
      <c r="I240" s="54">
        <v>2.1600000000000001E-2</v>
      </c>
      <c r="J240" s="54">
        <v>2.1600000000000001E-2</v>
      </c>
      <c r="K240" s="54">
        <v>2.1600000000000001E-2</v>
      </c>
      <c r="L240" s="54">
        <v>2.1600000000000001E-2</v>
      </c>
      <c r="M240" s="54">
        <v>2.1600000000000001E-2</v>
      </c>
      <c r="N240" s="54">
        <v>2.1600000000000001E-2</v>
      </c>
      <c r="O240" s="54">
        <v>2.1600000000000001E-2</v>
      </c>
      <c r="P240" s="54">
        <v>2.1600000000000001E-2</v>
      </c>
      <c r="Q240" s="54">
        <v>2.1600000000000001E-2</v>
      </c>
      <c r="R240" s="54">
        <v>2.1600000000000001E-2</v>
      </c>
      <c r="S240" s="54">
        <v>2.1600000000000001E-2</v>
      </c>
      <c r="T240" s="54">
        <v>2.1600000000000001E-2</v>
      </c>
      <c r="U240" s="54">
        <v>2.1600000000000001E-2</v>
      </c>
      <c r="V240" s="54">
        <v>2.1600000000000001E-2</v>
      </c>
      <c r="W240" s="54">
        <v>2.1600000000000001E-2</v>
      </c>
      <c r="X240" s="54">
        <v>2.1600000000000001E-2</v>
      </c>
      <c r="Y240" s="54">
        <v>2.1600000000000001E-2</v>
      </c>
      <c r="Z240" s="54">
        <v>2.1600000000000001E-2</v>
      </c>
      <c r="AA240" s="54">
        <v>2.1600000000000001E-2</v>
      </c>
      <c r="AB240" s="54">
        <v>2.1600000000000001E-2</v>
      </c>
      <c r="AC240" s="54">
        <v>2.1600000000000001E-2</v>
      </c>
      <c r="AD240" s="54">
        <v>2.1600000000000001E-2</v>
      </c>
      <c r="AE240" s="54">
        <v>2.1600000000000001E-2</v>
      </c>
      <c r="AF240" s="54">
        <v>2.1600000000000001E-2</v>
      </c>
      <c r="AG240" s="54">
        <v>2.1600000000000001E-2</v>
      </c>
      <c r="AH240" s="54">
        <v>2.1600000000000001E-2</v>
      </c>
      <c r="AI240" s="54">
        <v>2.1600000000000001E-2</v>
      </c>
      <c r="AJ240" s="54">
        <v>2.1600000000000001E-2</v>
      </c>
      <c r="AK240" s="54">
        <v>2.1600000000000001E-2</v>
      </c>
      <c r="AL240" s="54">
        <v>2.1600000000000001E-2</v>
      </c>
      <c r="AM240" s="54">
        <v>2.1600000000000001E-2</v>
      </c>
      <c r="AN240" s="54">
        <v>2.1600000000000001E-2</v>
      </c>
      <c r="AO240" s="54">
        <v>2.1600000000000001E-2</v>
      </c>
      <c r="AP240" s="54">
        <v>2.1600000000000001E-2</v>
      </c>
      <c r="AQ240" s="54">
        <v>2.1600000000000001E-2</v>
      </c>
      <c r="AR240" s="54">
        <v>2.1600000000000001E-2</v>
      </c>
      <c r="AS240" s="54">
        <v>2.1600000000000001E-2</v>
      </c>
      <c r="AT240" s="54">
        <v>2.1600000000000001E-2</v>
      </c>
      <c r="AU240" s="54">
        <v>2.1600000000000001E-2</v>
      </c>
      <c r="AV240" s="54">
        <v>2.1600000000000001E-2</v>
      </c>
      <c r="AW240" s="54">
        <v>2.1600000000000001E-2</v>
      </c>
      <c r="AX240" s="54">
        <v>2.1600000000000001E-2</v>
      </c>
      <c r="AY240" s="54">
        <v>2.1600000000000001E-2</v>
      </c>
      <c r="AZ240" s="54">
        <v>2.1600000000000001E-2</v>
      </c>
      <c r="BA240" s="54">
        <v>2.1600000000000001E-2</v>
      </c>
      <c r="BB240" s="54">
        <v>2.1600000000000001E-2</v>
      </c>
      <c r="BC240" s="54">
        <v>2.1600000000000001E-2</v>
      </c>
      <c r="BD240" s="54">
        <v>2.1600000000000001E-2</v>
      </c>
      <c r="BE240" s="54">
        <v>2.1600000000000001E-2</v>
      </c>
      <c r="BF240" s="54">
        <v>2.1600000000000001E-2</v>
      </c>
      <c r="BG240" s="54">
        <v>2.1600000000000001E-2</v>
      </c>
      <c r="BH240" s="54">
        <v>2.1600000000000001E-2</v>
      </c>
      <c r="BI240" s="54">
        <v>2.1600000000000001E-2</v>
      </c>
      <c r="BJ240" s="54">
        <v>2.1600000000000001E-2</v>
      </c>
      <c r="BK240" s="54">
        <v>2.1600000000000001E-2</v>
      </c>
      <c r="BL240" s="54">
        <v>2.1600000000000001E-2</v>
      </c>
      <c r="BM240" s="54">
        <v>2.1600000000000001E-2</v>
      </c>
      <c r="BN240" s="54">
        <v>2.1600000000000001E-2</v>
      </c>
    </row>
    <row r="241" spans="3:66" x14ac:dyDescent="0.2">
      <c r="C241" s="322"/>
      <c r="D241" s="23" t="s">
        <v>12</v>
      </c>
      <c r="E241" s="27">
        <f>SUM(F241:AY241)</f>
        <v>22049.167240202194</v>
      </c>
      <c r="F241" s="99">
        <f>+F239*F240</f>
        <v>-3.8689537182316527</v>
      </c>
      <c r="G241" s="99">
        <f>+G239*G240</f>
        <v>10446.175039225465</v>
      </c>
      <c r="H241" s="99">
        <f>+H239*H240</f>
        <v>11606.861154694958</v>
      </c>
      <c r="I241" s="99">
        <f>+I239*I240</f>
        <v>0</v>
      </c>
      <c r="J241" s="99">
        <f>+J239*J240</f>
        <v>0</v>
      </c>
      <c r="K241" s="99">
        <f t="shared" ref="K241:O241" si="1919">+K239*K240</f>
        <v>0</v>
      </c>
      <c r="L241" s="99">
        <f t="shared" si="1919"/>
        <v>0</v>
      </c>
      <c r="M241" s="99">
        <v>0</v>
      </c>
      <c r="N241" s="99">
        <f>+N239*N240</f>
        <v>0</v>
      </c>
      <c r="O241" s="99">
        <f t="shared" si="1919"/>
        <v>0</v>
      </c>
      <c r="P241" s="99">
        <f>+P239*P240</f>
        <v>0</v>
      </c>
      <c r="Q241" s="99">
        <f>+Q239*Q240</f>
        <v>0</v>
      </c>
      <c r="R241" s="99">
        <f>+R239*R240</f>
        <v>0</v>
      </c>
      <c r="S241" s="99">
        <f>+S239*S240</f>
        <v>0</v>
      </c>
      <c r="T241" s="99">
        <f t="shared" ref="T241" si="1920">+T239*T240</f>
        <v>0</v>
      </c>
      <c r="U241" s="99">
        <f>+U239*U240</f>
        <v>0</v>
      </c>
      <c r="V241" s="99">
        <f t="shared" ref="V241:X241" si="1921">+V239*V240</f>
        <v>0</v>
      </c>
      <c r="W241" s="99">
        <f t="shared" si="1921"/>
        <v>0</v>
      </c>
      <c r="X241" s="99">
        <f t="shared" si="1921"/>
        <v>0</v>
      </c>
      <c r="Y241" s="29">
        <f>+Y239*Y240</f>
        <v>0</v>
      </c>
      <c r="Z241" s="99">
        <f>+Z239*Z240</f>
        <v>0</v>
      </c>
      <c r="AA241" s="99">
        <f>+AA239*AA240</f>
        <v>0</v>
      </c>
      <c r="AB241" s="99">
        <f t="shared" ref="AB241:AD241" si="1922">+AB239*AB240</f>
        <v>0</v>
      </c>
      <c r="AC241" s="99">
        <f t="shared" si="1922"/>
        <v>0</v>
      </c>
      <c r="AD241" s="99">
        <f t="shared" si="1922"/>
        <v>0</v>
      </c>
      <c r="AE241" s="99">
        <v>0</v>
      </c>
      <c r="AF241" s="99">
        <f>+AF239*AF240</f>
        <v>0</v>
      </c>
      <c r="AG241" s="99">
        <f t="shared" ref="AG241:AP241" si="1923">+AG239*AG240</f>
        <v>0</v>
      </c>
      <c r="AH241" s="99">
        <f t="shared" si="1923"/>
        <v>0</v>
      </c>
      <c r="AI241" s="99">
        <f t="shared" si="1923"/>
        <v>0</v>
      </c>
      <c r="AJ241" s="99">
        <f t="shared" si="1923"/>
        <v>0</v>
      </c>
      <c r="AK241" s="99">
        <f t="shared" si="1923"/>
        <v>0</v>
      </c>
      <c r="AL241" s="99">
        <f t="shared" si="1923"/>
        <v>0</v>
      </c>
      <c r="AM241" s="99">
        <f t="shared" si="1923"/>
        <v>0</v>
      </c>
      <c r="AN241" s="99">
        <f t="shared" si="1923"/>
        <v>0</v>
      </c>
      <c r="AO241" s="99">
        <f>+AO239*AO240</f>
        <v>0</v>
      </c>
      <c r="AP241" s="99">
        <f t="shared" si="1923"/>
        <v>0</v>
      </c>
      <c r="AQ241" s="99">
        <f>+AQ239*AQ240</f>
        <v>0</v>
      </c>
      <c r="AR241" s="99">
        <f>+AR239*AR240</f>
        <v>0</v>
      </c>
      <c r="AS241" s="99">
        <f>+AS239*AS240</f>
        <v>0</v>
      </c>
      <c r="AT241" s="99">
        <f t="shared" ref="AT241:AU241" si="1924">+AT239*AT240</f>
        <v>0</v>
      </c>
      <c r="AU241" s="99">
        <f t="shared" si="1924"/>
        <v>0</v>
      </c>
      <c r="AV241" s="99">
        <v>0</v>
      </c>
      <c r="AW241" s="99">
        <f t="shared" ref="AW241:AX241" si="1925">+AW239*AW240</f>
        <v>0</v>
      </c>
      <c r="AX241" s="99">
        <f t="shared" si="1925"/>
        <v>0</v>
      </c>
      <c r="AY241" s="99">
        <f>+AY239*AY240</f>
        <v>0</v>
      </c>
      <c r="AZ241" s="99">
        <f t="shared" ref="AZ241:BN241" si="1926">+AZ239*AZ240</f>
        <v>0</v>
      </c>
      <c r="BA241" s="99">
        <f t="shared" si="1926"/>
        <v>0</v>
      </c>
      <c r="BB241" s="99">
        <v>0</v>
      </c>
      <c r="BC241" s="99">
        <f t="shared" si="1926"/>
        <v>0</v>
      </c>
      <c r="BD241" s="99">
        <f t="shared" si="1926"/>
        <v>0</v>
      </c>
      <c r="BE241" s="99">
        <f t="shared" si="1926"/>
        <v>0</v>
      </c>
      <c r="BF241" s="99">
        <f t="shared" si="1926"/>
        <v>0</v>
      </c>
      <c r="BG241" s="99">
        <f t="shared" si="1926"/>
        <v>0</v>
      </c>
      <c r="BH241" s="99">
        <f t="shared" si="1926"/>
        <v>0</v>
      </c>
      <c r="BI241" s="99">
        <f t="shared" si="1926"/>
        <v>0</v>
      </c>
      <c r="BJ241" s="99">
        <f t="shared" si="1926"/>
        <v>0</v>
      </c>
      <c r="BK241" s="99">
        <f t="shared" si="1926"/>
        <v>0</v>
      </c>
      <c r="BL241" s="99">
        <f t="shared" si="1926"/>
        <v>0</v>
      </c>
      <c r="BM241" s="99">
        <f t="shared" si="1926"/>
        <v>0</v>
      </c>
      <c r="BN241" s="99">
        <f t="shared" si="1926"/>
        <v>0</v>
      </c>
    </row>
    <row r="242" spans="3:66" ht="13.5" thickBot="1" x14ac:dyDescent="0.25">
      <c r="C242" s="323"/>
      <c r="D242" s="25" t="s">
        <v>11</v>
      </c>
      <c r="E242" s="30">
        <f>SUM(F242:BN242)</f>
        <v>1042843.9468791925</v>
      </c>
      <c r="F242" s="213">
        <f>+F239+F241</f>
        <v>-182.9871814141415</v>
      </c>
      <c r="G242" s="213">
        <f>+G239+G241</f>
        <v>494065.38981818222</v>
      </c>
      <c r="H242" s="213">
        <f>+H239+H241</f>
        <v>548961.54424242442</v>
      </c>
      <c r="I242" s="213">
        <f t="shared" ref="I242:AU242" si="1927">+I239+I241</f>
        <v>0</v>
      </c>
      <c r="J242" s="213">
        <f>+J239+J241</f>
        <v>0</v>
      </c>
      <c r="K242" s="213">
        <f t="shared" si="1927"/>
        <v>0</v>
      </c>
      <c r="L242" s="213">
        <f t="shared" si="1927"/>
        <v>0</v>
      </c>
      <c r="M242" s="213">
        <f>+M239+M241</f>
        <v>0</v>
      </c>
      <c r="N242" s="213">
        <f>+N239+N241</f>
        <v>0</v>
      </c>
      <c r="O242" s="213">
        <f t="shared" si="1927"/>
        <v>0</v>
      </c>
      <c r="P242" s="213">
        <f t="shared" si="1927"/>
        <v>0</v>
      </c>
      <c r="Q242" s="213">
        <f t="shared" si="1927"/>
        <v>0</v>
      </c>
      <c r="R242" s="213">
        <f t="shared" si="1927"/>
        <v>0</v>
      </c>
      <c r="S242" s="213">
        <f t="shared" si="1927"/>
        <v>0</v>
      </c>
      <c r="T242" s="213">
        <f t="shared" si="1927"/>
        <v>0</v>
      </c>
      <c r="U242" s="213">
        <f t="shared" si="1927"/>
        <v>0</v>
      </c>
      <c r="V242" s="213">
        <f t="shared" si="1927"/>
        <v>0</v>
      </c>
      <c r="W242" s="213">
        <f t="shared" si="1927"/>
        <v>0</v>
      </c>
      <c r="X242" s="213">
        <f t="shared" si="1927"/>
        <v>0</v>
      </c>
      <c r="Y242" s="213">
        <f t="shared" si="1927"/>
        <v>0</v>
      </c>
      <c r="Z242" s="213">
        <f t="shared" si="1927"/>
        <v>0</v>
      </c>
      <c r="AA242" s="213">
        <f t="shared" si="1927"/>
        <v>0</v>
      </c>
      <c r="AB242" s="213">
        <f t="shared" si="1927"/>
        <v>0</v>
      </c>
      <c r="AC242" s="213">
        <f t="shared" si="1927"/>
        <v>0</v>
      </c>
      <c r="AD242" s="213">
        <f t="shared" si="1927"/>
        <v>0</v>
      </c>
      <c r="AE242" s="213">
        <f t="shared" si="1927"/>
        <v>0</v>
      </c>
      <c r="AF242" s="213">
        <f t="shared" si="1927"/>
        <v>0</v>
      </c>
      <c r="AG242" s="213">
        <f t="shared" si="1927"/>
        <v>0</v>
      </c>
      <c r="AH242" s="213">
        <f t="shared" si="1927"/>
        <v>0</v>
      </c>
      <c r="AI242" s="213">
        <f t="shared" si="1927"/>
        <v>0</v>
      </c>
      <c r="AJ242" s="213">
        <f t="shared" si="1927"/>
        <v>0</v>
      </c>
      <c r="AK242" s="213">
        <f t="shared" si="1927"/>
        <v>0</v>
      </c>
      <c r="AL242" s="213">
        <f t="shared" si="1927"/>
        <v>0</v>
      </c>
      <c r="AM242" s="213">
        <f t="shared" si="1927"/>
        <v>0</v>
      </c>
      <c r="AN242" s="213">
        <f t="shared" si="1927"/>
        <v>0</v>
      </c>
      <c r="AO242" s="213">
        <f t="shared" si="1927"/>
        <v>0</v>
      </c>
      <c r="AP242" s="213">
        <f t="shared" si="1927"/>
        <v>0</v>
      </c>
      <c r="AQ242" s="213">
        <f t="shared" si="1927"/>
        <v>0</v>
      </c>
      <c r="AR242" s="213">
        <f t="shared" si="1927"/>
        <v>0</v>
      </c>
      <c r="AS242" s="213">
        <f t="shared" si="1927"/>
        <v>0</v>
      </c>
      <c r="AT242" s="213">
        <f t="shared" si="1927"/>
        <v>0</v>
      </c>
      <c r="AU242" s="213">
        <f t="shared" si="1927"/>
        <v>0</v>
      </c>
      <c r="AV242" s="213">
        <f>+AV239+AV241</f>
        <v>0</v>
      </c>
      <c r="AW242" s="213">
        <f t="shared" ref="AW242:BN242" si="1928">+AW239+AW241</f>
        <v>0</v>
      </c>
      <c r="AX242" s="213">
        <f t="shared" si="1928"/>
        <v>0</v>
      </c>
      <c r="AY242" s="213">
        <f t="shared" si="1928"/>
        <v>0</v>
      </c>
      <c r="AZ242" s="213">
        <f t="shared" si="1928"/>
        <v>0</v>
      </c>
      <c r="BA242" s="213">
        <f t="shared" si="1928"/>
        <v>0</v>
      </c>
      <c r="BB242" s="213">
        <f t="shared" si="1928"/>
        <v>0</v>
      </c>
      <c r="BC242" s="213">
        <f t="shared" si="1928"/>
        <v>0</v>
      </c>
      <c r="BD242" s="213">
        <f t="shared" si="1928"/>
        <v>0</v>
      </c>
      <c r="BE242" s="213">
        <f t="shared" si="1928"/>
        <v>0</v>
      </c>
      <c r="BF242" s="213">
        <f t="shared" si="1928"/>
        <v>0</v>
      </c>
      <c r="BG242" s="213">
        <f t="shared" si="1928"/>
        <v>0</v>
      </c>
      <c r="BH242" s="213">
        <f t="shared" si="1928"/>
        <v>0</v>
      </c>
      <c r="BI242" s="213">
        <f t="shared" si="1928"/>
        <v>0</v>
      </c>
      <c r="BJ242" s="213">
        <f t="shared" si="1928"/>
        <v>0</v>
      </c>
      <c r="BK242" s="213">
        <f t="shared" si="1928"/>
        <v>0</v>
      </c>
      <c r="BL242" s="213">
        <f t="shared" si="1928"/>
        <v>0</v>
      </c>
      <c r="BM242" s="213">
        <f t="shared" si="1928"/>
        <v>0</v>
      </c>
      <c r="BN242" s="213">
        <f t="shared" si="1928"/>
        <v>0</v>
      </c>
    </row>
    <row r="243" spans="3:66" x14ac:dyDescent="0.2">
      <c r="C243" s="321">
        <v>44440</v>
      </c>
      <c r="D243" s="20" t="s">
        <v>5</v>
      </c>
      <c r="E243" s="50">
        <f>SUM(F243:BN243)</f>
        <v>0</v>
      </c>
      <c r="F243" s="279">
        <f>IF(F$6=$C243,F$7,0)</f>
        <v>0</v>
      </c>
      <c r="G243" s="279">
        <f t="shared" ref="G243:BN243" si="1929">IF(G$6=$C243,G$7,0)</f>
        <v>0</v>
      </c>
      <c r="H243" s="279">
        <f t="shared" si="1929"/>
        <v>0</v>
      </c>
      <c r="I243" s="279">
        <f t="shared" si="1929"/>
        <v>0</v>
      </c>
      <c r="J243" s="279">
        <f t="shared" si="1929"/>
        <v>0</v>
      </c>
      <c r="K243" s="279">
        <f t="shared" si="1929"/>
        <v>0</v>
      </c>
      <c r="L243" s="279">
        <f t="shared" si="1929"/>
        <v>0</v>
      </c>
      <c r="M243" s="279">
        <f t="shared" si="1929"/>
        <v>0</v>
      </c>
      <c r="N243" s="279">
        <f t="shared" si="1929"/>
        <v>0</v>
      </c>
      <c r="O243" s="279">
        <f t="shared" si="1929"/>
        <v>0</v>
      </c>
      <c r="P243" s="279">
        <f t="shared" si="1929"/>
        <v>0</v>
      </c>
      <c r="Q243" s="279">
        <f t="shared" si="1929"/>
        <v>0</v>
      </c>
      <c r="R243" s="279">
        <f t="shared" si="1929"/>
        <v>0</v>
      </c>
      <c r="S243" s="279">
        <f t="shared" si="1929"/>
        <v>0</v>
      </c>
      <c r="T243" s="279">
        <f t="shared" si="1929"/>
        <v>0</v>
      </c>
      <c r="U243" s="279">
        <f t="shared" si="1929"/>
        <v>0</v>
      </c>
      <c r="V243" s="279">
        <f t="shared" si="1929"/>
        <v>0</v>
      </c>
      <c r="W243" s="279">
        <f t="shared" si="1929"/>
        <v>0</v>
      </c>
      <c r="X243" s="279">
        <f t="shared" si="1929"/>
        <v>0</v>
      </c>
      <c r="Y243" s="279">
        <f t="shared" si="1929"/>
        <v>0</v>
      </c>
      <c r="Z243" s="279">
        <f t="shared" si="1929"/>
        <v>0</v>
      </c>
      <c r="AA243" s="279">
        <f t="shared" si="1929"/>
        <v>0</v>
      </c>
      <c r="AB243" s="279">
        <f t="shared" si="1929"/>
        <v>0</v>
      </c>
      <c r="AC243" s="279">
        <f t="shared" si="1929"/>
        <v>0</v>
      </c>
      <c r="AD243" s="279">
        <f t="shared" si="1929"/>
        <v>0</v>
      </c>
      <c r="AE243" s="279">
        <f t="shared" si="1929"/>
        <v>0</v>
      </c>
      <c r="AF243" s="279">
        <f t="shared" si="1929"/>
        <v>0</v>
      </c>
      <c r="AG243" s="279">
        <f t="shared" si="1929"/>
        <v>0</v>
      </c>
      <c r="AH243" s="279">
        <f t="shared" si="1929"/>
        <v>0</v>
      </c>
      <c r="AI243" s="279">
        <f t="shared" si="1929"/>
        <v>0</v>
      </c>
      <c r="AJ243" s="279">
        <f t="shared" si="1929"/>
        <v>0</v>
      </c>
      <c r="AK243" s="279">
        <f t="shared" si="1929"/>
        <v>0</v>
      </c>
      <c r="AL243" s="279">
        <f t="shared" si="1929"/>
        <v>0</v>
      </c>
      <c r="AM243" s="279">
        <f t="shared" si="1929"/>
        <v>0</v>
      </c>
      <c r="AN243" s="279">
        <f t="shared" si="1929"/>
        <v>0</v>
      </c>
      <c r="AO243" s="279">
        <f t="shared" si="1929"/>
        <v>0</v>
      </c>
      <c r="AP243" s="279">
        <f t="shared" si="1929"/>
        <v>0</v>
      </c>
      <c r="AQ243" s="279">
        <f t="shared" si="1929"/>
        <v>0</v>
      </c>
      <c r="AR243" s="279">
        <f t="shared" si="1929"/>
        <v>0</v>
      </c>
      <c r="AS243" s="279">
        <f t="shared" si="1929"/>
        <v>0</v>
      </c>
      <c r="AT243" s="279">
        <f t="shared" si="1929"/>
        <v>0</v>
      </c>
      <c r="AU243" s="279">
        <f t="shared" si="1929"/>
        <v>0</v>
      </c>
      <c r="AV243" s="279">
        <f t="shared" si="1929"/>
        <v>0</v>
      </c>
      <c r="AW243" s="279">
        <f t="shared" si="1929"/>
        <v>0</v>
      </c>
      <c r="AX243" s="279">
        <f t="shared" si="1929"/>
        <v>0</v>
      </c>
      <c r="AY243" s="279">
        <f t="shared" si="1929"/>
        <v>0</v>
      </c>
      <c r="AZ243" s="279">
        <f t="shared" si="1929"/>
        <v>0</v>
      </c>
      <c r="BA243" s="279">
        <f t="shared" si="1929"/>
        <v>0</v>
      </c>
      <c r="BB243" s="279">
        <f t="shared" si="1929"/>
        <v>0</v>
      </c>
      <c r="BC243" s="279">
        <f t="shared" si="1929"/>
        <v>0</v>
      </c>
      <c r="BD243" s="279">
        <f t="shared" si="1929"/>
        <v>0</v>
      </c>
      <c r="BE243" s="279">
        <f t="shared" si="1929"/>
        <v>0</v>
      </c>
      <c r="BF243" s="279">
        <f t="shared" si="1929"/>
        <v>0</v>
      </c>
      <c r="BG243" s="279">
        <f t="shared" si="1929"/>
        <v>0</v>
      </c>
      <c r="BH243" s="279">
        <f t="shared" si="1929"/>
        <v>0</v>
      </c>
      <c r="BI243" s="279">
        <f t="shared" si="1929"/>
        <v>0</v>
      </c>
      <c r="BJ243" s="279">
        <f t="shared" si="1929"/>
        <v>0</v>
      </c>
      <c r="BK243" s="279">
        <f t="shared" si="1929"/>
        <v>0</v>
      </c>
      <c r="BL243" s="279">
        <f t="shared" si="1929"/>
        <v>0</v>
      </c>
      <c r="BM243" s="279">
        <f t="shared" si="1929"/>
        <v>0</v>
      </c>
      <c r="BN243" s="279">
        <f t="shared" si="1929"/>
        <v>0</v>
      </c>
    </row>
    <row r="244" spans="3:66" x14ac:dyDescent="0.2">
      <c r="C244" s="322"/>
      <c r="D244" s="23" t="s">
        <v>7</v>
      </c>
      <c r="E244" s="91">
        <f>SUM(F244:BN244)</f>
        <v>14.640000000000011</v>
      </c>
      <c r="F244" s="28">
        <f>IF(F243="",VLOOKUP($C243,'CUSTOS REALIZADOS'!$A$11:$E$995,4),(VLOOKUP($C243,'CUSTOS REALIZADOS'!$A$11:$E$995,5)))</f>
        <v>0.24000000000000002</v>
      </c>
      <c r="G244" s="28">
        <f>IF(G243="",VLOOKUP($C243,'CUSTOS REALIZADOS'!$A$11:$E$995,4),(VLOOKUP($C243,'CUSTOS REALIZADOS'!$A$11:$E$995,5)))</f>
        <v>0.24000000000000002</v>
      </c>
      <c r="H244" s="28">
        <f>IF(H243="",VLOOKUP($C243,'CUSTOS REALIZADOS'!$A$11:$E$995,4),(VLOOKUP($C243,'CUSTOS REALIZADOS'!$A$11:$E$995,5)))</f>
        <v>0.24000000000000002</v>
      </c>
      <c r="I244" s="28">
        <f>IF(I243="",VLOOKUP($C243,'CUSTOS REALIZADOS'!$A$11:$E$995,4),(VLOOKUP($C243,'CUSTOS REALIZADOS'!$A$11:$E$995,5)))</f>
        <v>0.24000000000000002</v>
      </c>
      <c r="J244" s="28">
        <f>IF(J243="",VLOOKUP($C243,'CUSTOS REALIZADOS'!$A$11:$E$995,4),(VLOOKUP($C243,'CUSTOS REALIZADOS'!$A$11:$E$995,5)))</f>
        <v>0.24000000000000002</v>
      </c>
      <c r="K244" s="28">
        <f>IF(K243="",VLOOKUP($C243,'CUSTOS REALIZADOS'!$A$11:$E$995,4),(VLOOKUP($C243,'CUSTOS REALIZADOS'!$A$11:$E$995,5)))</f>
        <v>0.24000000000000002</v>
      </c>
      <c r="L244" s="28">
        <f>IF(L243="",VLOOKUP($C243,'CUSTOS REALIZADOS'!$A$11:$E$995,4),(VLOOKUP($C243,'CUSTOS REALIZADOS'!$A$11:$E$995,5)))</f>
        <v>0.24000000000000002</v>
      </c>
      <c r="M244" s="28">
        <f>IF(M243="",VLOOKUP($C243,'CUSTOS REALIZADOS'!$A$11:$E$995,4),(VLOOKUP($C243,'CUSTOS REALIZADOS'!$A$11:$E$995,5)))</f>
        <v>0.24000000000000002</v>
      </c>
      <c r="N244" s="28">
        <f>IF(N243="",VLOOKUP($C243,'CUSTOS REALIZADOS'!$A$11:$E$995,4),(VLOOKUP($C243,'CUSTOS REALIZADOS'!$A$11:$E$995,5)))</f>
        <v>0.24000000000000002</v>
      </c>
      <c r="O244" s="28">
        <f>IF(O243="",VLOOKUP($C243,'CUSTOS REALIZADOS'!$A$11:$E$995,4),(VLOOKUP($C243,'CUSTOS REALIZADOS'!$A$11:$E$995,5)))</f>
        <v>0.24000000000000002</v>
      </c>
      <c r="P244" s="28">
        <f>IF(P243="",VLOOKUP($C243,'CUSTOS REALIZADOS'!$A$11:$E$995,4),(VLOOKUP($C243,'CUSTOS REALIZADOS'!$A$11:$E$995,5)))</f>
        <v>0.24000000000000002</v>
      </c>
      <c r="Q244" s="28">
        <f>IF(Q243="",VLOOKUP($C243,'CUSTOS REALIZADOS'!$A$11:$E$995,4),(VLOOKUP($C243,'CUSTOS REALIZADOS'!$A$11:$E$995,5)))</f>
        <v>0.24000000000000002</v>
      </c>
      <c r="R244" s="28">
        <f>IF(R243="",VLOOKUP($C243,'CUSTOS REALIZADOS'!$A$11:$E$995,4),(VLOOKUP($C243,'CUSTOS REALIZADOS'!$A$11:$E$995,5)))</f>
        <v>0.24000000000000002</v>
      </c>
      <c r="S244" s="28">
        <f>IF(S243="",VLOOKUP($C243,'CUSTOS REALIZADOS'!$A$11:$E$995,4),(VLOOKUP($C243,'CUSTOS REALIZADOS'!$A$11:$E$995,5)))</f>
        <v>0.24000000000000002</v>
      </c>
      <c r="T244" s="28">
        <f>IF(T243="",VLOOKUP($C243,'CUSTOS REALIZADOS'!$A$11:$E$995,4),(VLOOKUP($C243,'CUSTOS REALIZADOS'!$A$11:$E$995,5)))</f>
        <v>0.24000000000000002</v>
      </c>
      <c r="U244" s="28">
        <f>IF(U243="",VLOOKUP($C243,'CUSTOS REALIZADOS'!$A$11:$E$995,4),(VLOOKUP($C243,'CUSTOS REALIZADOS'!$A$11:$E$995,5)))</f>
        <v>0.24000000000000002</v>
      </c>
      <c r="V244" s="28">
        <f>IF(V243="",VLOOKUP($C243,'CUSTOS REALIZADOS'!$A$11:$E$995,4),(VLOOKUP($C243,'CUSTOS REALIZADOS'!$A$11:$E$995,5)))</f>
        <v>0.24000000000000002</v>
      </c>
      <c r="W244" s="28">
        <f>IF(W243="",VLOOKUP($C243,'CUSTOS REALIZADOS'!$A$11:$E$995,4),(VLOOKUP($C243,'CUSTOS REALIZADOS'!$A$11:$E$995,5)))</f>
        <v>0.24000000000000002</v>
      </c>
      <c r="X244" s="28">
        <f>IF(X243="",VLOOKUP($C243,'CUSTOS REALIZADOS'!$A$11:$E$995,4),(VLOOKUP($C243,'CUSTOS REALIZADOS'!$A$11:$E$995,5)))</f>
        <v>0.24000000000000002</v>
      </c>
      <c r="Y244" s="28">
        <f>IF(Y243="",VLOOKUP($C243,'CUSTOS REALIZADOS'!$A$11:$E$995,4),(VLOOKUP($C243,'CUSTOS REALIZADOS'!$A$11:$E$995,5)))</f>
        <v>0.24000000000000002</v>
      </c>
      <c r="Z244" s="28">
        <f>IF(Z243="",VLOOKUP($C243,'CUSTOS REALIZADOS'!$A$11:$E$995,4),(VLOOKUP($C243,'CUSTOS REALIZADOS'!$A$11:$E$995,5)))</f>
        <v>0.24000000000000002</v>
      </c>
      <c r="AA244" s="28">
        <f>IF(AA243="",VLOOKUP($C243,'CUSTOS REALIZADOS'!$A$11:$E$995,4),(VLOOKUP($C243,'CUSTOS REALIZADOS'!$A$11:$E$995,5)))</f>
        <v>0.24000000000000002</v>
      </c>
      <c r="AB244" s="28">
        <f>IF(AB243="",VLOOKUP($C243,'CUSTOS REALIZADOS'!$A$11:$E$995,4),(VLOOKUP($C243,'CUSTOS REALIZADOS'!$A$11:$E$995,5)))</f>
        <v>0.24000000000000002</v>
      </c>
      <c r="AC244" s="28">
        <f>IF(AC243="",VLOOKUP($C243,'CUSTOS REALIZADOS'!$A$11:$E$995,4),(VLOOKUP($C243,'CUSTOS REALIZADOS'!$A$11:$E$995,5)))</f>
        <v>0.24000000000000002</v>
      </c>
      <c r="AD244" s="28">
        <f>IF(AD243="",VLOOKUP($C243,'CUSTOS REALIZADOS'!$A$11:$E$995,4),(VLOOKUP($C243,'CUSTOS REALIZADOS'!$A$11:$E$995,5)))</f>
        <v>0.24000000000000002</v>
      </c>
      <c r="AE244" s="28">
        <f>IF(AE243="",VLOOKUP($C243,'CUSTOS REALIZADOS'!$A$11:$E$995,4),(VLOOKUP($C243,'CUSTOS REALIZADOS'!$A$11:$E$995,5)))</f>
        <v>0.24000000000000002</v>
      </c>
      <c r="AF244" s="28">
        <f>IF(AF243="",VLOOKUP($C243,'CUSTOS REALIZADOS'!$A$11:$E$995,4),(VLOOKUP($C243,'CUSTOS REALIZADOS'!$A$11:$E$995,5)))</f>
        <v>0.24000000000000002</v>
      </c>
      <c r="AG244" s="28">
        <f>IF(AG243="",VLOOKUP($C243,'CUSTOS REALIZADOS'!$A$11:$E$995,4),(VLOOKUP($C243,'CUSTOS REALIZADOS'!$A$11:$E$995,5)))</f>
        <v>0.24000000000000002</v>
      </c>
      <c r="AH244" s="28">
        <f>IF(AH243="",VLOOKUP($C243,'CUSTOS REALIZADOS'!$A$11:$E$995,4),(VLOOKUP($C243,'CUSTOS REALIZADOS'!$A$11:$E$995,5)))</f>
        <v>0.24000000000000002</v>
      </c>
      <c r="AI244" s="28">
        <f>IF(AI243="",VLOOKUP($C243,'CUSTOS REALIZADOS'!$A$11:$E$995,4),(VLOOKUP($C243,'CUSTOS REALIZADOS'!$A$11:$E$995,5)))</f>
        <v>0.24000000000000002</v>
      </c>
      <c r="AJ244" s="28">
        <f>IF(AJ243="",VLOOKUP($C243,'CUSTOS REALIZADOS'!$A$11:$E$995,4),(VLOOKUP($C243,'CUSTOS REALIZADOS'!$A$11:$E$995,5)))</f>
        <v>0.24000000000000002</v>
      </c>
      <c r="AK244" s="28">
        <f>IF(AK243="",VLOOKUP($C243,'CUSTOS REALIZADOS'!$A$11:$E$995,4),(VLOOKUP($C243,'CUSTOS REALIZADOS'!$A$11:$E$995,5)))</f>
        <v>0.24000000000000002</v>
      </c>
      <c r="AL244" s="28">
        <f>IF(AL243="",VLOOKUP($C243,'CUSTOS REALIZADOS'!$A$11:$E$995,4),(VLOOKUP($C243,'CUSTOS REALIZADOS'!$A$11:$E$995,5)))</f>
        <v>0.24000000000000002</v>
      </c>
      <c r="AM244" s="28">
        <f>IF(AM243="",VLOOKUP($C243,'CUSTOS REALIZADOS'!$A$11:$E$995,4),(VLOOKUP($C243,'CUSTOS REALIZADOS'!$A$11:$E$995,5)))</f>
        <v>0.24000000000000002</v>
      </c>
      <c r="AN244" s="28">
        <f>IF(AN243="",VLOOKUP($C243,'CUSTOS REALIZADOS'!$A$11:$E$995,4),(VLOOKUP($C243,'CUSTOS REALIZADOS'!$A$11:$E$995,5)))</f>
        <v>0.24000000000000002</v>
      </c>
      <c r="AO244" s="28">
        <f>IF(AO243="",VLOOKUP($C243,'CUSTOS REALIZADOS'!$A$11:$E$995,4),(VLOOKUP($C243,'CUSTOS REALIZADOS'!$A$11:$E$995,5)))</f>
        <v>0.24000000000000002</v>
      </c>
      <c r="AP244" s="28">
        <f>IF(AP243="",VLOOKUP($C243,'CUSTOS REALIZADOS'!$A$11:$E$995,4),(VLOOKUP($C243,'CUSTOS REALIZADOS'!$A$11:$E$995,5)))</f>
        <v>0.24000000000000002</v>
      </c>
      <c r="AQ244" s="28">
        <f>IF(AQ243="",VLOOKUP($C243,'CUSTOS REALIZADOS'!$A$11:$E$995,4),(VLOOKUP($C243,'CUSTOS REALIZADOS'!$A$11:$E$995,5)))</f>
        <v>0.24000000000000002</v>
      </c>
      <c r="AR244" s="28">
        <f>IF(AR243="",VLOOKUP($C243,'CUSTOS REALIZADOS'!$A$11:$E$995,4),(VLOOKUP($C243,'CUSTOS REALIZADOS'!$A$11:$E$995,5)))</f>
        <v>0.24000000000000002</v>
      </c>
      <c r="AS244" s="28">
        <f>IF(AS243="",VLOOKUP($C243,'CUSTOS REALIZADOS'!$A$11:$E$995,4),(VLOOKUP($C243,'CUSTOS REALIZADOS'!$A$11:$E$995,5)))</f>
        <v>0.24000000000000002</v>
      </c>
      <c r="AT244" s="28">
        <f>IF(AT243="",VLOOKUP($C243,'CUSTOS REALIZADOS'!$A$11:$E$995,4),(VLOOKUP($C243,'CUSTOS REALIZADOS'!$A$11:$E$995,5)))</f>
        <v>0.24000000000000002</v>
      </c>
      <c r="AU244" s="28">
        <f>IF(AU243="",VLOOKUP($C243,'CUSTOS REALIZADOS'!$A$11:$E$995,4),(VLOOKUP($C243,'CUSTOS REALIZADOS'!$A$11:$E$995,5)))</f>
        <v>0.24000000000000002</v>
      </c>
      <c r="AV244" s="28">
        <f>IF(AV243="",VLOOKUP($C243,'CUSTOS REALIZADOS'!$A$11:$E$995,4),(VLOOKUP($C243,'CUSTOS REALIZADOS'!$A$11:$E$995,5)))</f>
        <v>0.24000000000000002</v>
      </c>
      <c r="AW244" s="28">
        <f>IF(AW243="",VLOOKUP($C243,'CUSTOS REALIZADOS'!$A$11:$E$995,4),(VLOOKUP($C243,'CUSTOS REALIZADOS'!$A$11:$E$995,5)))</f>
        <v>0.24000000000000002</v>
      </c>
      <c r="AX244" s="28">
        <f>IF(AX243="",VLOOKUP($C243,'CUSTOS REALIZADOS'!$A$11:$E$995,4),(VLOOKUP($C243,'CUSTOS REALIZADOS'!$A$11:$E$995,5)))</f>
        <v>0.24000000000000002</v>
      </c>
      <c r="AY244" s="28">
        <f>IF(AY243="",VLOOKUP($C243,'CUSTOS REALIZADOS'!$A$11:$E$995,4),(VLOOKUP($C243,'CUSTOS REALIZADOS'!$A$11:$E$995,5)))</f>
        <v>0.24000000000000002</v>
      </c>
      <c r="AZ244" s="28">
        <f>IF(AZ243="",VLOOKUP($C243,'CUSTOS REALIZADOS'!$A$11:$E$995,4),(VLOOKUP($C243,'CUSTOS REALIZADOS'!$A$11:$E$995,5)))</f>
        <v>0.24000000000000002</v>
      </c>
      <c r="BA244" s="28">
        <f>IF(BA243="",VLOOKUP($C243,'CUSTOS REALIZADOS'!$A$11:$E$995,4),(VLOOKUP($C243,'CUSTOS REALIZADOS'!$A$11:$E$995,5)))</f>
        <v>0.24000000000000002</v>
      </c>
      <c r="BB244" s="28">
        <f>IF(BB243="",VLOOKUP($C243,'CUSTOS REALIZADOS'!$A$11:$E$995,4),(VLOOKUP($C243,'CUSTOS REALIZADOS'!$A$11:$E$995,5)))</f>
        <v>0.24000000000000002</v>
      </c>
      <c r="BC244" s="28">
        <f>IF(BC243="",VLOOKUP($C243,'CUSTOS REALIZADOS'!$A$11:$E$995,4),(VLOOKUP($C243,'CUSTOS REALIZADOS'!$A$11:$E$995,5)))</f>
        <v>0.24000000000000002</v>
      </c>
      <c r="BD244" s="28">
        <f>IF(BD243="",VLOOKUP($C243,'CUSTOS REALIZADOS'!$A$11:$E$995,4),(VLOOKUP($C243,'CUSTOS REALIZADOS'!$A$11:$E$995,5)))</f>
        <v>0.24000000000000002</v>
      </c>
      <c r="BE244" s="28">
        <f>IF(BE243="",VLOOKUP($C243,'CUSTOS REALIZADOS'!$A$11:$E$995,4),(VLOOKUP($C243,'CUSTOS REALIZADOS'!$A$11:$E$995,5)))</f>
        <v>0.24000000000000002</v>
      </c>
      <c r="BF244" s="28">
        <f>IF(BF243="",VLOOKUP($C243,'CUSTOS REALIZADOS'!$A$11:$E$995,4),(VLOOKUP($C243,'CUSTOS REALIZADOS'!$A$11:$E$995,5)))</f>
        <v>0.24000000000000002</v>
      </c>
      <c r="BG244" s="28">
        <f>IF(BG243="",VLOOKUP($C243,'CUSTOS REALIZADOS'!$A$11:$E$995,4),(VLOOKUP($C243,'CUSTOS REALIZADOS'!$A$11:$E$995,5)))</f>
        <v>0.24000000000000002</v>
      </c>
      <c r="BH244" s="28">
        <f>IF(BH243="",VLOOKUP($C243,'CUSTOS REALIZADOS'!$A$11:$E$995,4),(VLOOKUP($C243,'CUSTOS REALIZADOS'!$A$11:$E$995,5)))</f>
        <v>0.24000000000000002</v>
      </c>
      <c r="BI244" s="28">
        <f>IF(BI243="",VLOOKUP($C243,'CUSTOS REALIZADOS'!$A$11:$E$995,4),(VLOOKUP($C243,'CUSTOS REALIZADOS'!$A$11:$E$995,5)))</f>
        <v>0.24000000000000002</v>
      </c>
      <c r="BJ244" s="28">
        <f>IF(BJ243="",VLOOKUP($C243,'CUSTOS REALIZADOS'!$A$11:$E$995,4),(VLOOKUP($C243,'CUSTOS REALIZADOS'!$A$11:$E$995,5)))</f>
        <v>0.24000000000000002</v>
      </c>
      <c r="BK244" s="28">
        <f>IF(BK243="",VLOOKUP($C243,'CUSTOS REALIZADOS'!$A$11:$E$995,4),(VLOOKUP($C243,'CUSTOS REALIZADOS'!$A$11:$E$995,5)))</f>
        <v>0.24000000000000002</v>
      </c>
      <c r="BL244" s="28">
        <f>IF(BL243="",VLOOKUP($C243,'CUSTOS REALIZADOS'!$A$11:$E$995,4),(VLOOKUP($C243,'CUSTOS REALIZADOS'!$A$11:$E$995,5)))</f>
        <v>0.24000000000000002</v>
      </c>
      <c r="BM244" s="28">
        <f>IF(BM243="",VLOOKUP($C243,'CUSTOS REALIZADOS'!$A$11:$E$995,4),(VLOOKUP($C243,'CUSTOS REALIZADOS'!$A$11:$E$995,5)))</f>
        <v>0.24000000000000002</v>
      </c>
      <c r="BN244" s="28">
        <f>IF(BN243="",VLOOKUP($C243,'CUSTOS REALIZADOS'!$A$11:$E$995,4),(VLOOKUP($C243,'CUSTOS REALIZADOS'!$A$11:$E$995,5)))</f>
        <v>0.24000000000000002</v>
      </c>
    </row>
    <row r="245" spans="3:66" x14ac:dyDescent="0.2">
      <c r="C245" s="322"/>
      <c r="D245" s="23" t="s">
        <v>6</v>
      </c>
      <c r="E245" s="27">
        <f>SUM(F245:BN245)</f>
        <v>95000</v>
      </c>
      <c r="F245" s="23">
        <f>IF(AND($C243&gt;=F$6,OR($C243&lt;F$8,F$8="")),F$7*F$28,0)</f>
        <v>0</v>
      </c>
      <c r="G245" s="23">
        <f t="shared" ref="G245:BN245" si="1930">IF(AND($C243&gt;=G$6,OR($C243&lt;G$8,G$8="")),G$7*G$28,0)</f>
        <v>45000</v>
      </c>
      <c r="H245" s="23">
        <f t="shared" si="1930"/>
        <v>50000</v>
      </c>
      <c r="I245" s="23">
        <f t="shared" si="1930"/>
        <v>0</v>
      </c>
      <c r="J245" s="23">
        <f t="shared" si="1930"/>
        <v>0</v>
      </c>
      <c r="K245" s="23">
        <f t="shared" si="1930"/>
        <v>0</v>
      </c>
      <c r="L245" s="23">
        <f t="shared" si="1930"/>
        <v>0</v>
      </c>
      <c r="M245" s="23">
        <f t="shared" si="1930"/>
        <v>0</v>
      </c>
      <c r="N245" s="23">
        <f t="shared" si="1930"/>
        <v>0</v>
      </c>
      <c r="O245" s="23">
        <f t="shared" si="1930"/>
        <v>0</v>
      </c>
      <c r="P245" s="23">
        <f t="shared" si="1930"/>
        <v>0</v>
      </c>
      <c r="Q245" s="23">
        <f t="shared" si="1930"/>
        <v>0</v>
      </c>
      <c r="R245" s="23">
        <f t="shared" si="1930"/>
        <v>0</v>
      </c>
      <c r="S245" s="23">
        <f t="shared" si="1930"/>
        <v>0</v>
      </c>
      <c r="T245" s="23">
        <f t="shared" si="1930"/>
        <v>0</v>
      </c>
      <c r="U245" s="23">
        <f t="shared" si="1930"/>
        <v>0</v>
      </c>
      <c r="V245" s="23">
        <f t="shared" si="1930"/>
        <v>0</v>
      </c>
      <c r="W245" s="23">
        <f t="shared" si="1930"/>
        <v>0</v>
      </c>
      <c r="X245" s="23">
        <f t="shared" si="1930"/>
        <v>0</v>
      </c>
      <c r="Y245" s="23">
        <f t="shared" si="1930"/>
        <v>0</v>
      </c>
      <c r="Z245" s="23">
        <f t="shared" si="1930"/>
        <v>0</v>
      </c>
      <c r="AA245" s="23">
        <f t="shared" si="1930"/>
        <v>0</v>
      </c>
      <c r="AB245" s="23">
        <f t="shared" si="1930"/>
        <v>0</v>
      </c>
      <c r="AC245" s="23">
        <f t="shared" si="1930"/>
        <v>0</v>
      </c>
      <c r="AD245" s="23">
        <f t="shared" si="1930"/>
        <v>0</v>
      </c>
      <c r="AE245" s="23">
        <f t="shared" si="1930"/>
        <v>0</v>
      </c>
      <c r="AF245" s="23">
        <f t="shared" si="1930"/>
        <v>0</v>
      </c>
      <c r="AG245" s="23">
        <f t="shared" si="1930"/>
        <v>0</v>
      </c>
      <c r="AH245" s="23">
        <f t="shared" si="1930"/>
        <v>0</v>
      </c>
      <c r="AI245" s="23">
        <f t="shared" si="1930"/>
        <v>0</v>
      </c>
      <c r="AJ245" s="23">
        <f t="shared" si="1930"/>
        <v>0</v>
      </c>
      <c r="AK245" s="23">
        <f t="shared" si="1930"/>
        <v>0</v>
      </c>
      <c r="AL245" s="23">
        <f t="shared" si="1930"/>
        <v>0</v>
      </c>
      <c r="AM245" s="23">
        <f t="shared" si="1930"/>
        <v>0</v>
      </c>
      <c r="AN245" s="23">
        <f t="shared" si="1930"/>
        <v>0</v>
      </c>
      <c r="AO245" s="23">
        <f t="shared" si="1930"/>
        <v>0</v>
      </c>
      <c r="AP245" s="23">
        <f t="shared" si="1930"/>
        <v>0</v>
      </c>
      <c r="AQ245" s="23">
        <f t="shared" si="1930"/>
        <v>0</v>
      </c>
      <c r="AR245" s="23">
        <f t="shared" si="1930"/>
        <v>0</v>
      </c>
      <c r="AS245" s="23">
        <f t="shared" si="1930"/>
        <v>0</v>
      </c>
      <c r="AT245" s="23">
        <f t="shared" si="1930"/>
        <v>0</v>
      </c>
      <c r="AU245" s="23">
        <f t="shared" si="1930"/>
        <v>0</v>
      </c>
      <c r="AV245" s="23">
        <f t="shared" si="1930"/>
        <v>0</v>
      </c>
      <c r="AW245" s="23">
        <f t="shared" si="1930"/>
        <v>0</v>
      </c>
      <c r="AX245" s="23">
        <f t="shared" si="1930"/>
        <v>0</v>
      </c>
      <c r="AY245" s="23">
        <f t="shared" si="1930"/>
        <v>0</v>
      </c>
      <c r="AZ245" s="23">
        <f t="shared" si="1930"/>
        <v>0</v>
      </c>
      <c r="BA245" s="23">
        <f t="shared" si="1930"/>
        <v>0</v>
      </c>
      <c r="BB245" s="23">
        <f t="shared" si="1930"/>
        <v>0</v>
      </c>
      <c r="BC245" s="23">
        <f t="shared" si="1930"/>
        <v>0</v>
      </c>
      <c r="BD245" s="23">
        <f t="shared" si="1930"/>
        <v>0</v>
      </c>
      <c r="BE245" s="23">
        <f t="shared" si="1930"/>
        <v>0</v>
      </c>
      <c r="BF245" s="23">
        <f t="shared" si="1930"/>
        <v>0</v>
      </c>
      <c r="BG245" s="23">
        <f t="shared" si="1930"/>
        <v>0</v>
      </c>
      <c r="BH245" s="23">
        <f t="shared" si="1930"/>
        <v>0</v>
      </c>
      <c r="BI245" s="23">
        <f t="shared" si="1930"/>
        <v>0</v>
      </c>
      <c r="BJ245" s="23">
        <f t="shared" si="1930"/>
        <v>0</v>
      </c>
      <c r="BK245" s="23">
        <f t="shared" si="1930"/>
        <v>0</v>
      </c>
      <c r="BL245" s="23">
        <f t="shared" si="1930"/>
        <v>0</v>
      </c>
      <c r="BM245" s="23">
        <f t="shared" si="1930"/>
        <v>0</v>
      </c>
      <c r="BN245" s="23">
        <f t="shared" si="1930"/>
        <v>0</v>
      </c>
    </row>
    <row r="246" spans="3:66" x14ac:dyDescent="0.2">
      <c r="C246" s="322"/>
      <c r="D246" s="23" t="s">
        <v>9</v>
      </c>
      <c r="E246" s="225">
        <f>SUM(F246:BN246)</f>
        <v>0</v>
      </c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2"/>
    </row>
    <row r="247" spans="3:66" x14ac:dyDescent="0.2">
      <c r="C247" s="322"/>
      <c r="D247" s="23" t="s">
        <v>14</v>
      </c>
      <c r="E247" s="27">
        <f>SUM(F247:AY247)</f>
        <v>1042843.9468791925</v>
      </c>
      <c r="F247" s="23">
        <f>IF(F242=0,F243-F246,F242-F246)</f>
        <v>-182.9871814141415</v>
      </c>
      <c r="G247" s="23">
        <f t="shared" ref="G247" si="1931">IF(G242=0,G243-G246,G242-G246)</f>
        <v>494065.38981818222</v>
      </c>
      <c r="H247" s="23">
        <f t="shared" ref="H247" si="1932">IF(H242=0,H243-H246,H242-H246)</f>
        <v>548961.54424242442</v>
      </c>
      <c r="I247" s="23">
        <f t="shared" ref="I247" si="1933">IF(I242=0,I243-I246,I242-I246)</f>
        <v>0</v>
      </c>
      <c r="J247" s="23">
        <f t="shared" ref="J247" si="1934">IF(J242=0,J243-J246,J242-J246)</f>
        <v>0</v>
      </c>
      <c r="K247" s="23">
        <f t="shared" ref="K247" si="1935">IF(K242=0,K243-K246,K242-K246)</f>
        <v>0</v>
      </c>
      <c r="L247" s="23">
        <f t="shared" ref="L247" si="1936">IF(L242=0,L243-L246,L242-L246)</f>
        <v>0</v>
      </c>
      <c r="M247" s="23">
        <f t="shared" ref="M247" si="1937">IF(M242=0,M243-M246,M242-M246)</f>
        <v>0</v>
      </c>
      <c r="N247" s="23">
        <f t="shared" ref="N247" si="1938">IF(N242=0,N243-N246,N242-N246)</f>
        <v>0</v>
      </c>
      <c r="O247" s="23">
        <f t="shared" ref="O247" si="1939">IF(O242=0,O243-O246,O242-O246)</f>
        <v>0</v>
      </c>
      <c r="P247" s="23">
        <f t="shared" ref="P247" si="1940">IF(P242=0,P243-P246,P242-P246)</f>
        <v>0</v>
      </c>
      <c r="Q247" s="23">
        <f t="shared" ref="Q247" si="1941">IF(Q242=0,Q243-Q246,Q242-Q246)</f>
        <v>0</v>
      </c>
      <c r="R247" s="23">
        <f t="shared" ref="R247" si="1942">IF(R242=0,R243-R246,R242-R246)</f>
        <v>0</v>
      </c>
      <c r="S247" s="23">
        <f t="shared" ref="S247" si="1943">IF(S242=0,S243-S246,S242-S246)</f>
        <v>0</v>
      </c>
      <c r="T247" s="23">
        <f t="shared" ref="T247" si="1944">IF(T242=0,T243-T246,T242-T246)</f>
        <v>0</v>
      </c>
      <c r="U247" s="23">
        <f t="shared" ref="U247" si="1945">IF(U242=0,U243-U246,U242-U246)</f>
        <v>0</v>
      </c>
      <c r="V247" s="23">
        <f t="shared" ref="V247" si="1946">IF(V242=0,V243-V246,V242-V246)</f>
        <v>0</v>
      </c>
      <c r="W247" s="23">
        <f t="shared" ref="W247" si="1947">IF(W242=0,W243-W246,W242-W246)</f>
        <v>0</v>
      </c>
      <c r="X247" s="23">
        <f t="shared" ref="X247" si="1948">IF(X242=0,X243-X246,X242-X246)</f>
        <v>0</v>
      </c>
      <c r="Y247" s="23">
        <f t="shared" ref="Y247" si="1949">IF(Y242=0,Y243-Y246,Y242-Y246)</f>
        <v>0</v>
      </c>
      <c r="Z247" s="23">
        <f t="shared" ref="Z247" si="1950">IF(Z242=0,Z243-Z246,Z242-Z246)</f>
        <v>0</v>
      </c>
      <c r="AA247" s="23">
        <f t="shared" ref="AA247" si="1951">IF(AA242=0,AA243-AA246,AA242-AA246)</f>
        <v>0</v>
      </c>
      <c r="AB247" s="23">
        <f t="shared" ref="AB247" si="1952">IF(AB242=0,AB243-AB246,AB242-AB246)</f>
        <v>0</v>
      </c>
      <c r="AC247" s="23">
        <f t="shared" ref="AC247" si="1953">IF(AC242=0,AC243-AC246,AC242-AC246)</f>
        <v>0</v>
      </c>
      <c r="AD247" s="23">
        <f t="shared" ref="AD247" si="1954">IF(AD242=0,AD243-AD246,AD242-AD246)</f>
        <v>0</v>
      </c>
      <c r="AE247" s="23">
        <f t="shared" ref="AE247" si="1955">IF(AE242=0,AE243-AE246,AE242-AE246)</f>
        <v>0</v>
      </c>
      <c r="AF247" s="23">
        <f t="shared" ref="AF247" si="1956">IF(AF242=0,AF243-AF246,AF242-AF246)</f>
        <v>0</v>
      </c>
      <c r="AG247" s="23">
        <f t="shared" ref="AG247" si="1957">IF(AG242=0,AG243-AG246,AG242-AG246)</f>
        <v>0</v>
      </c>
      <c r="AH247" s="23">
        <f t="shared" ref="AH247" si="1958">IF(AH242=0,AH243-AH246,AH242-AH246)</f>
        <v>0</v>
      </c>
      <c r="AI247" s="23">
        <f t="shared" ref="AI247" si="1959">IF(AI242=0,AI243-AI246,AI242-AI246)</f>
        <v>0</v>
      </c>
      <c r="AJ247" s="23">
        <f t="shared" ref="AJ247" si="1960">IF(AJ242=0,AJ243-AJ246,AJ242-AJ246)</f>
        <v>0</v>
      </c>
      <c r="AK247" s="23">
        <f t="shared" ref="AK247" si="1961">IF(AK242=0,AK243-AK246,AK242-AK246)</f>
        <v>0</v>
      </c>
      <c r="AL247" s="23">
        <f t="shared" ref="AL247" si="1962">IF(AL242=0,AL243-AL246,AL242-AL246)</f>
        <v>0</v>
      </c>
      <c r="AM247" s="23">
        <f t="shared" ref="AM247" si="1963">IF(AM242=0,AM243-AM246,AM242-AM246)</f>
        <v>0</v>
      </c>
      <c r="AN247" s="23">
        <f t="shared" ref="AN247" si="1964">IF(AN242=0,AN243-AN246,AN242-AN246)</f>
        <v>0</v>
      </c>
      <c r="AO247" s="23">
        <f t="shared" ref="AO247" si="1965">IF(AO242=0,AO243-AO246,AO242-AO246)</f>
        <v>0</v>
      </c>
      <c r="AP247" s="23">
        <f t="shared" ref="AP247" si="1966">IF(AP242=0,AP243-AP246,AP242-AP246)</f>
        <v>0</v>
      </c>
      <c r="AQ247" s="23">
        <f t="shared" ref="AQ247" si="1967">IF(AQ242=0,AQ243-AQ246,AQ242-AQ246)</f>
        <v>0</v>
      </c>
      <c r="AR247" s="23">
        <f t="shared" ref="AR247" si="1968">IF(AR242=0,AR243-AR246,AR242-AR246)</f>
        <v>0</v>
      </c>
      <c r="AS247" s="23">
        <f t="shared" ref="AS247" si="1969">IF(AS242=0,AS243-AS246,AS242-AS246)</f>
        <v>0</v>
      </c>
      <c r="AT247" s="23">
        <f t="shared" ref="AT247" si="1970">IF(AT242=0,AT243-AT246,AT242-AT246)</f>
        <v>0</v>
      </c>
      <c r="AU247" s="23">
        <f t="shared" ref="AU247" si="1971">IF(AU242=0,AU243-AU246,AU242-AU246)</f>
        <v>0</v>
      </c>
      <c r="AV247" s="23">
        <f t="shared" ref="AV247" si="1972">IF(AV242=0,AV243-AV246,AV242-AV246)</f>
        <v>0</v>
      </c>
      <c r="AW247" s="23">
        <f t="shared" ref="AW247" si="1973">IF(AW242=0,AW243-AW246,AW242-AW246)</f>
        <v>0</v>
      </c>
      <c r="AX247" s="23">
        <f t="shared" ref="AX247" si="1974">IF(AX242=0,AX243-AX246,AX242-AX246)</f>
        <v>0</v>
      </c>
      <c r="AY247" s="23">
        <f t="shared" ref="AY247" si="1975">IF(AY242=0,AY243-AY246,AY242-AY246)</f>
        <v>0</v>
      </c>
      <c r="AZ247" s="23">
        <f t="shared" ref="AZ247" si="1976">IF(AZ242=0,AZ243-AZ246,AZ242-AZ246)</f>
        <v>0</v>
      </c>
      <c r="BA247" s="23">
        <f t="shared" ref="BA247" si="1977">IF(BA242=0,BA243-BA246,BA242-BA246)</f>
        <v>0</v>
      </c>
      <c r="BB247" s="23">
        <f t="shared" ref="BB247" si="1978">IF(BB242=0,BB243-BB246,BB242-BB246)</f>
        <v>0</v>
      </c>
      <c r="BC247" s="23">
        <f t="shared" ref="BC247" si="1979">IF(BC242=0,BC243-BC246,BC242-BC246)</f>
        <v>0</v>
      </c>
      <c r="BD247" s="23">
        <f t="shared" ref="BD247" si="1980">IF(BD242=0,BD243-BD246,BD242-BD246)</f>
        <v>0</v>
      </c>
      <c r="BE247" s="23">
        <f t="shared" ref="BE247" si="1981">IF(BE242=0,BE243-BE246,BE242-BE246)</f>
        <v>0</v>
      </c>
      <c r="BF247" s="23">
        <f t="shared" ref="BF247" si="1982">IF(BF242=0,BF243-BF246,BF242-BF246)</f>
        <v>0</v>
      </c>
      <c r="BG247" s="23">
        <f t="shared" ref="BG247" si="1983">IF(BG242=0,BG243-BG246,BG242-BG246)</f>
        <v>0</v>
      </c>
      <c r="BH247" s="23">
        <f t="shared" ref="BH247" si="1984">IF(BH242=0,BH243-BH246,BH242-BH246)</f>
        <v>0</v>
      </c>
      <c r="BI247" s="23">
        <f t="shared" ref="BI247" si="1985">IF(BI242=0,BI243-BI246,BI242-BI246)</f>
        <v>0</v>
      </c>
      <c r="BJ247" s="23">
        <f t="shared" ref="BJ247" si="1986">IF(BJ242=0,BJ243-BJ246,BJ242-BJ246)</f>
        <v>0</v>
      </c>
      <c r="BK247" s="23">
        <f t="shared" ref="BK247" si="1987">IF(BK242=0,BK243-BK246,BK242-BK246)</f>
        <v>0</v>
      </c>
      <c r="BL247" s="23">
        <f t="shared" ref="BL247" si="1988">IF(BL242=0,BL243-BL246,BL242-BL246)</f>
        <v>0</v>
      </c>
      <c r="BM247" s="23">
        <f t="shared" ref="BM247" si="1989">IF(BM242=0,BM243-BM246,BM242-BM246)</f>
        <v>0</v>
      </c>
      <c r="BN247" s="23">
        <f t="shared" ref="BN247" si="1990">IF(BN242=0,BN243-BN246,BN242-BN246)</f>
        <v>0</v>
      </c>
    </row>
    <row r="248" spans="3:66" x14ac:dyDescent="0.2">
      <c r="C248" s="322"/>
      <c r="D248" s="23" t="s">
        <v>10</v>
      </c>
      <c r="E248" s="72">
        <v>8.5000000000000006E-3</v>
      </c>
      <c r="F248" s="54">
        <f>E248</f>
        <v>8.5000000000000006E-3</v>
      </c>
      <c r="G248" s="54">
        <f>F248</f>
        <v>8.5000000000000006E-3</v>
      </c>
      <c r="H248" s="54">
        <f>F248</f>
        <v>8.5000000000000006E-3</v>
      </c>
      <c r="I248" s="54">
        <f t="shared" ref="I248:BN248" si="1991">H248</f>
        <v>8.5000000000000006E-3</v>
      </c>
      <c r="J248" s="54">
        <f t="shared" si="1991"/>
        <v>8.5000000000000006E-3</v>
      </c>
      <c r="K248" s="54">
        <f t="shared" si="1991"/>
        <v>8.5000000000000006E-3</v>
      </c>
      <c r="L248" s="54">
        <f t="shared" si="1991"/>
        <v>8.5000000000000006E-3</v>
      </c>
      <c r="M248" s="54">
        <f t="shared" si="1991"/>
        <v>8.5000000000000006E-3</v>
      </c>
      <c r="N248" s="54">
        <f t="shared" si="1991"/>
        <v>8.5000000000000006E-3</v>
      </c>
      <c r="O248" s="54">
        <f t="shared" si="1991"/>
        <v>8.5000000000000006E-3</v>
      </c>
      <c r="P248" s="54">
        <f t="shared" si="1991"/>
        <v>8.5000000000000006E-3</v>
      </c>
      <c r="Q248" s="54">
        <f t="shared" si="1991"/>
        <v>8.5000000000000006E-3</v>
      </c>
      <c r="R248" s="54">
        <f t="shared" si="1991"/>
        <v>8.5000000000000006E-3</v>
      </c>
      <c r="S248" s="54">
        <f t="shared" si="1991"/>
        <v>8.5000000000000006E-3</v>
      </c>
      <c r="T248" s="54">
        <f t="shared" si="1991"/>
        <v>8.5000000000000006E-3</v>
      </c>
      <c r="U248" s="54">
        <f t="shared" si="1991"/>
        <v>8.5000000000000006E-3</v>
      </c>
      <c r="V248" s="54">
        <f t="shared" si="1991"/>
        <v>8.5000000000000006E-3</v>
      </c>
      <c r="W248" s="54">
        <f t="shared" si="1991"/>
        <v>8.5000000000000006E-3</v>
      </c>
      <c r="X248" s="54">
        <f t="shared" si="1991"/>
        <v>8.5000000000000006E-3</v>
      </c>
      <c r="Y248" s="54">
        <f t="shared" si="1991"/>
        <v>8.5000000000000006E-3</v>
      </c>
      <c r="Z248" s="54">
        <f t="shared" si="1991"/>
        <v>8.5000000000000006E-3</v>
      </c>
      <c r="AA248" s="54">
        <f t="shared" si="1991"/>
        <v>8.5000000000000006E-3</v>
      </c>
      <c r="AB248" s="54">
        <f t="shared" si="1991"/>
        <v>8.5000000000000006E-3</v>
      </c>
      <c r="AC248" s="54">
        <f t="shared" si="1991"/>
        <v>8.5000000000000006E-3</v>
      </c>
      <c r="AD248" s="54">
        <f t="shared" si="1991"/>
        <v>8.5000000000000006E-3</v>
      </c>
      <c r="AE248" s="54">
        <f t="shared" si="1991"/>
        <v>8.5000000000000006E-3</v>
      </c>
      <c r="AF248" s="54">
        <f t="shared" si="1991"/>
        <v>8.5000000000000006E-3</v>
      </c>
      <c r="AG248" s="54">
        <f t="shared" si="1991"/>
        <v>8.5000000000000006E-3</v>
      </c>
      <c r="AH248" s="54">
        <f t="shared" si="1991"/>
        <v>8.5000000000000006E-3</v>
      </c>
      <c r="AI248" s="54">
        <f t="shared" si="1991"/>
        <v>8.5000000000000006E-3</v>
      </c>
      <c r="AJ248" s="54">
        <f t="shared" si="1991"/>
        <v>8.5000000000000006E-3</v>
      </c>
      <c r="AK248" s="54">
        <f t="shared" si="1991"/>
        <v>8.5000000000000006E-3</v>
      </c>
      <c r="AL248" s="54">
        <f t="shared" si="1991"/>
        <v>8.5000000000000006E-3</v>
      </c>
      <c r="AM248" s="54">
        <f t="shared" si="1991"/>
        <v>8.5000000000000006E-3</v>
      </c>
      <c r="AN248" s="54">
        <f t="shared" si="1991"/>
        <v>8.5000000000000006E-3</v>
      </c>
      <c r="AO248" s="54">
        <f t="shared" si="1991"/>
        <v>8.5000000000000006E-3</v>
      </c>
      <c r="AP248" s="54">
        <f t="shared" si="1991"/>
        <v>8.5000000000000006E-3</v>
      </c>
      <c r="AQ248" s="54">
        <f t="shared" si="1991"/>
        <v>8.5000000000000006E-3</v>
      </c>
      <c r="AR248" s="54">
        <f t="shared" si="1991"/>
        <v>8.5000000000000006E-3</v>
      </c>
      <c r="AS248" s="54">
        <f t="shared" si="1991"/>
        <v>8.5000000000000006E-3</v>
      </c>
      <c r="AT248" s="54">
        <f t="shared" si="1991"/>
        <v>8.5000000000000006E-3</v>
      </c>
      <c r="AU248" s="54">
        <f t="shared" si="1991"/>
        <v>8.5000000000000006E-3</v>
      </c>
      <c r="AV248" s="54">
        <f t="shared" si="1991"/>
        <v>8.5000000000000006E-3</v>
      </c>
      <c r="AW248" s="54">
        <f t="shared" si="1991"/>
        <v>8.5000000000000006E-3</v>
      </c>
      <c r="AX248" s="54">
        <f t="shared" si="1991"/>
        <v>8.5000000000000006E-3</v>
      </c>
      <c r="AY248" s="54">
        <f t="shared" si="1991"/>
        <v>8.5000000000000006E-3</v>
      </c>
      <c r="AZ248" s="54">
        <f t="shared" si="1991"/>
        <v>8.5000000000000006E-3</v>
      </c>
      <c r="BA248" s="54">
        <f t="shared" si="1991"/>
        <v>8.5000000000000006E-3</v>
      </c>
      <c r="BB248" s="54">
        <f t="shared" si="1991"/>
        <v>8.5000000000000006E-3</v>
      </c>
      <c r="BC248" s="54">
        <f t="shared" si="1991"/>
        <v>8.5000000000000006E-3</v>
      </c>
      <c r="BD248" s="54">
        <f t="shared" si="1991"/>
        <v>8.5000000000000006E-3</v>
      </c>
      <c r="BE248" s="54">
        <f t="shared" si="1991"/>
        <v>8.5000000000000006E-3</v>
      </c>
      <c r="BF248" s="54">
        <f t="shared" si="1991"/>
        <v>8.5000000000000006E-3</v>
      </c>
      <c r="BG248" s="54">
        <f t="shared" si="1991"/>
        <v>8.5000000000000006E-3</v>
      </c>
      <c r="BH248" s="54">
        <f t="shared" si="1991"/>
        <v>8.5000000000000006E-3</v>
      </c>
      <c r="BI248" s="54">
        <f t="shared" si="1991"/>
        <v>8.5000000000000006E-3</v>
      </c>
      <c r="BJ248" s="54">
        <f t="shared" si="1991"/>
        <v>8.5000000000000006E-3</v>
      </c>
      <c r="BK248" s="54">
        <f t="shared" si="1991"/>
        <v>8.5000000000000006E-3</v>
      </c>
      <c r="BL248" s="54">
        <f t="shared" si="1991"/>
        <v>8.5000000000000006E-3</v>
      </c>
      <c r="BM248" s="54">
        <f t="shared" si="1991"/>
        <v>8.5000000000000006E-3</v>
      </c>
      <c r="BN248" s="54">
        <f t="shared" si="1991"/>
        <v>8.5000000000000006E-3</v>
      </c>
    </row>
    <row r="249" spans="3:66" x14ac:dyDescent="0.2">
      <c r="C249" s="322"/>
      <c r="D249" s="23" t="s">
        <v>12</v>
      </c>
      <c r="E249" s="27">
        <f>SUM(F249:AY249)</f>
        <v>8864.1735484731362</v>
      </c>
      <c r="F249" s="29">
        <f>+F247*F248</f>
        <v>-1.5553910420202028</v>
      </c>
      <c r="G249" s="29">
        <f>+G247*G248</f>
        <v>4199.555813454549</v>
      </c>
      <c r="H249" s="29">
        <f>+H247*H248</f>
        <v>4666.1731260606075</v>
      </c>
      <c r="I249" s="29">
        <f t="shared" ref="I249:O249" si="1992">+I247*I248</f>
        <v>0</v>
      </c>
      <c r="J249" s="29">
        <f t="shared" si="1992"/>
        <v>0</v>
      </c>
      <c r="K249" s="29">
        <f t="shared" si="1992"/>
        <v>0</v>
      </c>
      <c r="L249" s="29">
        <f t="shared" si="1992"/>
        <v>0</v>
      </c>
      <c r="M249" s="29">
        <f t="shared" si="1992"/>
        <v>0</v>
      </c>
      <c r="N249" s="29">
        <f t="shared" si="1992"/>
        <v>0</v>
      </c>
      <c r="O249" s="29">
        <f t="shared" si="1992"/>
        <v>0</v>
      </c>
      <c r="P249" s="29">
        <f>+P247*P248</f>
        <v>0</v>
      </c>
      <c r="Q249" s="29">
        <f t="shared" ref="Q249" si="1993">+Q247*Q248</f>
        <v>0</v>
      </c>
      <c r="R249" s="29">
        <f>+R247*R248</f>
        <v>0</v>
      </c>
      <c r="S249" s="29">
        <f>+S247*S248</f>
        <v>0</v>
      </c>
      <c r="T249" s="29">
        <f t="shared" ref="T249" si="1994">+T247*T248</f>
        <v>0</v>
      </c>
      <c r="U249" s="29">
        <f>+U247*U248</f>
        <v>0</v>
      </c>
      <c r="V249" s="29">
        <f t="shared" ref="V249:X249" si="1995">+V247*V248</f>
        <v>0</v>
      </c>
      <c r="W249" s="29">
        <f t="shared" si="1995"/>
        <v>0</v>
      </c>
      <c r="X249" s="29">
        <f t="shared" si="1995"/>
        <v>0</v>
      </c>
      <c r="Y249" s="29">
        <v>0</v>
      </c>
      <c r="Z249" s="29">
        <f>+Z247*Z248</f>
        <v>0</v>
      </c>
      <c r="AA249" s="29">
        <f>+AA247*AA248</f>
        <v>0</v>
      </c>
      <c r="AB249" s="29">
        <f t="shared" ref="AB249:AD249" si="1996">+AB247*AB248</f>
        <v>0</v>
      </c>
      <c r="AC249" s="29">
        <f t="shared" si="1996"/>
        <v>0</v>
      </c>
      <c r="AD249" s="29">
        <f t="shared" si="1996"/>
        <v>0</v>
      </c>
      <c r="AE249" s="29">
        <v>0</v>
      </c>
      <c r="AF249" s="29">
        <f>+AF247*AF248</f>
        <v>0</v>
      </c>
      <c r="AG249" s="29">
        <f t="shared" ref="AG249:AP249" si="1997">+AG247*AG248</f>
        <v>0</v>
      </c>
      <c r="AH249" s="29">
        <f t="shared" si="1997"/>
        <v>0</v>
      </c>
      <c r="AI249" s="29">
        <f t="shared" si="1997"/>
        <v>0</v>
      </c>
      <c r="AJ249" s="29">
        <f t="shared" si="1997"/>
        <v>0</v>
      </c>
      <c r="AK249" s="29">
        <f t="shared" si="1997"/>
        <v>0</v>
      </c>
      <c r="AL249" s="29">
        <f t="shared" si="1997"/>
        <v>0</v>
      </c>
      <c r="AM249" s="29">
        <f t="shared" si="1997"/>
        <v>0</v>
      </c>
      <c r="AN249" s="29">
        <f t="shared" si="1997"/>
        <v>0</v>
      </c>
      <c r="AO249" s="29">
        <f t="shared" si="1997"/>
        <v>0</v>
      </c>
      <c r="AP249" s="29">
        <f t="shared" si="1997"/>
        <v>0</v>
      </c>
      <c r="AQ249" s="29">
        <f>+AQ247*AQ248</f>
        <v>0</v>
      </c>
      <c r="AR249" s="29">
        <v>0</v>
      </c>
      <c r="AS249" s="29">
        <f t="shared" ref="AS249:AT249" si="1998">+AS247*AS248</f>
        <v>0</v>
      </c>
      <c r="AT249" s="29">
        <f t="shared" si="1998"/>
        <v>0</v>
      </c>
      <c r="AU249" s="29">
        <v>0</v>
      </c>
      <c r="AV249" s="29">
        <v>0</v>
      </c>
      <c r="AW249" s="29">
        <f t="shared" ref="AW249:AX249" si="1999">+AW247*AW248</f>
        <v>0</v>
      </c>
      <c r="AX249" s="29">
        <f t="shared" si="1999"/>
        <v>0</v>
      </c>
      <c r="AY249" s="29">
        <f>+AY247*AY248</f>
        <v>0</v>
      </c>
      <c r="AZ249" s="29">
        <f t="shared" ref="AZ249:BN249" si="2000">+AZ247*AZ248</f>
        <v>0</v>
      </c>
      <c r="BA249" s="29">
        <f t="shared" si="2000"/>
        <v>0</v>
      </c>
      <c r="BB249" s="29">
        <f t="shared" si="2000"/>
        <v>0</v>
      </c>
      <c r="BC249" s="29">
        <f t="shared" si="2000"/>
        <v>0</v>
      </c>
      <c r="BD249" s="29">
        <f t="shared" si="2000"/>
        <v>0</v>
      </c>
      <c r="BE249" s="29">
        <f t="shared" si="2000"/>
        <v>0</v>
      </c>
      <c r="BF249" s="29">
        <f t="shared" si="2000"/>
        <v>0</v>
      </c>
      <c r="BG249" s="29">
        <f t="shared" si="2000"/>
        <v>0</v>
      </c>
      <c r="BH249" s="29">
        <f t="shared" si="2000"/>
        <v>0</v>
      </c>
      <c r="BI249" s="29">
        <f t="shared" si="2000"/>
        <v>0</v>
      </c>
      <c r="BJ249" s="29">
        <f t="shared" si="2000"/>
        <v>0</v>
      </c>
      <c r="BK249" s="29">
        <f t="shared" si="2000"/>
        <v>0</v>
      </c>
      <c r="BL249" s="29">
        <f t="shared" si="2000"/>
        <v>0</v>
      </c>
      <c r="BM249" s="29">
        <f t="shared" si="2000"/>
        <v>0</v>
      </c>
      <c r="BN249" s="29">
        <f t="shared" si="2000"/>
        <v>0</v>
      </c>
    </row>
    <row r="250" spans="3:66" ht="13.5" thickBot="1" x14ac:dyDescent="0.25">
      <c r="C250" s="323"/>
      <c r="D250" s="25" t="s">
        <v>11</v>
      </c>
      <c r="E250" s="30">
        <f>SUM(F250:AY250)</f>
        <v>1051708.1204276658</v>
      </c>
      <c r="F250" s="46">
        <f>+F247+F249</f>
        <v>-184.54257245616171</v>
      </c>
      <c r="G250" s="46">
        <f>+G247+G249</f>
        <v>498264.94563163677</v>
      </c>
      <c r="H250" s="46">
        <f>+H247+H249</f>
        <v>553627.71736848506</v>
      </c>
      <c r="I250" s="46">
        <f t="shared" ref="I250:AU250" si="2001">+I247+I249</f>
        <v>0</v>
      </c>
      <c r="J250" s="46">
        <f t="shared" si="2001"/>
        <v>0</v>
      </c>
      <c r="K250" s="46">
        <f t="shared" si="2001"/>
        <v>0</v>
      </c>
      <c r="L250" s="46">
        <f t="shared" si="2001"/>
        <v>0</v>
      </c>
      <c r="M250" s="46">
        <f t="shared" si="2001"/>
        <v>0</v>
      </c>
      <c r="N250" s="46">
        <f t="shared" si="2001"/>
        <v>0</v>
      </c>
      <c r="O250" s="46">
        <f t="shared" si="2001"/>
        <v>0</v>
      </c>
      <c r="P250" s="46">
        <f t="shared" si="2001"/>
        <v>0</v>
      </c>
      <c r="Q250" s="46">
        <f t="shared" si="2001"/>
        <v>0</v>
      </c>
      <c r="R250" s="46">
        <f t="shared" si="2001"/>
        <v>0</v>
      </c>
      <c r="S250" s="46">
        <f t="shared" si="2001"/>
        <v>0</v>
      </c>
      <c r="T250" s="46">
        <f t="shared" si="2001"/>
        <v>0</v>
      </c>
      <c r="U250" s="46">
        <f t="shared" si="2001"/>
        <v>0</v>
      </c>
      <c r="V250" s="46">
        <f t="shared" si="2001"/>
        <v>0</v>
      </c>
      <c r="W250" s="46">
        <f t="shared" si="2001"/>
        <v>0</v>
      </c>
      <c r="X250" s="46">
        <f t="shared" si="2001"/>
        <v>0</v>
      </c>
      <c r="Y250" s="46">
        <f t="shared" si="2001"/>
        <v>0</v>
      </c>
      <c r="Z250" s="46">
        <f t="shared" si="2001"/>
        <v>0</v>
      </c>
      <c r="AA250" s="46">
        <f t="shared" si="2001"/>
        <v>0</v>
      </c>
      <c r="AB250" s="46">
        <f t="shared" si="2001"/>
        <v>0</v>
      </c>
      <c r="AC250" s="46">
        <f t="shared" si="2001"/>
        <v>0</v>
      </c>
      <c r="AD250" s="46">
        <f t="shared" si="2001"/>
        <v>0</v>
      </c>
      <c r="AE250" s="46">
        <f t="shared" si="2001"/>
        <v>0</v>
      </c>
      <c r="AF250" s="46">
        <f t="shared" si="2001"/>
        <v>0</v>
      </c>
      <c r="AG250" s="46">
        <f t="shared" si="2001"/>
        <v>0</v>
      </c>
      <c r="AH250" s="46">
        <f t="shared" si="2001"/>
        <v>0</v>
      </c>
      <c r="AI250" s="46">
        <f t="shared" si="2001"/>
        <v>0</v>
      </c>
      <c r="AJ250" s="46">
        <f t="shared" si="2001"/>
        <v>0</v>
      </c>
      <c r="AK250" s="46">
        <f t="shared" si="2001"/>
        <v>0</v>
      </c>
      <c r="AL250" s="46">
        <f t="shared" si="2001"/>
        <v>0</v>
      </c>
      <c r="AM250" s="46">
        <f t="shared" si="2001"/>
        <v>0</v>
      </c>
      <c r="AN250" s="46">
        <f t="shared" si="2001"/>
        <v>0</v>
      </c>
      <c r="AO250" s="46">
        <f t="shared" si="2001"/>
        <v>0</v>
      </c>
      <c r="AP250" s="46">
        <f t="shared" si="2001"/>
        <v>0</v>
      </c>
      <c r="AQ250" s="46">
        <f t="shared" si="2001"/>
        <v>0</v>
      </c>
      <c r="AR250" s="46">
        <f t="shared" si="2001"/>
        <v>0</v>
      </c>
      <c r="AS250" s="46">
        <f t="shared" si="2001"/>
        <v>0</v>
      </c>
      <c r="AT250" s="46">
        <f t="shared" si="2001"/>
        <v>0</v>
      </c>
      <c r="AU250" s="46">
        <f t="shared" si="2001"/>
        <v>0</v>
      </c>
      <c r="AV250" s="46">
        <f>+AV247+AV249</f>
        <v>0</v>
      </c>
      <c r="AW250" s="46">
        <f t="shared" ref="AW250:BN250" si="2002">+AW247+AW249</f>
        <v>0</v>
      </c>
      <c r="AX250" s="46">
        <f t="shared" si="2002"/>
        <v>0</v>
      </c>
      <c r="AY250" s="46">
        <f t="shared" si="2002"/>
        <v>0</v>
      </c>
      <c r="AZ250" s="46">
        <f t="shared" si="2002"/>
        <v>0</v>
      </c>
      <c r="BA250" s="46">
        <f t="shared" si="2002"/>
        <v>0</v>
      </c>
      <c r="BB250" s="46">
        <f t="shared" si="2002"/>
        <v>0</v>
      </c>
      <c r="BC250" s="46">
        <f t="shared" si="2002"/>
        <v>0</v>
      </c>
      <c r="BD250" s="46">
        <f t="shared" si="2002"/>
        <v>0</v>
      </c>
      <c r="BE250" s="46">
        <f t="shared" si="2002"/>
        <v>0</v>
      </c>
      <c r="BF250" s="46">
        <f t="shared" si="2002"/>
        <v>0</v>
      </c>
      <c r="BG250" s="46">
        <f t="shared" si="2002"/>
        <v>0</v>
      </c>
      <c r="BH250" s="46">
        <f t="shared" si="2002"/>
        <v>0</v>
      </c>
      <c r="BI250" s="46">
        <f t="shared" si="2002"/>
        <v>0</v>
      </c>
      <c r="BJ250" s="46">
        <f t="shared" si="2002"/>
        <v>0</v>
      </c>
      <c r="BK250" s="46">
        <f t="shared" si="2002"/>
        <v>0</v>
      </c>
      <c r="BL250" s="46">
        <f t="shared" si="2002"/>
        <v>0</v>
      </c>
      <c r="BM250" s="46">
        <f t="shared" si="2002"/>
        <v>0</v>
      </c>
      <c r="BN250" s="46">
        <f t="shared" si="2002"/>
        <v>0</v>
      </c>
    </row>
    <row r="251" spans="3:66" x14ac:dyDescent="0.2">
      <c r="C251" s="321">
        <v>44470</v>
      </c>
      <c r="D251" s="20" t="s">
        <v>5</v>
      </c>
      <c r="E251" s="50">
        <f>SUM(F251:BN251)</f>
        <v>0</v>
      </c>
      <c r="F251" s="279">
        <f>IF(F$6=$C251,F$7,0)</f>
        <v>0</v>
      </c>
      <c r="G251" s="279">
        <f t="shared" ref="G251:BN251" si="2003">IF(G$6=$C251,G$7,0)</f>
        <v>0</v>
      </c>
      <c r="H251" s="279">
        <f t="shared" si="2003"/>
        <v>0</v>
      </c>
      <c r="I251" s="279">
        <f t="shared" si="2003"/>
        <v>0</v>
      </c>
      <c r="J251" s="279">
        <f t="shared" si="2003"/>
        <v>0</v>
      </c>
      <c r="K251" s="279">
        <f t="shared" si="2003"/>
        <v>0</v>
      </c>
      <c r="L251" s="279">
        <f t="shared" si="2003"/>
        <v>0</v>
      </c>
      <c r="M251" s="279">
        <f t="shared" si="2003"/>
        <v>0</v>
      </c>
      <c r="N251" s="279">
        <f t="shared" si="2003"/>
        <v>0</v>
      </c>
      <c r="O251" s="279">
        <f t="shared" si="2003"/>
        <v>0</v>
      </c>
      <c r="P251" s="279">
        <f t="shared" si="2003"/>
        <v>0</v>
      </c>
      <c r="Q251" s="279">
        <f t="shared" si="2003"/>
        <v>0</v>
      </c>
      <c r="R251" s="279">
        <f t="shared" si="2003"/>
        <v>0</v>
      </c>
      <c r="S251" s="279">
        <f t="shared" si="2003"/>
        <v>0</v>
      </c>
      <c r="T251" s="279">
        <f t="shared" si="2003"/>
        <v>0</v>
      </c>
      <c r="U251" s="279">
        <f t="shared" si="2003"/>
        <v>0</v>
      </c>
      <c r="V251" s="279">
        <f t="shared" si="2003"/>
        <v>0</v>
      </c>
      <c r="W251" s="279">
        <f t="shared" si="2003"/>
        <v>0</v>
      </c>
      <c r="X251" s="279">
        <f t="shared" si="2003"/>
        <v>0</v>
      </c>
      <c r="Y251" s="279">
        <f t="shared" si="2003"/>
        <v>0</v>
      </c>
      <c r="Z251" s="279">
        <f t="shared" si="2003"/>
        <v>0</v>
      </c>
      <c r="AA251" s="279">
        <f t="shared" si="2003"/>
        <v>0</v>
      </c>
      <c r="AB251" s="279">
        <f t="shared" si="2003"/>
        <v>0</v>
      </c>
      <c r="AC251" s="279">
        <f t="shared" si="2003"/>
        <v>0</v>
      </c>
      <c r="AD251" s="279">
        <f t="shared" si="2003"/>
        <v>0</v>
      </c>
      <c r="AE251" s="279">
        <f t="shared" si="2003"/>
        <v>0</v>
      </c>
      <c r="AF251" s="279">
        <f t="shared" si="2003"/>
        <v>0</v>
      </c>
      <c r="AG251" s="279">
        <f t="shared" si="2003"/>
        <v>0</v>
      </c>
      <c r="AH251" s="279">
        <f t="shared" si="2003"/>
        <v>0</v>
      </c>
      <c r="AI251" s="279">
        <f t="shared" si="2003"/>
        <v>0</v>
      </c>
      <c r="AJ251" s="279">
        <f t="shared" si="2003"/>
        <v>0</v>
      </c>
      <c r="AK251" s="279">
        <f t="shared" si="2003"/>
        <v>0</v>
      </c>
      <c r="AL251" s="279">
        <f t="shared" si="2003"/>
        <v>0</v>
      </c>
      <c r="AM251" s="279">
        <f t="shared" si="2003"/>
        <v>0</v>
      </c>
      <c r="AN251" s="279">
        <f t="shared" si="2003"/>
        <v>0</v>
      </c>
      <c r="AO251" s="279">
        <f t="shared" si="2003"/>
        <v>0</v>
      </c>
      <c r="AP251" s="279">
        <f t="shared" si="2003"/>
        <v>0</v>
      </c>
      <c r="AQ251" s="279">
        <f t="shared" si="2003"/>
        <v>0</v>
      </c>
      <c r="AR251" s="279">
        <f t="shared" si="2003"/>
        <v>0</v>
      </c>
      <c r="AS251" s="279">
        <f t="shared" si="2003"/>
        <v>0</v>
      </c>
      <c r="AT251" s="279">
        <f t="shared" si="2003"/>
        <v>0</v>
      </c>
      <c r="AU251" s="279">
        <f t="shared" si="2003"/>
        <v>0</v>
      </c>
      <c r="AV251" s="279">
        <f t="shared" si="2003"/>
        <v>0</v>
      </c>
      <c r="AW251" s="279">
        <f t="shared" si="2003"/>
        <v>0</v>
      </c>
      <c r="AX251" s="279">
        <f t="shared" si="2003"/>
        <v>0</v>
      </c>
      <c r="AY251" s="279">
        <f t="shared" si="2003"/>
        <v>0</v>
      </c>
      <c r="AZ251" s="279">
        <f t="shared" si="2003"/>
        <v>0</v>
      </c>
      <c r="BA251" s="279">
        <f t="shared" si="2003"/>
        <v>0</v>
      </c>
      <c r="BB251" s="279">
        <f t="shared" si="2003"/>
        <v>0</v>
      </c>
      <c r="BC251" s="279">
        <f t="shared" si="2003"/>
        <v>0</v>
      </c>
      <c r="BD251" s="279">
        <f t="shared" si="2003"/>
        <v>0</v>
      </c>
      <c r="BE251" s="279">
        <f t="shared" si="2003"/>
        <v>0</v>
      </c>
      <c r="BF251" s="279">
        <f t="shared" si="2003"/>
        <v>0</v>
      </c>
      <c r="BG251" s="279">
        <f t="shared" si="2003"/>
        <v>0</v>
      </c>
      <c r="BH251" s="279">
        <f t="shared" si="2003"/>
        <v>0</v>
      </c>
      <c r="BI251" s="279">
        <f t="shared" si="2003"/>
        <v>0</v>
      </c>
      <c r="BJ251" s="279">
        <f t="shared" si="2003"/>
        <v>0</v>
      </c>
      <c r="BK251" s="279">
        <f t="shared" si="2003"/>
        <v>0</v>
      </c>
      <c r="BL251" s="279">
        <f t="shared" si="2003"/>
        <v>0</v>
      </c>
      <c r="BM251" s="279">
        <f t="shared" si="2003"/>
        <v>0</v>
      </c>
      <c r="BN251" s="279">
        <f t="shared" si="2003"/>
        <v>0</v>
      </c>
    </row>
    <row r="252" spans="3:66" x14ac:dyDescent="0.2">
      <c r="C252" s="322"/>
      <c r="D252" s="23" t="s">
        <v>7</v>
      </c>
      <c r="E252" s="91">
        <f>SUM(F252:BN252)</f>
        <v>14.640000000000011</v>
      </c>
      <c r="F252" s="28">
        <f>IF(F251="",VLOOKUP($C251,'CUSTOS REALIZADOS'!$A$11:$E$995,4),(VLOOKUP($C251,'CUSTOS REALIZADOS'!$A$11:$E$995,5)))</f>
        <v>0.24000000000000002</v>
      </c>
      <c r="G252" s="28">
        <f>IF(G251="",VLOOKUP($C251,'CUSTOS REALIZADOS'!$A$11:$E$995,4),(VLOOKUP($C251,'CUSTOS REALIZADOS'!$A$11:$E$995,5)))</f>
        <v>0.24000000000000002</v>
      </c>
      <c r="H252" s="28">
        <f>IF(H251="",VLOOKUP($C251,'CUSTOS REALIZADOS'!$A$11:$E$995,4),(VLOOKUP($C251,'CUSTOS REALIZADOS'!$A$11:$E$995,5)))</f>
        <v>0.24000000000000002</v>
      </c>
      <c r="I252" s="28">
        <f>IF(I251="",VLOOKUP($C251,'CUSTOS REALIZADOS'!$A$11:$E$995,4),(VLOOKUP($C251,'CUSTOS REALIZADOS'!$A$11:$E$995,5)))</f>
        <v>0.24000000000000002</v>
      </c>
      <c r="J252" s="28">
        <f>IF(J251="",VLOOKUP($C251,'CUSTOS REALIZADOS'!$A$11:$E$995,4),(VLOOKUP($C251,'CUSTOS REALIZADOS'!$A$11:$E$995,5)))</f>
        <v>0.24000000000000002</v>
      </c>
      <c r="K252" s="28">
        <f>IF(K251="",VLOOKUP($C251,'CUSTOS REALIZADOS'!$A$11:$E$995,4),(VLOOKUP($C251,'CUSTOS REALIZADOS'!$A$11:$E$995,5)))</f>
        <v>0.24000000000000002</v>
      </c>
      <c r="L252" s="28">
        <f>IF(L251="",VLOOKUP($C251,'CUSTOS REALIZADOS'!$A$11:$E$995,4),(VLOOKUP($C251,'CUSTOS REALIZADOS'!$A$11:$E$995,5)))</f>
        <v>0.24000000000000002</v>
      </c>
      <c r="M252" s="28">
        <f>IF(M251="",VLOOKUP($C251,'CUSTOS REALIZADOS'!$A$11:$E$995,4),(VLOOKUP($C251,'CUSTOS REALIZADOS'!$A$11:$E$995,5)))</f>
        <v>0.24000000000000002</v>
      </c>
      <c r="N252" s="28">
        <f>IF(N251="",VLOOKUP($C251,'CUSTOS REALIZADOS'!$A$11:$E$995,4),(VLOOKUP($C251,'CUSTOS REALIZADOS'!$A$11:$E$995,5)))</f>
        <v>0.24000000000000002</v>
      </c>
      <c r="O252" s="28">
        <f>IF(O251="",VLOOKUP($C251,'CUSTOS REALIZADOS'!$A$11:$E$995,4),(VLOOKUP($C251,'CUSTOS REALIZADOS'!$A$11:$E$995,5)))</f>
        <v>0.24000000000000002</v>
      </c>
      <c r="P252" s="28">
        <f>IF(P251="",VLOOKUP($C251,'CUSTOS REALIZADOS'!$A$11:$E$995,4),(VLOOKUP($C251,'CUSTOS REALIZADOS'!$A$11:$E$995,5)))</f>
        <v>0.24000000000000002</v>
      </c>
      <c r="Q252" s="28">
        <f>IF(Q251="",VLOOKUP($C251,'CUSTOS REALIZADOS'!$A$11:$E$995,4),(VLOOKUP($C251,'CUSTOS REALIZADOS'!$A$11:$E$995,5)))</f>
        <v>0.24000000000000002</v>
      </c>
      <c r="R252" s="28">
        <f>IF(R251="",VLOOKUP($C251,'CUSTOS REALIZADOS'!$A$11:$E$995,4),(VLOOKUP($C251,'CUSTOS REALIZADOS'!$A$11:$E$995,5)))</f>
        <v>0.24000000000000002</v>
      </c>
      <c r="S252" s="28">
        <f>IF(S251="",VLOOKUP($C251,'CUSTOS REALIZADOS'!$A$11:$E$995,4),(VLOOKUP($C251,'CUSTOS REALIZADOS'!$A$11:$E$995,5)))</f>
        <v>0.24000000000000002</v>
      </c>
      <c r="T252" s="28">
        <f>IF(T251="",VLOOKUP($C251,'CUSTOS REALIZADOS'!$A$11:$E$995,4),(VLOOKUP($C251,'CUSTOS REALIZADOS'!$A$11:$E$995,5)))</f>
        <v>0.24000000000000002</v>
      </c>
      <c r="U252" s="28">
        <f>IF(U251="",VLOOKUP($C251,'CUSTOS REALIZADOS'!$A$11:$E$995,4),(VLOOKUP($C251,'CUSTOS REALIZADOS'!$A$11:$E$995,5)))</f>
        <v>0.24000000000000002</v>
      </c>
      <c r="V252" s="28">
        <f>IF(V251="",VLOOKUP($C251,'CUSTOS REALIZADOS'!$A$11:$E$995,4),(VLOOKUP($C251,'CUSTOS REALIZADOS'!$A$11:$E$995,5)))</f>
        <v>0.24000000000000002</v>
      </c>
      <c r="W252" s="28">
        <f>IF(W251="",VLOOKUP($C251,'CUSTOS REALIZADOS'!$A$11:$E$995,4),(VLOOKUP($C251,'CUSTOS REALIZADOS'!$A$11:$E$995,5)))</f>
        <v>0.24000000000000002</v>
      </c>
      <c r="X252" s="28">
        <f>IF(X251="",VLOOKUP($C251,'CUSTOS REALIZADOS'!$A$11:$E$995,4),(VLOOKUP($C251,'CUSTOS REALIZADOS'!$A$11:$E$995,5)))</f>
        <v>0.24000000000000002</v>
      </c>
      <c r="Y252" s="28">
        <f>IF(Y251="",VLOOKUP($C251,'CUSTOS REALIZADOS'!$A$11:$E$995,4),(VLOOKUP($C251,'CUSTOS REALIZADOS'!$A$11:$E$995,5)))</f>
        <v>0.24000000000000002</v>
      </c>
      <c r="Z252" s="28">
        <f>IF(Z251="",VLOOKUP($C251,'CUSTOS REALIZADOS'!$A$11:$E$995,4),(VLOOKUP($C251,'CUSTOS REALIZADOS'!$A$11:$E$995,5)))</f>
        <v>0.24000000000000002</v>
      </c>
      <c r="AA252" s="28">
        <f>IF(AA251="",VLOOKUP($C251,'CUSTOS REALIZADOS'!$A$11:$E$995,4),(VLOOKUP($C251,'CUSTOS REALIZADOS'!$A$11:$E$995,5)))</f>
        <v>0.24000000000000002</v>
      </c>
      <c r="AB252" s="28">
        <f>IF(AB251="",VLOOKUP($C251,'CUSTOS REALIZADOS'!$A$11:$E$995,4),(VLOOKUP($C251,'CUSTOS REALIZADOS'!$A$11:$E$995,5)))</f>
        <v>0.24000000000000002</v>
      </c>
      <c r="AC252" s="28">
        <f>IF(AC251="",VLOOKUP($C251,'CUSTOS REALIZADOS'!$A$11:$E$995,4),(VLOOKUP($C251,'CUSTOS REALIZADOS'!$A$11:$E$995,5)))</f>
        <v>0.24000000000000002</v>
      </c>
      <c r="AD252" s="28">
        <f>IF(AD251="",VLOOKUP($C251,'CUSTOS REALIZADOS'!$A$11:$E$995,4),(VLOOKUP($C251,'CUSTOS REALIZADOS'!$A$11:$E$995,5)))</f>
        <v>0.24000000000000002</v>
      </c>
      <c r="AE252" s="28">
        <f>IF(AE251="",VLOOKUP($C251,'CUSTOS REALIZADOS'!$A$11:$E$995,4),(VLOOKUP($C251,'CUSTOS REALIZADOS'!$A$11:$E$995,5)))</f>
        <v>0.24000000000000002</v>
      </c>
      <c r="AF252" s="28">
        <f>IF(AF251="",VLOOKUP($C251,'CUSTOS REALIZADOS'!$A$11:$E$995,4),(VLOOKUP($C251,'CUSTOS REALIZADOS'!$A$11:$E$995,5)))</f>
        <v>0.24000000000000002</v>
      </c>
      <c r="AG252" s="28">
        <f>IF(AG251="",VLOOKUP($C251,'CUSTOS REALIZADOS'!$A$11:$E$995,4),(VLOOKUP($C251,'CUSTOS REALIZADOS'!$A$11:$E$995,5)))</f>
        <v>0.24000000000000002</v>
      </c>
      <c r="AH252" s="28">
        <f>IF(AH251="",VLOOKUP($C251,'CUSTOS REALIZADOS'!$A$11:$E$995,4),(VLOOKUP($C251,'CUSTOS REALIZADOS'!$A$11:$E$995,5)))</f>
        <v>0.24000000000000002</v>
      </c>
      <c r="AI252" s="28">
        <f>IF(AI251="",VLOOKUP($C251,'CUSTOS REALIZADOS'!$A$11:$E$995,4),(VLOOKUP($C251,'CUSTOS REALIZADOS'!$A$11:$E$995,5)))</f>
        <v>0.24000000000000002</v>
      </c>
      <c r="AJ252" s="28">
        <f>IF(AJ251="",VLOOKUP($C251,'CUSTOS REALIZADOS'!$A$11:$E$995,4),(VLOOKUP($C251,'CUSTOS REALIZADOS'!$A$11:$E$995,5)))</f>
        <v>0.24000000000000002</v>
      </c>
      <c r="AK252" s="28">
        <f>IF(AK251="",VLOOKUP($C251,'CUSTOS REALIZADOS'!$A$11:$E$995,4),(VLOOKUP($C251,'CUSTOS REALIZADOS'!$A$11:$E$995,5)))</f>
        <v>0.24000000000000002</v>
      </c>
      <c r="AL252" s="28">
        <f>IF(AL251="",VLOOKUP($C251,'CUSTOS REALIZADOS'!$A$11:$E$995,4),(VLOOKUP($C251,'CUSTOS REALIZADOS'!$A$11:$E$995,5)))</f>
        <v>0.24000000000000002</v>
      </c>
      <c r="AM252" s="28">
        <f>IF(AM251="",VLOOKUP($C251,'CUSTOS REALIZADOS'!$A$11:$E$995,4),(VLOOKUP($C251,'CUSTOS REALIZADOS'!$A$11:$E$995,5)))</f>
        <v>0.24000000000000002</v>
      </c>
      <c r="AN252" s="28">
        <f>IF(AN251="",VLOOKUP($C251,'CUSTOS REALIZADOS'!$A$11:$E$995,4),(VLOOKUP($C251,'CUSTOS REALIZADOS'!$A$11:$E$995,5)))</f>
        <v>0.24000000000000002</v>
      </c>
      <c r="AO252" s="28">
        <f>IF(AO251="",VLOOKUP($C251,'CUSTOS REALIZADOS'!$A$11:$E$995,4),(VLOOKUP($C251,'CUSTOS REALIZADOS'!$A$11:$E$995,5)))</f>
        <v>0.24000000000000002</v>
      </c>
      <c r="AP252" s="28">
        <f>IF(AP251="",VLOOKUP($C251,'CUSTOS REALIZADOS'!$A$11:$E$995,4),(VLOOKUP($C251,'CUSTOS REALIZADOS'!$A$11:$E$995,5)))</f>
        <v>0.24000000000000002</v>
      </c>
      <c r="AQ252" s="28">
        <f>IF(AQ251="",VLOOKUP($C251,'CUSTOS REALIZADOS'!$A$11:$E$995,4),(VLOOKUP($C251,'CUSTOS REALIZADOS'!$A$11:$E$995,5)))</f>
        <v>0.24000000000000002</v>
      </c>
      <c r="AR252" s="28">
        <f>IF(AR251="",VLOOKUP($C251,'CUSTOS REALIZADOS'!$A$11:$E$995,4),(VLOOKUP($C251,'CUSTOS REALIZADOS'!$A$11:$E$995,5)))</f>
        <v>0.24000000000000002</v>
      </c>
      <c r="AS252" s="28">
        <f>IF(AS251="",VLOOKUP($C251,'CUSTOS REALIZADOS'!$A$11:$E$995,4),(VLOOKUP($C251,'CUSTOS REALIZADOS'!$A$11:$E$995,5)))</f>
        <v>0.24000000000000002</v>
      </c>
      <c r="AT252" s="28">
        <f>IF(AT251="",VLOOKUP($C251,'CUSTOS REALIZADOS'!$A$11:$E$995,4),(VLOOKUP($C251,'CUSTOS REALIZADOS'!$A$11:$E$995,5)))</f>
        <v>0.24000000000000002</v>
      </c>
      <c r="AU252" s="28">
        <f>IF(AU251="",VLOOKUP($C251,'CUSTOS REALIZADOS'!$A$11:$E$995,4),(VLOOKUP($C251,'CUSTOS REALIZADOS'!$A$11:$E$995,5)))</f>
        <v>0.24000000000000002</v>
      </c>
      <c r="AV252" s="28">
        <f>IF(AV251="",VLOOKUP($C251,'CUSTOS REALIZADOS'!$A$11:$E$995,4),(VLOOKUP($C251,'CUSTOS REALIZADOS'!$A$11:$E$995,5)))</f>
        <v>0.24000000000000002</v>
      </c>
      <c r="AW252" s="28">
        <f>IF(AW251="",VLOOKUP($C251,'CUSTOS REALIZADOS'!$A$11:$E$995,4),(VLOOKUP($C251,'CUSTOS REALIZADOS'!$A$11:$E$995,5)))</f>
        <v>0.24000000000000002</v>
      </c>
      <c r="AX252" s="28">
        <f>IF(AX251="",VLOOKUP($C251,'CUSTOS REALIZADOS'!$A$11:$E$995,4),(VLOOKUP($C251,'CUSTOS REALIZADOS'!$A$11:$E$995,5)))</f>
        <v>0.24000000000000002</v>
      </c>
      <c r="AY252" s="28">
        <f>IF(AY251="",VLOOKUP($C251,'CUSTOS REALIZADOS'!$A$11:$E$995,4),(VLOOKUP($C251,'CUSTOS REALIZADOS'!$A$11:$E$995,5)))</f>
        <v>0.24000000000000002</v>
      </c>
      <c r="AZ252" s="28">
        <f>IF(AZ251="",VLOOKUP($C251,'CUSTOS REALIZADOS'!$A$11:$E$995,4),(VLOOKUP($C251,'CUSTOS REALIZADOS'!$A$11:$E$995,5)))</f>
        <v>0.24000000000000002</v>
      </c>
      <c r="BA252" s="28">
        <f>IF(BA251="",VLOOKUP($C251,'CUSTOS REALIZADOS'!$A$11:$E$995,4),(VLOOKUP($C251,'CUSTOS REALIZADOS'!$A$11:$E$995,5)))</f>
        <v>0.24000000000000002</v>
      </c>
      <c r="BB252" s="28">
        <f>IF(BB251="",VLOOKUP($C251,'CUSTOS REALIZADOS'!$A$11:$E$995,4),(VLOOKUP($C251,'CUSTOS REALIZADOS'!$A$11:$E$995,5)))</f>
        <v>0.24000000000000002</v>
      </c>
      <c r="BC252" s="28">
        <f>IF(BC251="",VLOOKUP($C251,'CUSTOS REALIZADOS'!$A$11:$E$995,4),(VLOOKUP($C251,'CUSTOS REALIZADOS'!$A$11:$E$995,5)))</f>
        <v>0.24000000000000002</v>
      </c>
      <c r="BD252" s="28">
        <f>IF(BD251="",VLOOKUP($C251,'CUSTOS REALIZADOS'!$A$11:$E$995,4),(VLOOKUP($C251,'CUSTOS REALIZADOS'!$A$11:$E$995,5)))</f>
        <v>0.24000000000000002</v>
      </c>
      <c r="BE252" s="28">
        <f>IF(BE251="",VLOOKUP($C251,'CUSTOS REALIZADOS'!$A$11:$E$995,4),(VLOOKUP($C251,'CUSTOS REALIZADOS'!$A$11:$E$995,5)))</f>
        <v>0.24000000000000002</v>
      </c>
      <c r="BF252" s="28">
        <f>IF(BF251="",VLOOKUP($C251,'CUSTOS REALIZADOS'!$A$11:$E$995,4),(VLOOKUP($C251,'CUSTOS REALIZADOS'!$A$11:$E$995,5)))</f>
        <v>0.24000000000000002</v>
      </c>
      <c r="BG252" s="28">
        <f>IF(BG251="",VLOOKUP($C251,'CUSTOS REALIZADOS'!$A$11:$E$995,4),(VLOOKUP($C251,'CUSTOS REALIZADOS'!$A$11:$E$995,5)))</f>
        <v>0.24000000000000002</v>
      </c>
      <c r="BH252" s="28">
        <f>IF(BH251="",VLOOKUP($C251,'CUSTOS REALIZADOS'!$A$11:$E$995,4),(VLOOKUP($C251,'CUSTOS REALIZADOS'!$A$11:$E$995,5)))</f>
        <v>0.24000000000000002</v>
      </c>
      <c r="BI252" s="28">
        <f>IF(BI251="",VLOOKUP($C251,'CUSTOS REALIZADOS'!$A$11:$E$995,4),(VLOOKUP($C251,'CUSTOS REALIZADOS'!$A$11:$E$995,5)))</f>
        <v>0.24000000000000002</v>
      </c>
      <c r="BJ252" s="28">
        <f>IF(BJ251="",VLOOKUP($C251,'CUSTOS REALIZADOS'!$A$11:$E$995,4),(VLOOKUP($C251,'CUSTOS REALIZADOS'!$A$11:$E$995,5)))</f>
        <v>0.24000000000000002</v>
      </c>
      <c r="BK252" s="28">
        <f>IF(BK251="",VLOOKUP($C251,'CUSTOS REALIZADOS'!$A$11:$E$995,4),(VLOOKUP($C251,'CUSTOS REALIZADOS'!$A$11:$E$995,5)))</f>
        <v>0.24000000000000002</v>
      </c>
      <c r="BL252" s="28">
        <f>IF(BL251="",VLOOKUP($C251,'CUSTOS REALIZADOS'!$A$11:$E$995,4),(VLOOKUP($C251,'CUSTOS REALIZADOS'!$A$11:$E$995,5)))</f>
        <v>0.24000000000000002</v>
      </c>
      <c r="BM252" s="28">
        <f>IF(BM251="",VLOOKUP($C251,'CUSTOS REALIZADOS'!$A$11:$E$995,4),(VLOOKUP($C251,'CUSTOS REALIZADOS'!$A$11:$E$995,5)))</f>
        <v>0.24000000000000002</v>
      </c>
      <c r="BN252" s="28">
        <f>IF(BN251="",VLOOKUP($C251,'CUSTOS REALIZADOS'!$A$11:$E$995,4),(VLOOKUP($C251,'CUSTOS REALIZADOS'!$A$11:$E$995,5)))</f>
        <v>0.24000000000000002</v>
      </c>
    </row>
    <row r="253" spans="3:66" x14ac:dyDescent="0.2">
      <c r="C253" s="322"/>
      <c r="D253" s="23" t="s">
        <v>6</v>
      </c>
      <c r="E253" s="27">
        <f>SUM(F253:BN253)</f>
        <v>95000</v>
      </c>
      <c r="F253" s="23">
        <f>IF(AND($C251&gt;=F$6,OR($C251&lt;F$8,F$8="")),F$7*F$28,0)</f>
        <v>0</v>
      </c>
      <c r="G253" s="23">
        <f t="shared" ref="G253:BN253" si="2004">IF(AND($C251&gt;=G$6,OR($C251&lt;G$8,G$8="")),G$7*G$28,0)</f>
        <v>45000</v>
      </c>
      <c r="H253" s="23">
        <f t="shared" si="2004"/>
        <v>50000</v>
      </c>
      <c r="I253" s="23">
        <f t="shared" si="2004"/>
        <v>0</v>
      </c>
      <c r="J253" s="23">
        <f t="shared" si="2004"/>
        <v>0</v>
      </c>
      <c r="K253" s="23">
        <f t="shared" si="2004"/>
        <v>0</v>
      </c>
      <c r="L253" s="23">
        <f t="shared" si="2004"/>
        <v>0</v>
      </c>
      <c r="M253" s="23">
        <f t="shared" si="2004"/>
        <v>0</v>
      </c>
      <c r="N253" s="23">
        <f t="shared" si="2004"/>
        <v>0</v>
      </c>
      <c r="O253" s="23">
        <f t="shared" si="2004"/>
        <v>0</v>
      </c>
      <c r="P253" s="23">
        <f t="shared" si="2004"/>
        <v>0</v>
      </c>
      <c r="Q253" s="23">
        <f t="shared" si="2004"/>
        <v>0</v>
      </c>
      <c r="R253" s="23">
        <f t="shared" si="2004"/>
        <v>0</v>
      </c>
      <c r="S253" s="23">
        <f t="shared" si="2004"/>
        <v>0</v>
      </c>
      <c r="T253" s="23">
        <f t="shared" si="2004"/>
        <v>0</v>
      </c>
      <c r="U253" s="23">
        <f t="shared" si="2004"/>
        <v>0</v>
      </c>
      <c r="V253" s="23">
        <f t="shared" si="2004"/>
        <v>0</v>
      </c>
      <c r="W253" s="23">
        <f t="shared" si="2004"/>
        <v>0</v>
      </c>
      <c r="X253" s="23">
        <f t="shared" si="2004"/>
        <v>0</v>
      </c>
      <c r="Y253" s="23">
        <f t="shared" si="2004"/>
        <v>0</v>
      </c>
      <c r="Z253" s="23">
        <f t="shared" si="2004"/>
        <v>0</v>
      </c>
      <c r="AA253" s="23">
        <f t="shared" si="2004"/>
        <v>0</v>
      </c>
      <c r="AB253" s="23">
        <f t="shared" si="2004"/>
        <v>0</v>
      </c>
      <c r="AC253" s="23">
        <f t="shared" si="2004"/>
        <v>0</v>
      </c>
      <c r="AD253" s="23">
        <f t="shared" si="2004"/>
        <v>0</v>
      </c>
      <c r="AE253" s="23">
        <f t="shared" si="2004"/>
        <v>0</v>
      </c>
      <c r="AF253" s="23">
        <f t="shared" si="2004"/>
        <v>0</v>
      </c>
      <c r="AG253" s="23">
        <f t="shared" si="2004"/>
        <v>0</v>
      </c>
      <c r="AH253" s="23">
        <f t="shared" si="2004"/>
        <v>0</v>
      </c>
      <c r="AI253" s="23">
        <f t="shared" si="2004"/>
        <v>0</v>
      </c>
      <c r="AJ253" s="23">
        <f t="shared" si="2004"/>
        <v>0</v>
      </c>
      <c r="AK253" s="23">
        <f t="shared" si="2004"/>
        <v>0</v>
      </c>
      <c r="AL253" s="23">
        <f t="shared" si="2004"/>
        <v>0</v>
      </c>
      <c r="AM253" s="23">
        <f t="shared" si="2004"/>
        <v>0</v>
      </c>
      <c r="AN253" s="23">
        <f t="shared" si="2004"/>
        <v>0</v>
      </c>
      <c r="AO253" s="23">
        <f t="shared" si="2004"/>
        <v>0</v>
      </c>
      <c r="AP253" s="23">
        <f t="shared" si="2004"/>
        <v>0</v>
      </c>
      <c r="AQ253" s="23">
        <f t="shared" si="2004"/>
        <v>0</v>
      </c>
      <c r="AR253" s="23">
        <f t="shared" si="2004"/>
        <v>0</v>
      </c>
      <c r="AS253" s="23">
        <f t="shared" si="2004"/>
        <v>0</v>
      </c>
      <c r="AT253" s="23">
        <f t="shared" si="2004"/>
        <v>0</v>
      </c>
      <c r="AU253" s="23">
        <f t="shared" si="2004"/>
        <v>0</v>
      </c>
      <c r="AV253" s="23">
        <f t="shared" si="2004"/>
        <v>0</v>
      </c>
      <c r="AW253" s="23">
        <f t="shared" si="2004"/>
        <v>0</v>
      </c>
      <c r="AX253" s="23">
        <f t="shared" si="2004"/>
        <v>0</v>
      </c>
      <c r="AY253" s="23">
        <f t="shared" si="2004"/>
        <v>0</v>
      </c>
      <c r="AZ253" s="23">
        <f t="shared" si="2004"/>
        <v>0</v>
      </c>
      <c r="BA253" s="23">
        <f t="shared" si="2004"/>
        <v>0</v>
      </c>
      <c r="BB253" s="23">
        <f t="shared" si="2004"/>
        <v>0</v>
      </c>
      <c r="BC253" s="23">
        <f t="shared" si="2004"/>
        <v>0</v>
      </c>
      <c r="BD253" s="23">
        <f t="shared" si="2004"/>
        <v>0</v>
      </c>
      <c r="BE253" s="23">
        <f t="shared" si="2004"/>
        <v>0</v>
      </c>
      <c r="BF253" s="23">
        <f t="shared" si="2004"/>
        <v>0</v>
      </c>
      <c r="BG253" s="23">
        <f t="shared" si="2004"/>
        <v>0</v>
      </c>
      <c r="BH253" s="23">
        <f t="shared" si="2004"/>
        <v>0</v>
      </c>
      <c r="BI253" s="23">
        <f t="shared" si="2004"/>
        <v>0</v>
      </c>
      <c r="BJ253" s="23">
        <f t="shared" si="2004"/>
        <v>0</v>
      </c>
      <c r="BK253" s="23">
        <f t="shared" si="2004"/>
        <v>0</v>
      </c>
      <c r="BL253" s="23">
        <f t="shared" si="2004"/>
        <v>0</v>
      </c>
      <c r="BM253" s="23">
        <f t="shared" si="2004"/>
        <v>0</v>
      </c>
      <c r="BN253" s="23">
        <f t="shared" si="2004"/>
        <v>0</v>
      </c>
    </row>
    <row r="254" spans="3:66" x14ac:dyDescent="0.2">
      <c r="C254" s="322"/>
      <c r="D254" s="23" t="s">
        <v>9</v>
      </c>
      <c r="E254" s="225">
        <f>SUM(F254:BN254)</f>
        <v>0</v>
      </c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</row>
    <row r="255" spans="3:66" x14ac:dyDescent="0.2">
      <c r="C255" s="322"/>
      <c r="D255" s="23" t="s">
        <v>14</v>
      </c>
      <c r="E255" s="27">
        <f>SUM(F255:AY255)</f>
        <v>1051708.1204276658</v>
      </c>
      <c r="F255" s="23">
        <f>IF(F250=0,F251-F254,F250-F254)</f>
        <v>-184.54257245616171</v>
      </c>
      <c r="G255" s="23">
        <f t="shared" ref="G255" si="2005">IF(G250=0,G251-G254,G250-G254)</f>
        <v>498264.94563163677</v>
      </c>
      <c r="H255" s="23">
        <f t="shared" ref="H255" si="2006">IF(H250=0,H251-H254,H250-H254)</f>
        <v>553627.71736848506</v>
      </c>
      <c r="I255" s="23">
        <f t="shared" ref="I255" si="2007">IF(I250=0,I251-I254,I250-I254)</f>
        <v>0</v>
      </c>
      <c r="J255" s="23">
        <f t="shared" ref="J255" si="2008">IF(J250=0,J251-J254,J250-J254)</f>
        <v>0</v>
      </c>
      <c r="K255" s="23">
        <f t="shared" ref="K255" si="2009">IF(K250=0,K251-K254,K250-K254)</f>
        <v>0</v>
      </c>
      <c r="L255" s="23">
        <f t="shared" ref="L255" si="2010">IF(L250=0,L251-L254,L250-L254)</f>
        <v>0</v>
      </c>
      <c r="M255" s="23">
        <f t="shared" ref="M255" si="2011">IF(M250=0,M251-M254,M250-M254)</f>
        <v>0</v>
      </c>
      <c r="N255" s="23">
        <f t="shared" ref="N255" si="2012">IF(N250=0,N251-N254,N250-N254)</f>
        <v>0</v>
      </c>
      <c r="O255" s="23">
        <f t="shared" ref="O255" si="2013">IF(O250=0,O251-O254,O250-O254)</f>
        <v>0</v>
      </c>
      <c r="P255" s="23">
        <f t="shared" ref="P255" si="2014">IF(P250=0,P251-P254,P250-P254)</f>
        <v>0</v>
      </c>
      <c r="Q255" s="23">
        <f t="shared" ref="Q255" si="2015">IF(Q250=0,Q251-Q254,Q250-Q254)</f>
        <v>0</v>
      </c>
      <c r="R255" s="23">
        <f t="shared" ref="R255" si="2016">IF(R250=0,R251-R254,R250-R254)</f>
        <v>0</v>
      </c>
      <c r="S255" s="23">
        <f t="shared" ref="S255" si="2017">IF(S250=0,S251-S254,S250-S254)</f>
        <v>0</v>
      </c>
      <c r="T255" s="23">
        <f t="shared" ref="T255" si="2018">IF(T250=0,T251-T254,T250-T254)</f>
        <v>0</v>
      </c>
      <c r="U255" s="23">
        <f t="shared" ref="U255" si="2019">IF(U250=0,U251-U254,U250-U254)</f>
        <v>0</v>
      </c>
      <c r="V255" s="23">
        <f t="shared" ref="V255" si="2020">IF(V250=0,V251-V254,V250-V254)</f>
        <v>0</v>
      </c>
      <c r="W255" s="23">
        <f t="shared" ref="W255" si="2021">IF(W250=0,W251-W254,W250-W254)</f>
        <v>0</v>
      </c>
      <c r="X255" s="23">
        <f t="shared" ref="X255" si="2022">IF(X250=0,X251-X254,X250-X254)</f>
        <v>0</v>
      </c>
      <c r="Y255" s="23">
        <f t="shared" ref="Y255" si="2023">IF(Y250=0,Y251-Y254,Y250-Y254)</f>
        <v>0</v>
      </c>
      <c r="Z255" s="23">
        <f t="shared" ref="Z255" si="2024">IF(Z250=0,Z251-Z254,Z250-Z254)</f>
        <v>0</v>
      </c>
      <c r="AA255" s="23">
        <f t="shared" ref="AA255" si="2025">IF(AA250=0,AA251-AA254,AA250-AA254)</f>
        <v>0</v>
      </c>
      <c r="AB255" s="23">
        <f t="shared" ref="AB255" si="2026">IF(AB250=0,AB251-AB254,AB250-AB254)</f>
        <v>0</v>
      </c>
      <c r="AC255" s="23">
        <f t="shared" ref="AC255" si="2027">IF(AC250=0,AC251-AC254,AC250-AC254)</f>
        <v>0</v>
      </c>
      <c r="AD255" s="23">
        <f t="shared" ref="AD255" si="2028">IF(AD250=0,AD251-AD254,AD250-AD254)</f>
        <v>0</v>
      </c>
      <c r="AE255" s="23">
        <f t="shared" ref="AE255" si="2029">IF(AE250=0,AE251-AE254,AE250-AE254)</f>
        <v>0</v>
      </c>
      <c r="AF255" s="23">
        <f t="shared" ref="AF255" si="2030">IF(AF250=0,AF251-AF254,AF250-AF254)</f>
        <v>0</v>
      </c>
      <c r="AG255" s="23">
        <f t="shared" ref="AG255" si="2031">IF(AG250=0,AG251-AG254,AG250-AG254)</f>
        <v>0</v>
      </c>
      <c r="AH255" s="23">
        <f t="shared" ref="AH255" si="2032">IF(AH250=0,AH251-AH254,AH250-AH254)</f>
        <v>0</v>
      </c>
      <c r="AI255" s="23">
        <f t="shared" ref="AI255" si="2033">IF(AI250=0,AI251-AI254,AI250-AI254)</f>
        <v>0</v>
      </c>
      <c r="AJ255" s="23">
        <f t="shared" ref="AJ255" si="2034">IF(AJ250=0,AJ251-AJ254,AJ250-AJ254)</f>
        <v>0</v>
      </c>
      <c r="AK255" s="23">
        <f t="shared" ref="AK255" si="2035">IF(AK250=0,AK251-AK254,AK250-AK254)</f>
        <v>0</v>
      </c>
      <c r="AL255" s="23">
        <f t="shared" ref="AL255" si="2036">IF(AL250=0,AL251-AL254,AL250-AL254)</f>
        <v>0</v>
      </c>
      <c r="AM255" s="23">
        <f t="shared" ref="AM255" si="2037">IF(AM250=0,AM251-AM254,AM250-AM254)</f>
        <v>0</v>
      </c>
      <c r="AN255" s="23">
        <f t="shared" ref="AN255" si="2038">IF(AN250=0,AN251-AN254,AN250-AN254)</f>
        <v>0</v>
      </c>
      <c r="AO255" s="23">
        <f t="shared" ref="AO255" si="2039">IF(AO250=0,AO251-AO254,AO250-AO254)</f>
        <v>0</v>
      </c>
      <c r="AP255" s="23">
        <f t="shared" ref="AP255" si="2040">IF(AP250=0,AP251-AP254,AP250-AP254)</f>
        <v>0</v>
      </c>
      <c r="AQ255" s="23">
        <f t="shared" ref="AQ255" si="2041">IF(AQ250=0,AQ251-AQ254,AQ250-AQ254)</f>
        <v>0</v>
      </c>
      <c r="AR255" s="23">
        <f t="shared" ref="AR255" si="2042">IF(AR250=0,AR251-AR254,AR250-AR254)</f>
        <v>0</v>
      </c>
      <c r="AS255" s="23">
        <f t="shared" ref="AS255" si="2043">IF(AS250=0,AS251-AS254,AS250-AS254)</f>
        <v>0</v>
      </c>
      <c r="AT255" s="23">
        <f t="shared" ref="AT255" si="2044">IF(AT250=0,AT251-AT254,AT250-AT254)</f>
        <v>0</v>
      </c>
      <c r="AU255" s="23">
        <f t="shared" ref="AU255" si="2045">IF(AU250=0,AU251-AU254,AU250-AU254)</f>
        <v>0</v>
      </c>
      <c r="AV255" s="23">
        <f t="shared" ref="AV255" si="2046">IF(AV250=0,AV251-AV254,AV250-AV254)</f>
        <v>0</v>
      </c>
      <c r="AW255" s="23">
        <f t="shared" ref="AW255" si="2047">IF(AW250=0,AW251-AW254,AW250-AW254)</f>
        <v>0</v>
      </c>
      <c r="AX255" s="23">
        <f t="shared" ref="AX255" si="2048">IF(AX250=0,AX251-AX254,AX250-AX254)</f>
        <v>0</v>
      </c>
      <c r="AY255" s="23">
        <f t="shared" ref="AY255" si="2049">IF(AY250=0,AY251-AY254,AY250-AY254)</f>
        <v>0</v>
      </c>
      <c r="AZ255" s="23">
        <f t="shared" ref="AZ255" si="2050">IF(AZ250=0,AZ251-AZ254,AZ250-AZ254)</f>
        <v>0</v>
      </c>
      <c r="BA255" s="23">
        <f t="shared" ref="BA255" si="2051">IF(BA250=0,BA251-BA254,BA250-BA254)</f>
        <v>0</v>
      </c>
      <c r="BB255" s="23">
        <f t="shared" ref="BB255" si="2052">IF(BB250=0,BB251-BB254,BB250-BB254)</f>
        <v>0</v>
      </c>
      <c r="BC255" s="23">
        <f t="shared" ref="BC255" si="2053">IF(BC250=0,BC251-BC254,BC250-BC254)</f>
        <v>0</v>
      </c>
      <c r="BD255" s="23">
        <f t="shared" ref="BD255" si="2054">IF(BD250=0,BD251-BD254,BD250-BD254)</f>
        <v>0</v>
      </c>
      <c r="BE255" s="23">
        <f t="shared" ref="BE255" si="2055">IF(BE250=0,BE251-BE254,BE250-BE254)</f>
        <v>0</v>
      </c>
      <c r="BF255" s="23">
        <f t="shared" ref="BF255" si="2056">IF(BF250=0,BF251-BF254,BF250-BF254)</f>
        <v>0</v>
      </c>
      <c r="BG255" s="23">
        <f t="shared" ref="BG255" si="2057">IF(BG250=0,BG251-BG254,BG250-BG254)</f>
        <v>0</v>
      </c>
      <c r="BH255" s="23">
        <f t="shared" ref="BH255" si="2058">IF(BH250=0,BH251-BH254,BH250-BH254)</f>
        <v>0</v>
      </c>
      <c r="BI255" s="23">
        <f t="shared" ref="BI255" si="2059">IF(BI250=0,BI251-BI254,BI250-BI254)</f>
        <v>0</v>
      </c>
      <c r="BJ255" s="23">
        <f t="shared" ref="BJ255" si="2060">IF(BJ250=0,BJ251-BJ254,BJ250-BJ254)</f>
        <v>0</v>
      </c>
      <c r="BK255" s="23">
        <f t="shared" ref="BK255" si="2061">IF(BK250=0,BK251-BK254,BK250-BK254)</f>
        <v>0</v>
      </c>
      <c r="BL255" s="23">
        <f t="shared" ref="BL255" si="2062">IF(BL250=0,BL251-BL254,BL250-BL254)</f>
        <v>0</v>
      </c>
      <c r="BM255" s="23">
        <f t="shared" ref="BM255" si="2063">IF(BM250=0,BM251-BM254,BM250-BM254)</f>
        <v>0</v>
      </c>
      <c r="BN255" s="23">
        <f t="shared" ref="BN255" si="2064">IF(BN250=0,BN251-BN254,BN250-BN254)</f>
        <v>0</v>
      </c>
    </row>
    <row r="256" spans="3:66" x14ac:dyDescent="0.2">
      <c r="C256" s="322"/>
      <c r="D256" s="23" t="s">
        <v>10</v>
      </c>
      <c r="E256" s="72">
        <v>4.5999999999999999E-3</v>
      </c>
      <c r="F256" s="54">
        <f>E256</f>
        <v>4.5999999999999999E-3</v>
      </c>
      <c r="G256" s="54">
        <f>F256</f>
        <v>4.5999999999999999E-3</v>
      </c>
      <c r="H256" s="54">
        <f>F256</f>
        <v>4.5999999999999999E-3</v>
      </c>
      <c r="I256" s="54">
        <f t="shared" ref="I256:BN256" si="2065">H256</f>
        <v>4.5999999999999999E-3</v>
      </c>
      <c r="J256" s="54">
        <f t="shared" si="2065"/>
        <v>4.5999999999999999E-3</v>
      </c>
      <c r="K256" s="54">
        <f t="shared" si="2065"/>
        <v>4.5999999999999999E-3</v>
      </c>
      <c r="L256" s="54">
        <f t="shared" si="2065"/>
        <v>4.5999999999999999E-3</v>
      </c>
      <c r="M256" s="54">
        <f t="shared" si="2065"/>
        <v>4.5999999999999999E-3</v>
      </c>
      <c r="N256" s="54">
        <f t="shared" si="2065"/>
        <v>4.5999999999999999E-3</v>
      </c>
      <c r="O256" s="54">
        <f t="shared" si="2065"/>
        <v>4.5999999999999999E-3</v>
      </c>
      <c r="P256" s="54">
        <f t="shared" si="2065"/>
        <v>4.5999999999999999E-3</v>
      </c>
      <c r="Q256" s="54">
        <f t="shared" si="2065"/>
        <v>4.5999999999999999E-3</v>
      </c>
      <c r="R256" s="54">
        <f t="shared" si="2065"/>
        <v>4.5999999999999999E-3</v>
      </c>
      <c r="S256" s="54">
        <f t="shared" si="2065"/>
        <v>4.5999999999999999E-3</v>
      </c>
      <c r="T256" s="54">
        <f t="shared" si="2065"/>
        <v>4.5999999999999999E-3</v>
      </c>
      <c r="U256" s="54">
        <f t="shared" si="2065"/>
        <v>4.5999999999999999E-3</v>
      </c>
      <c r="V256" s="54">
        <f t="shared" si="2065"/>
        <v>4.5999999999999999E-3</v>
      </c>
      <c r="W256" s="54">
        <f t="shared" si="2065"/>
        <v>4.5999999999999999E-3</v>
      </c>
      <c r="X256" s="54">
        <f t="shared" si="2065"/>
        <v>4.5999999999999999E-3</v>
      </c>
      <c r="Y256" s="54">
        <f t="shared" si="2065"/>
        <v>4.5999999999999999E-3</v>
      </c>
      <c r="Z256" s="54">
        <f t="shared" si="2065"/>
        <v>4.5999999999999999E-3</v>
      </c>
      <c r="AA256" s="54">
        <f t="shared" si="2065"/>
        <v>4.5999999999999999E-3</v>
      </c>
      <c r="AB256" s="54">
        <f t="shared" si="2065"/>
        <v>4.5999999999999999E-3</v>
      </c>
      <c r="AC256" s="54">
        <f t="shared" si="2065"/>
        <v>4.5999999999999999E-3</v>
      </c>
      <c r="AD256" s="54">
        <f t="shared" si="2065"/>
        <v>4.5999999999999999E-3</v>
      </c>
      <c r="AE256" s="54">
        <f t="shared" si="2065"/>
        <v>4.5999999999999999E-3</v>
      </c>
      <c r="AF256" s="54">
        <f t="shared" si="2065"/>
        <v>4.5999999999999999E-3</v>
      </c>
      <c r="AG256" s="54">
        <f t="shared" si="2065"/>
        <v>4.5999999999999999E-3</v>
      </c>
      <c r="AH256" s="54">
        <f t="shared" si="2065"/>
        <v>4.5999999999999999E-3</v>
      </c>
      <c r="AI256" s="54">
        <f t="shared" si="2065"/>
        <v>4.5999999999999999E-3</v>
      </c>
      <c r="AJ256" s="54">
        <f t="shared" si="2065"/>
        <v>4.5999999999999999E-3</v>
      </c>
      <c r="AK256" s="54">
        <f t="shared" si="2065"/>
        <v>4.5999999999999999E-3</v>
      </c>
      <c r="AL256" s="54">
        <f t="shared" si="2065"/>
        <v>4.5999999999999999E-3</v>
      </c>
      <c r="AM256" s="54">
        <f t="shared" si="2065"/>
        <v>4.5999999999999999E-3</v>
      </c>
      <c r="AN256" s="54">
        <f t="shared" si="2065"/>
        <v>4.5999999999999999E-3</v>
      </c>
      <c r="AO256" s="54">
        <f t="shared" si="2065"/>
        <v>4.5999999999999999E-3</v>
      </c>
      <c r="AP256" s="54">
        <f t="shared" si="2065"/>
        <v>4.5999999999999999E-3</v>
      </c>
      <c r="AQ256" s="54">
        <f t="shared" si="2065"/>
        <v>4.5999999999999999E-3</v>
      </c>
      <c r="AR256" s="54">
        <f t="shared" si="2065"/>
        <v>4.5999999999999999E-3</v>
      </c>
      <c r="AS256" s="54">
        <f t="shared" si="2065"/>
        <v>4.5999999999999999E-3</v>
      </c>
      <c r="AT256" s="54">
        <f t="shared" si="2065"/>
        <v>4.5999999999999999E-3</v>
      </c>
      <c r="AU256" s="54">
        <f t="shared" si="2065"/>
        <v>4.5999999999999999E-3</v>
      </c>
      <c r="AV256" s="54">
        <f t="shared" si="2065"/>
        <v>4.5999999999999999E-3</v>
      </c>
      <c r="AW256" s="54">
        <f t="shared" si="2065"/>
        <v>4.5999999999999999E-3</v>
      </c>
      <c r="AX256" s="54">
        <f t="shared" si="2065"/>
        <v>4.5999999999999999E-3</v>
      </c>
      <c r="AY256" s="54">
        <f t="shared" si="2065"/>
        <v>4.5999999999999999E-3</v>
      </c>
      <c r="AZ256" s="54">
        <f t="shared" si="2065"/>
        <v>4.5999999999999999E-3</v>
      </c>
      <c r="BA256" s="54">
        <f t="shared" si="2065"/>
        <v>4.5999999999999999E-3</v>
      </c>
      <c r="BB256" s="54">
        <f t="shared" si="2065"/>
        <v>4.5999999999999999E-3</v>
      </c>
      <c r="BC256" s="54">
        <f t="shared" si="2065"/>
        <v>4.5999999999999999E-3</v>
      </c>
      <c r="BD256" s="54">
        <f t="shared" si="2065"/>
        <v>4.5999999999999999E-3</v>
      </c>
      <c r="BE256" s="54">
        <f t="shared" si="2065"/>
        <v>4.5999999999999999E-3</v>
      </c>
      <c r="BF256" s="54">
        <f t="shared" si="2065"/>
        <v>4.5999999999999999E-3</v>
      </c>
      <c r="BG256" s="54">
        <f t="shared" si="2065"/>
        <v>4.5999999999999999E-3</v>
      </c>
      <c r="BH256" s="54">
        <f t="shared" si="2065"/>
        <v>4.5999999999999999E-3</v>
      </c>
      <c r="BI256" s="54">
        <f t="shared" si="2065"/>
        <v>4.5999999999999999E-3</v>
      </c>
      <c r="BJ256" s="54">
        <f t="shared" si="2065"/>
        <v>4.5999999999999999E-3</v>
      </c>
      <c r="BK256" s="54">
        <f t="shared" si="2065"/>
        <v>4.5999999999999999E-3</v>
      </c>
      <c r="BL256" s="54">
        <f t="shared" si="2065"/>
        <v>4.5999999999999999E-3</v>
      </c>
      <c r="BM256" s="54">
        <f t="shared" si="2065"/>
        <v>4.5999999999999999E-3</v>
      </c>
      <c r="BN256" s="54">
        <f t="shared" si="2065"/>
        <v>4.5999999999999999E-3</v>
      </c>
    </row>
    <row r="257" spans="2:66" x14ac:dyDescent="0.2">
      <c r="C257" s="322"/>
      <c r="D257" s="23" t="s">
        <v>12</v>
      </c>
      <c r="E257" s="27">
        <f>SUM(F257:AY257)</f>
        <v>4837.8573539672616</v>
      </c>
      <c r="F257" s="29">
        <f>+F255*F256</f>
        <v>-0.84889583329834384</v>
      </c>
      <c r="G257" s="29">
        <f>+G255*G256</f>
        <v>2292.0187499055291</v>
      </c>
      <c r="H257" s="29">
        <f>+H255*H256</f>
        <v>2546.6874998950311</v>
      </c>
      <c r="I257" s="29">
        <f t="shared" ref="I257:O257" si="2066">+I255*I256</f>
        <v>0</v>
      </c>
      <c r="J257" s="29">
        <f t="shared" si="2066"/>
        <v>0</v>
      </c>
      <c r="K257" s="29">
        <f t="shared" si="2066"/>
        <v>0</v>
      </c>
      <c r="L257" s="29">
        <f t="shared" si="2066"/>
        <v>0</v>
      </c>
      <c r="M257" s="29">
        <f t="shared" si="2066"/>
        <v>0</v>
      </c>
      <c r="N257" s="29">
        <f t="shared" si="2066"/>
        <v>0</v>
      </c>
      <c r="O257" s="29">
        <f t="shared" si="2066"/>
        <v>0</v>
      </c>
      <c r="P257" s="29">
        <f>+P255*P256</f>
        <v>0</v>
      </c>
      <c r="Q257" s="29">
        <f t="shared" ref="Q257" si="2067">+Q255*Q256</f>
        <v>0</v>
      </c>
      <c r="R257" s="29">
        <f>+R255*R256</f>
        <v>0</v>
      </c>
      <c r="S257" s="29">
        <f>+S255*S256</f>
        <v>0</v>
      </c>
      <c r="T257" s="29">
        <f t="shared" ref="T257" si="2068">+T255*T256</f>
        <v>0</v>
      </c>
      <c r="U257" s="29">
        <f>+U255*U256</f>
        <v>0</v>
      </c>
      <c r="V257" s="29">
        <f t="shared" ref="V257:X257" si="2069">+V255*V256</f>
        <v>0</v>
      </c>
      <c r="W257" s="29">
        <f t="shared" si="2069"/>
        <v>0</v>
      </c>
      <c r="X257" s="29">
        <f t="shared" si="2069"/>
        <v>0</v>
      </c>
      <c r="Y257" s="29">
        <v>0</v>
      </c>
      <c r="Z257" s="29">
        <f>+Z255*Z256</f>
        <v>0</v>
      </c>
      <c r="AA257" s="29">
        <f>+AA255*AA256</f>
        <v>0</v>
      </c>
      <c r="AB257" s="29">
        <f t="shared" ref="AB257:AD257" si="2070">+AB255*AB256</f>
        <v>0</v>
      </c>
      <c r="AC257" s="29">
        <f t="shared" si="2070"/>
        <v>0</v>
      </c>
      <c r="AD257" s="29">
        <f t="shared" si="2070"/>
        <v>0</v>
      </c>
      <c r="AE257" s="29">
        <v>0</v>
      </c>
      <c r="AF257" s="29">
        <f>+AF255*AF256</f>
        <v>0</v>
      </c>
      <c r="AG257" s="29">
        <f t="shared" ref="AG257:AP257" si="2071">+AG255*AG256</f>
        <v>0</v>
      </c>
      <c r="AH257" s="29">
        <f t="shared" si="2071"/>
        <v>0</v>
      </c>
      <c r="AI257" s="29">
        <f t="shared" si="2071"/>
        <v>0</v>
      </c>
      <c r="AJ257" s="29">
        <f t="shared" si="2071"/>
        <v>0</v>
      </c>
      <c r="AK257" s="29">
        <f t="shared" si="2071"/>
        <v>0</v>
      </c>
      <c r="AL257" s="29">
        <f t="shared" si="2071"/>
        <v>0</v>
      </c>
      <c r="AM257" s="29">
        <f t="shared" si="2071"/>
        <v>0</v>
      </c>
      <c r="AN257" s="29">
        <f t="shared" si="2071"/>
        <v>0</v>
      </c>
      <c r="AO257" s="29">
        <f t="shared" si="2071"/>
        <v>0</v>
      </c>
      <c r="AP257" s="29">
        <f t="shared" si="2071"/>
        <v>0</v>
      </c>
      <c r="AQ257" s="29">
        <f>+AQ255*AQ256</f>
        <v>0</v>
      </c>
      <c r="AR257" s="29">
        <v>0</v>
      </c>
      <c r="AS257" s="29">
        <f t="shared" ref="AS257:AT257" si="2072">+AS255*AS256</f>
        <v>0</v>
      </c>
      <c r="AT257" s="29">
        <f t="shared" si="2072"/>
        <v>0</v>
      </c>
      <c r="AU257" s="29">
        <v>0</v>
      </c>
      <c r="AV257" s="29">
        <v>0</v>
      </c>
      <c r="AW257" s="29">
        <f t="shared" ref="AW257:AX257" si="2073">+AW255*AW256</f>
        <v>0</v>
      </c>
      <c r="AX257" s="29">
        <f t="shared" si="2073"/>
        <v>0</v>
      </c>
      <c r="AY257" s="29">
        <f>+AY255*AY256</f>
        <v>0</v>
      </c>
      <c r="AZ257" s="29">
        <f t="shared" ref="AZ257:BN257" si="2074">+AZ255*AZ256</f>
        <v>0</v>
      </c>
      <c r="BA257" s="29">
        <f t="shared" si="2074"/>
        <v>0</v>
      </c>
      <c r="BB257" s="29">
        <f t="shared" si="2074"/>
        <v>0</v>
      </c>
      <c r="BC257" s="29">
        <f t="shared" si="2074"/>
        <v>0</v>
      </c>
      <c r="BD257" s="29">
        <f t="shared" si="2074"/>
        <v>0</v>
      </c>
      <c r="BE257" s="29">
        <f t="shared" si="2074"/>
        <v>0</v>
      </c>
      <c r="BF257" s="29">
        <f t="shared" si="2074"/>
        <v>0</v>
      </c>
      <c r="BG257" s="29">
        <f t="shared" si="2074"/>
        <v>0</v>
      </c>
      <c r="BH257" s="29">
        <f t="shared" si="2074"/>
        <v>0</v>
      </c>
      <c r="BI257" s="29">
        <f t="shared" si="2074"/>
        <v>0</v>
      </c>
      <c r="BJ257" s="29">
        <f t="shared" si="2074"/>
        <v>0</v>
      </c>
      <c r="BK257" s="29">
        <f t="shared" si="2074"/>
        <v>0</v>
      </c>
      <c r="BL257" s="29">
        <f t="shared" si="2074"/>
        <v>0</v>
      </c>
      <c r="BM257" s="29">
        <f t="shared" si="2074"/>
        <v>0</v>
      </c>
      <c r="BN257" s="29">
        <f t="shared" si="2074"/>
        <v>0</v>
      </c>
    </row>
    <row r="258" spans="2:66" ht="13.5" thickBot="1" x14ac:dyDescent="0.25">
      <c r="C258" s="323"/>
      <c r="D258" s="25" t="s">
        <v>11</v>
      </c>
      <c r="E258" s="30">
        <f>SUM(F258:AY258)</f>
        <v>1056545.9777816329</v>
      </c>
      <c r="F258" s="46">
        <f>+F255+F257</f>
        <v>-185.39146828946005</v>
      </c>
      <c r="G258" s="46">
        <f>+G255+G257</f>
        <v>500556.96438154229</v>
      </c>
      <c r="H258" s="46">
        <f>+H255+H257</f>
        <v>556174.40486838005</v>
      </c>
      <c r="I258" s="46">
        <f t="shared" ref="I258:AU258" si="2075">+I255+I257</f>
        <v>0</v>
      </c>
      <c r="J258" s="46">
        <f t="shared" si="2075"/>
        <v>0</v>
      </c>
      <c r="K258" s="46">
        <f t="shared" si="2075"/>
        <v>0</v>
      </c>
      <c r="L258" s="46">
        <f t="shared" si="2075"/>
        <v>0</v>
      </c>
      <c r="M258" s="46">
        <f t="shared" si="2075"/>
        <v>0</v>
      </c>
      <c r="N258" s="46">
        <f t="shared" si="2075"/>
        <v>0</v>
      </c>
      <c r="O258" s="46">
        <f t="shared" si="2075"/>
        <v>0</v>
      </c>
      <c r="P258" s="46">
        <f t="shared" si="2075"/>
        <v>0</v>
      </c>
      <c r="Q258" s="46">
        <f t="shared" si="2075"/>
        <v>0</v>
      </c>
      <c r="R258" s="46">
        <f t="shared" si="2075"/>
        <v>0</v>
      </c>
      <c r="S258" s="46">
        <f t="shared" si="2075"/>
        <v>0</v>
      </c>
      <c r="T258" s="46">
        <f t="shared" si="2075"/>
        <v>0</v>
      </c>
      <c r="U258" s="46">
        <f t="shared" si="2075"/>
        <v>0</v>
      </c>
      <c r="V258" s="46">
        <f t="shared" si="2075"/>
        <v>0</v>
      </c>
      <c r="W258" s="46">
        <f t="shared" si="2075"/>
        <v>0</v>
      </c>
      <c r="X258" s="46">
        <f t="shared" si="2075"/>
        <v>0</v>
      </c>
      <c r="Y258" s="46">
        <f t="shared" si="2075"/>
        <v>0</v>
      </c>
      <c r="Z258" s="46">
        <f t="shared" si="2075"/>
        <v>0</v>
      </c>
      <c r="AA258" s="46">
        <f t="shared" si="2075"/>
        <v>0</v>
      </c>
      <c r="AB258" s="46">
        <f t="shared" si="2075"/>
        <v>0</v>
      </c>
      <c r="AC258" s="46">
        <f t="shared" si="2075"/>
        <v>0</v>
      </c>
      <c r="AD258" s="46">
        <f t="shared" si="2075"/>
        <v>0</v>
      </c>
      <c r="AE258" s="46">
        <f t="shared" si="2075"/>
        <v>0</v>
      </c>
      <c r="AF258" s="46">
        <f t="shared" si="2075"/>
        <v>0</v>
      </c>
      <c r="AG258" s="46">
        <f t="shared" si="2075"/>
        <v>0</v>
      </c>
      <c r="AH258" s="46">
        <f t="shared" si="2075"/>
        <v>0</v>
      </c>
      <c r="AI258" s="46">
        <f t="shared" si="2075"/>
        <v>0</v>
      </c>
      <c r="AJ258" s="46">
        <f t="shared" si="2075"/>
        <v>0</v>
      </c>
      <c r="AK258" s="46">
        <f t="shared" si="2075"/>
        <v>0</v>
      </c>
      <c r="AL258" s="46">
        <f t="shared" si="2075"/>
        <v>0</v>
      </c>
      <c r="AM258" s="46">
        <f t="shared" si="2075"/>
        <v>0</v>
      </c>
      <c r="AN258" s="46">
        <f t="shared" si="2075"/>
        <v>0</v>
      </c>
      <c r="AO258" s="46">
        <f t="shared" si="2075"/>
        <v>0</v>
      </c>
      <c r="AP258" s="46">
        <f t="shared" si="2075"/>
        <v>0</v>
      </c>
      <c r="AQ258" s="46">
        <f t="shared" si="2075"/>
        <v>0</v>
      </c>
      <c r="AR258" s="46">
        <f t="shared" si="2075"/>
        <v>0</v>
      </c>
      <c r="AS258" s="46">
        <f t="shared" si="2075"/>
        <v>0</v>
      </c>
      <c r="AT258" s="46">
        <f t="shared" si="2075"/>
        <v>0</v>
      </c>
      <c r="AU258" s="46">
        <f t="shared" si="2075"/>
        <v>0</v>
      </c>
      <c r="AV258" s="46">
        <f>+AV255+AV257</f>
        <v>0</v>
      </c>
      <c r="AW258" s="46">
        <f t="shared" ref="AW258:BN258" si="2076">+AW255+AW257</f>
        <v>0</v>
      </c>
      <c r="AX258" s="46">
        <f t="shared" si="2076"/>
        <v>0</v>
      </c>
      <c r="AY258" s="46">
        <f t="shared" si="2076"/>
        <v>0</v>
      </c>
      <c r="AZ258" s="46">
        <f t="shared" si="2076"/>
        <v>0</v>
      </c>
      <c r="BA258" s="46">
        <f t="shared" si="2076"/>
        <v>0</v>
      </c>
      <c r="BB258" s="46">
        <f t="shared" si="2076"/>
        <v>0</v>
      </c>
      <c r="BC258" s="46">
        <f t="shared" si="2076"/>
        <v>0</v>
      </c>
      <c r="BD258" s="46">
        <f t="shared" si="2076"/>
        <v>0</v>
      </c>
      <c r="BE258" s="46">
        <f t="shared" si="2076"/>
        <v>0</v>
      </c>
      <c r="BF258" s="46">
        <f t="shared" si="2076"/>
        <v>0</v>
      </c>
      <c r="BG258" s="46">
        <f t="shared" si="2076"/>
        <v>0</v>
      </c>
      <c r="BH258" s="46">
        <f t="shared" si="2076"/>
        <v>0</v>
      </c>
      <c r="BI258" s="46">
        <f t="shared" si="2076"/>
        <v>0</v>
      </c>
      <c r="BJ258" s="46">
        <f t="shared" si="2076"/>
        <v>0</v>
      </c>
      <c r="BK258" s="46">
        <f t="shared" si="2076"/>
        <v>0</v>
      </c>
      <c r="BL258" s="46">
        <f t="shared" si="2076"/>
        <v>0</v>
      </c>
      <c r="BM258" s="46">
        <f t="shared" si="2076"/>
        <v>0</v>
      </c>
      <c r="BN258" s="46">
        <f t="shared" si="2076"/>
        <v>0</v>
      </c>
    </row>
    <row r="259" spans="2:66" x14ac:dyDescent="0.2">
      <c r="C259" s="321">
        <v>44501</v>
      </c>
      <c r="D259" s="20" t="s">
        <v>5</v>
      </c>
      <c r="E259" s="50">
        <f>SUM(F259:BN259)</f>
        <v>0</v>
      </c>
      <c r="F259" s="279">
        <f>IF(F$6=$C259,F$7,0)</f>
        <v>0</v>
      </c>
      <c r="G259" s="279">
        <f t="shared" ref="G259:BN259" si="2077">IF(G$6=$C259,G$7,0)</f>
        <v>0</v>
      </c>
      <c r="H259" s="279">
        <f t="shared" si="2077"/>
        <v>0</v>
      </c>
      <c r="I259" s="279">
        <f t="shared" si="2077"/>
        <v>0</v>
      </c>
      <c r="J259" s="279">
        <f t="shared" si="2077"/>
        <v>0</v>
      </c>
      <c r="K259" s="279">
        <f t="shared" si="2077"/>
        <v>0</v>
      </c>
      <c r="L259" s="279">
        <f t="shared" si="2077"/>
        <v>0</v>
      </c>
      <c r="M259" s="279">
        <f t="shared" si="2077"/>
        <v>0</v>
      </c>
      <c r="N259" s="279">
        <f t="shared" si="2077"/>
        <v>0</v>
      </c>
      <c r="O259" s="279">
        <f t="shared" si="2077"/>
        <v>0</v>
      </c>
      <c r="P259" s="279">
        <f t="shared" si="2077"/>
        <v>0</v>
      </c>
      <c r="Q259" s="279">
        <f t="shared" si="2077"/>
        <v>0</v>
      </c>
      <c r="R259" s="279">
        <f t="shared" si="2077"/>
        <v>0</v>
      </c>
      <c r="S259" s="279">
        <f t="shared" si="2077"/>
        <v>0</v>
      </c>
      <c r="T259" s="279">
        <f t="shared" si="2077"/>
        <v>0</v>
      </c>
      <c r="U259" s="279">
        <f t="shared" si="2077"/>
        <v>0</v>
      </c>
      <c r="V259" s="279">
        <f t="shared" si="2077"/>
        <v>0</v>
      </c>
      <c r="W259" s="279">
        <f t="shared" si="2077"/>
        <v>0</v>
      </c>
      <c r="X259" s="279">
        <f t="shared" si="2077"/>
        <v>0</v>
      </c>
      <c r="Y259" s="279">
        <f t="shared" si="2077"/>
        <v>0</v>
      </c>
      <c r="Z259" s="279">
        <f t="shared" si="2077"/>
        <v>0</v>
      </c>
      <c r="AA259" s="279">
        <f t="shared" si="2077"/>
        <v>0</v>
      </c>
      <c r="AB259" s="279">
        <f t="shared" si="2077"/>
        <v>0</v>
      </c>
      <c r="AC259" s="279">
        <f t="shared" si="2077"/>
        <v>0</v>
      </c>
      <c r="AD259" s="279">
        <f t="shared" si="2077"/>
        <v>0</v>
      </c>
      <c r="AE259" s="279">
        <f t="shared" si="2077"/>
        <v>0</v>
      </c>
      <c r="AF259" s="279">
        <f t="shared" si="2077"/>
        <v>0</v>
      </c>
      <c r="AG259" s="279">
        <f t="shared" si="2077"/>
        <v>0</v>
      </c>
      <c r="AH259" s="279">
        <f t="shared" si="2077"/>
        <v>0</v>
      </c>
      <c r="AI259" s="279">
        <f t="shared" si="2077"/>
        <v>0</v>
      </c>
      <c r="AJ259" s="279">
        <f t="shared" si="2077"/>
        <v>0</v>
      </c>
      <c r="AK259" s="279">
        <f t="shared" si="2077"/>
        <v>0</v>
      </c>
      <c r="AL259" s="279">
        <f t="shared" si="2077"/>
        <v>0</v>
      </c>
      <c r="AM259" s="279">
        <f t="shared" si="2077"/>
        <v>0</v>
      </c>
      <c r="AN259" s="279">
        <f t="shared" si="2077"/>
        <v>0</v>
      </c>
      <c r="AO259" s="279">
        <f t="shared" si="2077"/>
        <v>0</v>
      </c>
      <c r="AP259" s="279">
        <f t="shared" si="2077"/>
        <v>0</v>
      </c>
      <c r="AQ259" s="279">
        <f t="shared" si="2077"/>
        <v>0</v>
      </c>
      <c r="AR259" s="279">
        <f t="shared" si="2077"/>
        <v>0</v>
      </c>
      <c r="AS259" s="279">
        <f t="shared" si="2077"/>
        <v>0</v>
      </c>
      <c r="AT259" s="279">
        <f t="shared" si="2077"/>
        <v>0</v>
      </c>
      <c r="AU259" s="279">
        <f t="shared" si="2077"/>
        <v>0</v>
      </c>
      <c r="AV259" s="279">
        <f t="shared" si="2077"/>
        <v>0</v>
      </c>
      <c r="AW259" s="279">
        <f t="shared" si="2077"/>
        <v>0</v>
      </c>
      <c r="AX259" s="279">
        <f t="shared" si="2077"/>
        <v>0</v>
      </c>
      <c r="AY259" s="279">
        <f t="shared" si="2077"/>
        <v>0</v>
      </c>
      <c r="AZ259" s="279">
        <f t="shared" si="2077"/>
        <v>0</v>
      </c>
      <c r="BA259" s="279">
        <f t="shared" si="2077"/>
        <v>0</v>
      </c>
      <c r="BB259" s="279">
        <f t="shared" si="2077"/>
        <v>0</v>
      </c>
      <c r="BC259" s="279">
        <f t="shared" si="2077"/>
        <v>0</v>
      </c>
      <c r="BD259" s="279">
        <f t="shared" si="2077"/>
        <v>0</v>
      </c>
      <c r="BE259" s="279">
        <f t="shared" si="2077"/>
        <v>0</v>
      </c>
      <c r="BF259" s="279">
        <f t="shared" si="2077"/>
        <v>0</v>
      </c>
      <c r="BG259" s="279">
        <f t="shared" si="2077"/>
        <v>0</v>
      </c>
      <c r="BH259" s="279">
        <f t="shared" si="2077"/>
        <v>0</v>
      </c>
      <c r="BI259" s="279">
        <f t="shared" si="2077"/>
        <v>0</v>
      </c>
      <c r="BJ259" s="279">
        <f t="shared" si="2077"/>
        <v>0</v>
      </c>
      <c r="BK259" s="279">
        <f t="shared" si="2077"/>
        <v>0</v>
      </c>
      <c r="BL259" s="279">
        <f t="shared" si="2077"/>
        <v>0</v>
      </c>
      <c r="BM259" s="279">
        <f t="shared" si="2077"/>
        <v>0</v>
      </c>
      <c r="BN259" s="279">
        <f t="shared" si="2077"/>
        <v>0</v>
      </c>
    </row>
    <row r="260" spans="2:66" x14ac:dyDescent="0.2">
      <c r="C260" s="322"/>
      <c r="D260" s="23" t="s">
        <v>7</v>
      </c>
      <c r="E260" s="91">
        <f>SUM(F260:BN260)</f>
        <v>14.640000000000011</v>
      </c>
      <c r="F260" s="28">
        <f>IF(F259="",VLOOKUP($C259,'CUSTOS REALIZADOS'!$A$11:$E$995,4),(VLOOKUP($C259,'CUSTOS REALIZADOS'!$A$11:$E$995,5)))</f>
        <v>0.24000000000000002</v>
      </c>
      <c r="G260" s="28">
        <f>IF(G259="",VLOOKUP($C259,'CUSTOS REALIZADOS'!$A$11:$E$995,4),(VLOOKUP($C259,'CUSTOS REALIZADOS'!$A$11:$E$995,5)))</f>
        <v>0.24000000000000002</v>
      </c>
      <c r="H260" s="28">
        <f>IF(H259="",VLOOKUP($C259,'CUSTOS REALIZADOS'!$A$11:$E$995,4),(VLOOKUP($C259,'CUSTOS REALIZADOS'!$A$11:$E$995,5)))</f>
        <v>0.24000000000000002</v>
      </c>
      <c r="I260" s="28">
        <f>IF(I259="",VLOOKUP($C259,'CUSTOS REALIZADOS'!$A$11:$E$995,4),(VLOOKUP($C259,'CUSTOS REALIZADOS'!$A$11:$E$995,5)))</f>
        <v>0.24000000000000002</v>
      </c>
      <c r="J260" s="28">
        <f>IF(J259="",VLOOKUP($C259,'CUSTOS REALIZADOS'!$A$11:$E$995,4),(VLOOKUP($C259,'CUSTOS REALIZADOS'!$A$11:$E$995,5)))</f>
        <v>0.24000000000000002</v>
      </c>
      <c r="K260" s="28">
        <f>IF(K259="",VLOOKUP($C259,'CUSTOS REALIZADOS'!$A$11:$E$995,4),(VLOOKUP($C259,'CUSTOS REALIZADOS'!$A$11:$E$995,5)))</f>
        <v>0.24000000000000002</v>
      </c>
      <c r="L260" s="28">
        <f>IF(L259="",VLOOKUP($C259,'CUSTOS REALIZADOS'!$A$11:$E$995,4),(VLOOKUP($C259,'CUSTOS REALIZADOS'!$A$11:$E$995,5)))</f>
        <v>0.24000000000000002</v>
      </c>
      <c r="M260" s="28">
        <f>IF(M259="",VLOOKUP($C259,'CUSTOS REALIZADOS'!$A$11:$E$995,4),(VLOOKUP($C259,'CUSTOS REALIZADOS'!$A$11:$E$995,5)))</f>
        <v>0.24000000000000002</v>
      </c>
      <c r="N260" s="28">
        <f>IF(N259="",VLOOKUP($C259,'CUSTOS REALIZADOS'!$A$11:$E$995,4),(VLOOKUP($C259,'CUSTOS REALIZADOS'!$A$11:$E$995,5)))</f>
        <v>0.24000000000000002</v>
      </c>
      <c r="O260" s="28">
        <f>IF(O259="",VLOOKUP($C259,'CUSTOS REALIZADOS'!$A$11:$E$995,4),(VLOOKUP($C259,'CUSTOS REALIZADOS'!$A$11:$E$995,5)))</f>
        <v>0.24000000000000002</v>
      </c>
      <c r="P260" s="28">
        <f>IF(P259="",VLOOKUP($C259,'CUSTOS REALIZADOS'!$A$11:$E$995,4),(VLOOKUP($C259,'CUSTOS REALIZADOS'!$A$11:$E$995,5)))</f>
        <v>0.24000000000000002</v>
      </c>
      <c r="Q260" s="28">
        <f>IF(Q259="",VLOOKUP($C259,'CUSTOS REALIZADOS'!$A$11:$E$995,4),(VLOOKUP($C259,'CUSTOS REALIZADOS'!$A$11:$E$995,5)))</f>
        <v>0.24000000000000002</v>
      </c>
      <c r="R260" s="28">
        <f>IF(R259="",VLOOKUP($C259,'CUSTOS REALIZADOS'!$A$11:$E$995,4),(VLOOKUP($C259,'CUSTOS REALIZADOS'!$A$11:$E$995,5)))</f>
        <v>0.24000000000000002</v>
      </c>
      <c r="S260" s="28">
        <f>IF(S259="",VLOOKUP($C259,'CUSTOS REALIZADOS'!$A$11:$E$995,4),(VLOOKUP($C259,'CUSTOS REALIZADOS'!$A$11:$E$995,5)))</f>
        <v>0.24000000000000002</v>
      </c>
      <c r="T260" s="28">
        <f>IF(T259="",VLOOKUP($C259,'CUSTOS REALIZADOS'!$A$11:$E$995,4),(VLOOKUP($C259,'CUSTOS REALIZADOS'!$A$11:$E$995,5)))</f>
        <v>0.24000000000000002</v>
      </c>
      <c r="U260" s="28">
        <f>IF(U259="",VLOOKUP($C259,'CUSTOS REALIZADOS'!$A$11:$E$995,4),(VLOOKUP($C259,'CUSTOS REALIZADOS'!$A$11:$E$995,5)))</f>
        <v>0.24000000000000002</v>
      </c>
      <c r="V260" s="28">
        <f>IF(V259="",VLOOKUP($C259,'CUSTOS REALIZADOS'!$A$11:$E$995,4),(VLOOKUP($C259,'CUSTOS REALIZADOS'!$A$11:$E$995,5)))</f>
        <v>0.24000000000000002</v>
      </c>
      <c r="W260" s="28">
        <f>IF(W259="",VLOOKUP($C259,'CUSTOS REALIZADOS'!$A$11:$E$995,4),(VLOOKUP($C259,'CUSTOS REALIZADOS'!$A$11:$E$995,5)))</f>
        <v>0.24000000000000002</v>
      </c>
      <c r="X260" s="28">
        <f>IF(X259="",VLOOKUP($C259,'CUSTOS REALIZADOS'!$A$11:$E$995,4),(VLOOKUP($C259,'CUSTOS REALIZADOS'!$A$11:$E$995,5)))</f>
        <v>0.24000000000000002</v>
      </c>
      <c r="Y260" s="28">
        <f>IF(Y259="",VLOOKUP($C259,'CUSTOS REALIZADOS'!$A$11:$E$995,4),(VLOOKUP($C259,'CUSTOS REALIZADOS'!$A$11:$E$995,5)))</f>
        <v>0.24000000000000002</v>
      </c>
      <c r="Z260" s="28">
        <f>IF(Z259="",VLOOKUP($C259,'CUSTOS REALIZADOS'!$A$11:$E$995,4),(VLOOKUP($C259,'CUSTOS REALIZADOS'!$A$11:$E$995,5)))</f>
        <v>0.24000000000000002</v>
      </c>
      <c r="AA260" s="28">
        <f>IF(AA259="",VLOOKUP($C259,'CUSTOS REALIZADOS'!$A$11:$E$995,4),(VLOOKUP($C259,'CUSTOS REALIZADOS'!$A$11:$E$995,5)))</f>
        <v>0.24000000000000002</v>
      </c>
      <c r="AB260" s="28">
        <f>IF(AB259="",VLOOKUP($C259,'CUSTOS REALIZADOS'!$A$11:$E$995,4),(VLOOKUP($C259,'CUSTOS REALIZADOS'!$A$11:$E$995,5)))</f>
        <v>0.24000000000000002</v>
      </c>
      <c r="AC260" s="28">
        <f>IF(AC259="",VLOOKUP($C259,'CUSTOS REALIZADOS'!$A$11:$E$995,4),(VLOOKUP($C259,'CUSTOS REALIZADOS'!$A$11:$E$995,5)))</f>
        <v>0.24000000000000002</v>
      </c>
      <c r="AD260" s="28">
        <f>IF(AD259="",VLOOKUP($C259,'CUSTOS REALIZADOS'!$A$11:$E$995,4),(VLOOKUP($C259,'CUSTOS REALIZADOS'!$A$11:$E$995,5)))</f>
        <v>0.24000000000000002</v>
      </c>
      <c r="AE260" s="28">
        <f>IF(AE259="",VLOOKUP($C259,'CUSTOS REALIZADOS'!$A$11:$E$995,4),(VLOOKUP($C259,'CUSTOS REALIZADOS'!$A$11:$E$995,5)))</f>
        <v>0.24000000000000002</v>
      </c>
      <c r="AF260" s="28">
        <f>IF(AF259="",VLOOKUP($C259,'CUSTOS REALIZADOS'!$A$11:$E$995,4),(VLOOKUP($C259,'CUSTOS REALIZADOS'!$A$11:$E$995,5)))</f>
        <v>0.24000000000000002</v>
      </c>
      <c r="AG260" s="28">
        <f>IF(AG259="",VLOOKUP($C259,'CUSTOS REALIZADOS'!$A$11:$E$995,4),(VLOOKUP($C259,'CUSTOS REALIZADOS'!$A$11:$E$995,5)))</f>
        <v>0.24000000000000002</v>
      </c>
      <c r="AH260" s="28">
        <f>IF(AH259="",VLOOKUP($C259,'CUSTOS REALIZADOS'!$A$11:$E$995,4),(VLOOKUP($C259,'CUSTOS REALIZADOS'!$A$11:$E$995,5)))</f>
        <v>0.24000000000000002</v>
      </c>
      <c r="AI260" s="28">
        <f>IF(AI259="",VLOOKUP($C259,'CUSTOS REALIZADOS'!$A$11:$E$995,4),(VLOOKUP($C259,'CUSTOS REALIZADOS'!$A$11:$E$995,5)))</f>
        <v>0.24000000000000002</v>
      </c>
      <c r="AJ260" s="28">
        <f>IF(AJ259="",VLOOKUP($C259,'CUSTOS REALIZADOS'!$A$11:$E$995,4),(VLOOKUP($C259,'CUSTOS REALIZADOS'!$A$11:$E$995,5)))</f>
        <v>0.24000000000000002</v>
      </c>
      <c r="AK260" s="28">
        <f>IF(AK259="",VLOOKUP($C259,'CUSTOS REALIZADOS'!$A$11:$E$995,4),(VLOOKUP($C259,'CUSTOS REALIZADOS'!$A$11:$E$995,5)))</f>
        <v>0.24000000000000002</v>
      </c>
      <c r="AL260" s="28">
        <f>IF(AL259="",VLOOKUP($C259,'CUSTOS REALIZADOS'!$A$11:$E$995,4),(VLOOKUP($C259,'CUSTOS REALIZADOS'!$A$11:$E$995,5)))</f>
        <v>0.24000000000000002</v>
      </c>
      <c r="AM260" s="28">
        <f>IF(AM259="",VLOOKUP($C259,'CUSTOS REALIZADOS'!$A$11:$E$995,4),(VLOOKUP($C259,'CUSTOS REALIZADOS'!$A$11:$E$995,5)))</f>
        <v>0.24000000000000002</v>
      </c>
      <c r="AN260" s="28">
        <f>IF(AN259="",VLOOKUP($C259,'CUSTOS REALIZADOS'!$A$11:$E$995,4),(VLOOKUP($C259,'CUSTOS REALIZADOS'!$A$11:$E$995,5)))</f>
        <v>0.24000000000000002</v>
      </c>
      <c r="AO260" s="28">
        <f>IF(AO259="",VLOOKUP($C259,'CUSTOS REALIZADOS'!$A$11:$E$995,4),(VLOOKUP($C259,'CUSTOS REALIZADOS'!$A$11:$E$995,5)))</f>
        <v>0.24000000000000002</v>
      </c>
      <c r="AP260" s="28">
        <f>IF(AP259="",VLOOKUP($C259,'CUSTOS REALIZADOS'!$A$11:$E$995,4),(VLOOKUP($C259,'CUSTOS REALIZADOS'!$A$11:$E$995,5)))</f>
        <v>0.24000000000000002</v>
      </c>
      <c r="AQ260" s="28">
        <f>IF(AQ259="",VLOOKUP($C259,'CUSTOS REALIZADOS'!$A$11:$E$995,4),(VLOOKUP($C259,'CUSTOS REALIZADOS'!$A$11:$E$995,5)))</f>
        <v>0.24000000000000002</v>
      </c>
      <c r="AR260" s="28">
        <f>IF(AR259="",VLOOKUP($C259,'CUSTOS REALIZADOS'!$A$11:$E$995,4),(VLOOKUP($C259,'CUSTOS REALIZADOS'!$A$11:$E$995,5)))</f>
        <v>0.24000000000000002</v>
      </c>
      <c r="AS260" s="28">
        <f>IF(AS259="",VLOOKUP($C259,'CUSTOS REALIZADOS'!$A$11:$E$995,4),(VLOOKUP($C259,'CUSTOS REALIZADOS'!$A$11:$E$995,5)))</f>
        <v>0.24000000000000002</v>
      </c>
      <c r="AT260" s="28">
        <f>IF(AT259="",VLOOKUP($C259,'CUSTOS REALIZADOS'!$A$11:$E$995,4),(VLOOKUP($C259,'CUSTOS REALIZADOS'!$A$11:$E$995,5)))</f>
        <v>0.24000000000000002</v>
      </c>
      <c r="AU260" s="28">
        <f>IF(AU259="",VLOOKUP($C259,'CUSTOS REALIZADOS'!$A$11:$E$995,4),(VLOOKUP($C259,'CUSTOS REALIZADOS'!$A$11:$E$995,5)))</f>
        <v>0.24000000000000002</v>
      </c>
      <c r="AV260" s="28">
        <f>IF(AV259="",VLOOKUP($C259,'CUSTOS REALIZADOS'!$A$11:$E$995,4),(VLOOKUP($C259,'CUSTOS REALIZADOS'!$A$11:$E$995,5)))</f>
        <v>0.24000000000000002</v>
      </c>
      <c r="AW260" s="28">
        <f>IF(AW259="",VLOOKUP($C259,'CUSTOS REALIZADOS'!$A$11:$E$995,4),(VLOOKUP($C259,'CUSTOS REALIZADOS'!$A$11:$E$995,5)))</f>
        <v>0.24000000000000002</v>
      </c>
      <c r="AX260" s="28">
        <f>IF(AX259="",VLOOKUP($C259,'CUSTOS REALIZADOS'!$A$11:$E$995,4),(VLOOKUP($C259,'CUSTOS REALIZADOS'!$A$11:$E$995,5)))</f>
        <v>0.24000000000000002</v>
      </c>
      <c r="AY260" s="28">
        <f>IF(AY259="",VLOOKUP($C259,'CUSTOS REALIZADOS'!$A$11:$E$995,4),(VLOOKUP($C259,'CUSTOS REALIZADOS'!$A$11:$E$995,5)))</f>
        <v>0.24000000000000002</v>
      </c>
      <c r="AZ260" s="28">
        <f>IF(AZ259="",VLOOKUP($C259,'CUSTOS REALIZADOS'!$A$11:$E$995,4),(VLOOKUP($C259,'CUSTOS REALIZADOS'!$A$11:$E$995,5)))</f>
        <v>0.24000000000000002</v>
      </c>
      <c r="BA260" s="28">
        <f>IF(BA259="",VLOOKUP($C259,'CUSTOS REALIZADOS'!$A$11:$E$995,4),(VLOOKUP($C259,'CUSTOS REALIZADOS'!$A$11:$E$995,5)))</f>
        <v>0.24000000000000002</v>
      </c>
      <c r="BB260" s="28">
        <f>IF(BB259="",VLOOKUP($C259,'CUSTOS REALIZADOS'!$A$11:$E$995,4),(VLOOKUP($C259,'CUSTOS REALIZADOS'!$A$11:$E$995,5)))</f>
        <v>0.24000000000000002</v>
      </c>
      <c r="BC260" s="28">
        <f>IF(BC259="",VLOOKUP($C259,'CUSTOS REALIZADOS'!$A$11:$E$995,4),(VLOOKUP($C259,'CUSTOS REALIZADOS'!$A$11:$E$995,5)))</f>
        <v>0.24000000000000002</v>
      </c>
      <c r="BD260" s="28">
        <f>IF(BD259="",VLOOKUP($C259,'CUSTOS REALIZADOS'!$A$11:$E$995,4),(VLOOKUP($C259,'CUSTOS REALIZADOS'!$A$11:$E$995,5)))</f>
        <v>0.24000000000000002</v>
      </c>
      <c r="BE260" s="28">
        <f>IF(BE259="",VLOOKUP($C259,'CUSTOS REALIZADOS'!$A$11:$E$995,4),(VLOOKUP($C259,'CUSTOS REALIZADOS'!$A$11:$E$995,5)))</f>
        <v>0.24000000000000002</v>
      </c>
      <c r="BF260" s="28">
        <f>IF(BF259="",VLOOKUP($C259,'CUSTOS REALIZADOS'!$A$11:$E$995,4),(VLOOKUP($C259,'CUSTOS REALIZADOS'!$A$11:$E$995,5)))</f>
        <v>0.24000000000000002</v>
      </c>
      <c r="BG260" s="28">
        <f>IF(BG259="",VLOOKUP($C259,'CUSTOS REALIZADOS'!$A$11:$E$995,4),(VLOOKUP($C259,'CUSTOS REALIZADOS'!$A$11:$E$995,5)))</f>
        <v>0.24000000000000002</v>
      </c>
      <c r="BH260" s="28">
        <f>IF(BH259="",VLOOKUP($C259,'CUSTOS REALIZADOS'!$A$11:$E$995,4),(VLOOKUP($C259,'CUSTOS REALIZADOS'!$A$11:$E$995,5)))</f>
        <v>0.24000000000000002</v>
      </c>
      <c r="BI260" s="28">
        <f>IF(BI259="",VLOOKUP($C259,'CUSTOS REALIZADOS'!$A$11:$E$995,4),(VLOOKUP($C259,'CUSTOS REALIZADOS'!$A$11:$E$995,5)))</f>
        <v>0.24000000000000002</v>
      </c>
      <c r="BJ260" s="28">
        <f>IF(BJ259="",VLOOKUP($C259,'CUSTOS REALIZADOS'!$A$11:$E$995,4),(VLOOKUP($C259,'CUSTOS REALIZADOS'!$A$11:$E$995,5)))</f>
        <v>0.24000000000000002</v>
      </c>
      <c r="BK260" s="28">
        <f>IF(BK259="",VLOOKUP($C259,'CUSTOS REALIZADOS'!$A$11:$E$995,4),(VLOOKUP($C259,'CUSTOS REALIZADOS'!$A$11:$E$995,5)))</f>
        <v>0.24000000000000002</v>
      </c>
      <c r="BL260" s="28">
        <f>IF(BL259="",VLOOKUP($C259,'CUSTOS REALIZADOS'!$A$11:$E$995,4),(VLOOKUP($C259,'CUSTOS REALIZADOS'!$A$11:$E$995,5)))</f>
        <v>0.24000000000000002</v>
      </c>
      <c r="BM260" s="28">
        <f>IF(BM259="",VLOOKUP($C259,'CUSTOS REALIZADOS'!$A$11:$E$995,4),(VLOOKUP($C259,'CUSTOS REALIZADOS'!$A$11:$E$995,5)))</f>
        <v>0.24000000000000002</v>
      </c>
      <c r="BN260" s="28">
        <f>IF(BN259="",VLOOKUP($C259,'CUSTOS REALIZADOS'!$A$11:$E$995,4),(VLOOKUP($C259,'CUSTOS REALIZADOS'!$A$11:$E$995,5)))</f>
        <v>0.24000000000000002</v>
      </c>
    </row>
    <row r="261" spans="2:66" x14ac:dyDescent="0.2">
      <c r="C261" s="322"/>
      <c r="D261" s="23" t="s">
        <v>6</v>
      </c>
      <c r="E261" s="27">
        <f>SUM(F261:BN261)</f>
        <v>95000</v>
      </c>
      <c r="F261" s="23">
        <f>IF(AND($C259&gt;=F$6,OR($C259&lt;F$8,F$8="")),F$7*F$28,0)</f>
        <v>0</v>
      </c>
      <c r="G261" s="23">
        <f t="shared" ref="G261:BN261" si="2078">IF(AND($C259&gt;=G$6,OR($C259&lt;G$8,G$8="")),G$7*G$28,0)</f>
        <v>45000</v>
      </c>
      <c r="H261" s="23">
        <f t="shared" si="2078"/>
        <v>50000</v>
      </c>
      <c r="I261" s="23">
        <f t="shared" si="2078"/>
        <v>0</v>
      </c>
      <c r="J261" s="23">
        <f t="shared" si="2078"/>
        <v>0</v>
      </c>
      <c r="K261" s="23">
        <f t="shared" si="2078"/>
        <v>0</v>
      </c>
      <c r="L261" s="23">
        <f t="shared" si="2078"/>
        <v>0</v>
      </c>
      <c r="M261" s="23">
        <f t="shared" si="2078"/>
        <v>0</v>
      </c>
      <c r="N261" s="23">
        <f t="shared" si="2078"/>
        <v>0</v>
      </c>
      <c r="O261" s="23">
        <f t="shared" si="2078"/>
        <v>0</v>
      </c>
      <c r="P261" s="23">
        <f t="shared" si="2078"/>
        <v>0</v>
      </c>
      <c r="Q261" s="23">
        <f t="shared" si="2078"/>
        <v>0</v>
      </c>
      <c r="R261" s="23">
        <f t="shared" si="2078"/>
        <v>0</v>
      </c>
      <c r="S261" s="23">
        <f t="shared" si="2078"/>
        <v>0</v>
      </c>
      <c r="T261" s="23">
        <f t="shared" si="2078"/>
        <v>0</v>
      </c>
      <c r="U261" s="23">
        <f t="shared" si="2078"/>
        <v>0</v>
      </c>
      <c r="V261" s="23">
        <f t="shared" si="2078"/>
        <v>0</v>
      </c>
      <c r="W261" s="23">
        <f t="shared" si="2078"/>
        <v>0</v>
      </c>
      <c r="X261" s="23">
        <f t="shared" si="2078"/>
        <v>0</v>
      </c>
      <c r="Y261" s="23">
        <f t="shared" si="2078"/>
        <v>0</v>
      </c>
      <c r="Z261" s="23">
        <f t="shared" si="2078"/>
        <v>0</v>
      </c>
      <c r="AA261" s="23">
        <f t="shared" si="2078"/>
        <v>0</v>
      </c>
      <c r="AB261" s="23">
        <f t="shared" si="2078"/>
        <v>0</v>
      </c>
      <c r="AC261" s="23">
        <f t="shared" si="2078"/>
        <v>0</v>
      </c>
      <c r="AD261" s="23">
        <f t="shared" si="2078"/>
        <v>0</v>
      </c>
      <c r="AE261" s="23">
        <f t="shared" si="2078"/>
        <v>0</v>
      </c>
      <c r="AF261" s="23">
        <f t="shared" si="2078"/>
        <v>0</v>
      </c>
      <c r="AG261" s="23">
        <f t="shared" si="2078"/>
        <v>0</v>
      </c>
      <c r="AH261" s="23">
        <f t="shared" si="2078"/>
        <v>0</v>
      </c>
      <c r="AI261" s="23">
        <f t="shared" si="2078"/>
        <v>0</v>
      </c>
      <c r="AJ261" s="23">
        <f t="shared" si="2078"/>
        <v>0</v>
      </c>
      <c r="AK261" s="23">
        <f t="shared" si="2078"/>
        <v>0</v>
      </c>
      <c r="AL261" s="23">
        <f t="shared" si="2078"/>
        <v>0</v>
      </c>
      <c r="AM261" s="23">
        <f t="shared" si="2078"/>
        <v>0</v>
      </c>
      <c r="AN261" s="23">
        <f t="shared" si="2078"/>
        <v>0</v>
      </c>
      <c r="AO261" s="23">
        <f t="shared" si="2078"/>
        <v>0</v>
      </c>
      <c r="AP261" s="23">
        <f t="shared" si="2078"/>
        <v>0</v>
      </c>
      <c r="AQ261" s="23">
        <f t="shared" si="2078"/>
        <v>0</v>
      </c>
      <c r="AR261" s="23">
        <f t="shared" si="2078"/>
        <v>0</v>
      </c>
      <c r="AS261" s="23">
        <f t="shared" si="2078"/>
        <v>0</v>
      </c>
      <c r="AT261" s="23">
        <f t="shared" si="2078"/>
        <v>0</v>
      </c>
      <c r="AU261" s="23">
        <f t="shared" si="2078"/>
        <v>0</v>
      </c>
      <c r="AV261" s="23">
        <f t="shared" si="2078"/>
        <v>0</v>
      </c>
      <c r="AW261" s="23">
        <f t="shared" si="2078"/>
        <v>0</v>
      </c>
      <c r="AX261" s="23">
        <f t="shared" si="2078"/>
        <v>0</v>
      </c>
      <c r="AY261" s="23">
        <f t="shared" si="2078"/>
        <v>0</v>
      </c>
      <c r="AZ261" s="23">
        <f t="shared" si="2078"/>
        <v>0</v>
      </c>
      <c r="BA261" s="23">
        <f t="shared" si="2078"/>
        <v>0</v>
      </c>
      <c r="BB261" s="23">
        <f t="shared" si="2078"/>
        <v>0</v>
      </c>
      <c r="BC261" s="23">
        <f t="shared" si="2078"/>
        <v>0</v>
      </c>
      <c r="BD261" s="23">
        <f t="shared" si="2078"/>
        <v>0</v>
      </c>
      <c r="BE261" s="23">
        <f t="shared" si="2078"/>
        <v>0</v>
      </c>
      <c r="BF261" s="23">
        <f t="shared" si="2078"/>
        <v>0</v>
      </c>
      <c r="BG261" s="23">
        <f t="shared" si="2078"/>
        <v>0</v>
      </c>
      <c r="BH261" s="23">
        <f t="shared" si="2078"/>
        <v>0</v>
      </c>
      <c r="BI261" s="23">
        <f t="shared" si="2078"/>
        <v>0</v>
      </c>
      <c r="BJ261" s="23">
        <f t="shared" si="2078"/>
        <v>0</v>
      </c>
      <c r="BK261" s="23">
        <f t="shared" si="2078"/>
        <v>0</v>
      </c>
      <c r="BL261" s="23">
        <f t="shared" si="2078"/>
        <v>0</v>
      </c>
      <c r="BM261" s="23">
        <f t="shared" si="2078"/>
        <v>0</v>
      </c>
      <c r="BN261" s="23">
        <f t="shared" si="2078"/>
        <v>0</v>
      </c>
    </row>
    <row r="262" spans="2:66" x14ac:dyDescent="0.2">
      <c r="C262" s="322"/>
      <c r="D262" s="23" t="s">
        <v>9</v>
      </c>
      <c r="E262" s="225">
        <f>SUM(F262:BN262)</f>
        <v>0</v>
      </c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2"/>
    </row>
    <row r="263" spans="2:66" x14ac:dyDescent="0.2">
      <c r="C263" s="322"/>
      <c r="D263" s="23" t="s">
        <v>14</v>
      </c>
      <c r="E263" s="27">
        <f>SUM(F263:AY263)</f>
        <v>1056545.9777816329</v>
      </c>
      <c r="F263" s="23">
        <f>IF(F258=0,F259-F262,F258-F262)</f>
        <v>-185.39146828946005</v>
      </c>
      <c r="G263" s="23">
        <f t="shared" ref="G263" si="2079">IF(G258=0,G259-G262,G258-G262)</f>
        <v>500556.96438154229</v>
      </c>
      <c r="H263" s="23">
        <f t="shared" ref="H263" si="2080">IF(H258=0,H259-H262,H258-H262)</f>
        <v>556174.40486838005</v>
      </c>
      <c r="I263" s="23">
        <f t="shared" ref="I263" si="2081">IF(I258=0,I259-I262,I258-I262)</f>
        <v>0</v>
      </c>
      <c r="J263" s="23">
        <f t="shared" ref="J263" si="2082">IF(J258=0,J259-J262,J258-J262)</f>
        <v>0</v>
      </c>
      <c r="K263" s="23">
        <f t="shared" ref="K263" si="2083">IF(K258=0,K259-K262,K258-K262)</f>
        <v>0</v>
      </c>
      <c r="L263" s="23">
        <f t="shared" ref="L263" si="2084">IF(L258=0,L259-L262,L258-L262)</f>
        <v>0</v>
      </c>
      <c r="M263" s="23">
        <f t="shared" ref="M263" si="2085">IF(M258=0,M259-M262,M258-M262)</f>
        <v>0</v>
      </c>
      <c r="N263" s="23">
        <f t="shared" ref="N263" si="2086">IF(N258=0,N259-N262,N258-N262)</f>
        <v>0</v>
      </c>
      <c r="O263" s="23">
        <f t="shared" ref="O263" si="2087">IF(O258=0,O259-O262,O258-O262)</f>
        <v>0</v>
      </c>
      <c r="P263" s="23">
        <f t="shared" ref="P263" si="2088">IF(P258=0,P259-P262,P258-P262)</f>
        <v>0</v>
      </c>
      <c r="Q263" s="23">
        <f t="shared" ref="Q263" si="2089">IF(Q258=0,Q259-Q262,Q258-Q262)</f>
        <v>0</v>
      </c>
      <c r="R263" s="23">
        <f t="shared" ref="R263" si="2090">IF(R258=0,R259-R262,R258-R262)</f>
        <v>0</v>
      </c>
      <c r="S263" s="23">
        <f t="shared" ref="S263" si="2091">IF(S258=0,S259-S262,S258-S262)</f>
        <v>0</v>
      </c>
      <c r="T263" s="23">
        <f t="shared" ref="T263" si="2092">IF(T258=0,T259-T262,T258-T262)</f>
        <v>0</v>
      </c>
      <c r="U263" s="23">
        <f t="shared" ref="U263" si="2093">IF(U258=0,U259-U262,U258-U262)</f>
        <v>0</v>
      </c>
      <c r="V263" s="23">
        <f t="shared" ref="V263" si="2094">IF(V258=0,V259-V262,V258-V262)</f>
        <v>0</v>
      </c>
      <c r="W263" s="23">
        <f t="shared" ref="W263" si="2095">IF(W258=0,W259-W262,W258-W262)</f>
        <v>0</v>
      </c>
      <c r="X263" s="23">
        <f t="shared" ref="X263" si="2096">IF(X258=0,X259-X262,X258-X262)</f>
        <v>0</v>
      </c>
      <c r="Y263" s="23">
        <f t="shared" ref="Y263" si="2097">IF(Y258=0,Y259-Y262,Y258-Y262)</f>
        <v>0</v>
      </c>
      <c r="Z263" s="23">
        <f t="shared" ref="Z263" si="2098">IF(Z258=0,Z259-Z262,Z258-Z262)</f>
        <v>0</v>
      </c>
      <c r="AA263" s="23">
        <f t="shared" ref="AA263" si="2099">IF(AA258=0,AA259-AA262,AA258-AA262)</f>
        <v>0</v>
      </c>
      <c r="AB263" s="23">
        <f t="shared" ref="AB263" si="2100">IF(AB258=0,AB259-AB262,AB258-AB262)</f>
        <v>0</v>
      </c>
      <c r="AC263" s="23">
        <f t="shared" ref="AC263" si="2101">IF(AC258=0,AC259-AC262,AC258-AC262)</f>
        <v>0</v>
      </c>
      <c r="AD263" s="23">
        <f t="shared" ref="AD263" si="2102">IF(AD258=0,AD259-AD262,AD258-AD262)</f>
        <v>0</v>
      </c>
      <c r="AE263" s="23">
        <f t="shared" ref="AE263" si="2103">IF(AE258=0,AE259-AE262,AE258-AE262)</f>
        <v>0</v>
      </c>
      <c r="AF263" s="23">
        <f t="shared" ref="AF263" si="2104">IF(AF258=0,AF259-AF262,AF258-AF262)</f>
        <v>0</v>
      </c>
      <c r="AG263" s="23">
        <f t="shared" ref="AG263" si="2105">IF(AG258=0,AG259-AG262,AG258-AG262)</f>
        <v>0</v>
      </c>
      <c r="AH263" s="23">
        <f t="shared" ref="AH263" si="2106">IF(AH258=0,AH259-AH262,AH258-AH262)</f>
        <v>0</v>
      </c>
      <c r="AI263" s="23">
        <f t="shared" ref="AI263" si="2107">IF(AI258=0,AI259-AI262,AI258-AI262)</f>
        <v>0</v>
      </c>
      <c r="AJ263" s="23">
        <f t="shared" ref="AJ263" si="2108">IF(AJ258=0,AJ259-AJ262,AJ258-AJ262)</f>
        <v>0</v>
      </c>
      <c r="AK263" s="23">
        <f t="shared" ref="AK263" si="2109">IF(AK258=0,AK259-AK262,AK258-AK262)</f>
        <v>0</v>
      </c>
      <c r="AL263" s="23">
        <f t="shared" ref="AL263" si="2110">IF(AL258=0,AL259-AL262,AL258-AL262)</f>
        <v>0</v>
      </c>
      <c r="AM263" s="23">
        <f t="shared" ref="AM263" si="2111">IF(AM258=0,AM259-AM262,AM258-AM262)</f>
        <v>0</v>
      </c>
      <c r="AN263" s="23">
        <f t="shared" ref="AN263" si="2112">IF(AN258=0,AN259-AN262,AN258-AN262)</f>
        <v>0</v>
      </c>
      <c r="AO263" s="23">
        <f t="shared" ref="AO263" si="2113">IF(AO258=0,AO259-AO262,AO258-AO262)</f>
        <v>0</v>
      </c>
      <c r="AP263" s="23">
        <f t="shared" ref="AP263" si="2114">IF(AP258=0,AP259-AP262,AP258-AP262)</f>
        <v>0</v>
      </c>
      <c r="AQ263" s="23">
        <f t="shared" ref="AQ263" si="2115">IF(AQ258=0,AQ259-AQ262,AQ258-AQ262)</f>
        <v>0</v>
      </c>
      <c r="AR263" s="23">
        <f t="shared" ref="AR263" si="2116">IF(AR258=0,AR259-AR262,AR258-AR262)</f>
        <v>0</v>
      </c>
      <c r="AS263" s="23">
        <f t="shared" ref="AS263" si="2117">IF(AS258=0,AS259-AS262,AS258-AS262)</f>
        <v>0</v>
      </c>
      <c r="AT263" s="23">
        <f t="shared" ref="AT263" si="2118">IF(AT258=0,AT259-AT262,AT258-AT262)</f>
        <v>0</v>
      </c>
      <c r="AU263" s="23">
        <f t="shared" ref="AU263" si="2119">IF(AU258=0,AU259-AU262,AU258-AU262)</f>
        <v>0</v>
      </c>
      <c r="AV263" s="23">
        <f t="shared" ref="AV263" si="2120">IF(AV258=0,AV259-AV262,AV258-AV262)</f>
        <v>0</v>
      </c>
      <c r="AW263" s="23">
        <f t="shared" ref="AW263" si="2121">IF(AW258=0,AW259-AW262,AW258-AW262)</f>
        <v>0</v>
      </c>
      <c r="AX263" s="23">
        <f t="shared" ref="AX263" si="2122">IF(AX258=0,AX259-AX262,AX258-AX262)</f>
        <v>0</v>
      </c>
      <c r="AY263" s="23">
        <f t="shared" ref="AY263" si="2123">IF(AY258=0,AY259-AY262,AY258-AY262)</f>
        <v>0</v>
      </c>
      <c r="AZ263" s="23">
        <f t="shared" ref="AZ263" si="2124">IF(AZ258=0,AZ259-AZ262,AZ258-AZ262)</f>
        <v>0</v>
      </c>
      <c r="BA263" s="23">
        <f t="shared" ref="BA263" si="2125">IF(BA258=0,BA259-BA262,BA258-BA262)</f>
        <v>0</v>
      </c>
      <c r="BB263" s="23">
        <f t="shared" ref="BB263" si="2126">IF(BB258=0,BB259-BB262,BB258-BB262)</f>
        <v>0</v>
      </c>
      <c r="BC263" s="23">
        <f t="shared" ref="BC263" si="2127">IF(BC258=0,BC259-BC262,BC258-BC262)</f>
        <v>0</v>
      </c>
      <c r="BD263" s="23">
        <f t="shared" ref="BD263" si="2128">IF(BD258=0,BD259-BD262,BD258-BD262)</f>
        <v>0</v>
      </c>
      <c r="BE263" s="23">
        <f t="shared" ref="BE263" si="2129">IF(BE258=0,BE259-BE262,BE258-BE262)</f>
        <v>0</v>
      </c>
      <c r="BF263" s="23">
        <f t="shared" ref="BF263" si="2130">IF(BF258=0,BF259-BF262,BF258-BF262)</f>
        <v>0</v>
      </c>
      <c r="BG263" s="23">
        <f t="shared" ref="BG263" si="2131">IF(BG258=0,BG259-BG262,BG258-BG262)</f>
        <v>0</v>
      </c>
      <c r="BH263" s="23">
        <f t="shared" ref="BH263" si="2132">IF(BH258=0,BH259-BH262,BH258-BH262)</f>
        <v>0</v>
      </c>
      <c r="BI263" s="23">
        <f t="shared" ref="BI263" si="2133">IF(BI258=0,BI259-BI262,BI258-BI262)</f>
        <v>0</v>
      </c>
      <c r="BJ263" s="23">
        <f t="shared" ref="BJ263" si="2134">IF(BJ258=0,BJ259-BJ262,BJ258-BJ262)</f>
        <v>0</v>
      </c>
      <c r="BK263" s="23">
        <f t="shared" ref="BK263" si="2135">IF(BK258=0,BK259-BK262,BK258-BK262)</f>
        <v>0</v>
      </c>
      <c r="BL263" s="23">
        <f t="shared" ref="BL263" si="2136">IF(BL258=0,BL259-BL262,BL258-BL262)</f>
        <v>0</v>
      </c>
      <c r="BM263" s="23">
        <f t="shared" ref="BM263" si="2137">IF(BM258=0,BM259-BM262,BM258-BM262)</f>
        <v>0</v>
      </c>
      <c r="BN263" s="23">
        <f t="shared" ref="BN263" si="2138">IF(BN258=0,BN259-BN262,BN258-BN262)</f>
        <v>0</v>
      </c>
    </row>
    <row r="264" spans="2:66" x14ac:dyDescent="0.2">
      <c r="C264" s="322"/>
      <c r="D264" s="23" t="s">
        <v>10</v>
      </c>
      <c r="E264" s="72">
        <v>5.1000000000000004E-3</v>
      </c>
      <c r="F264" s="54">
        <f>E264</f>
        <v>5.1000000000000004E-3</v>
      </c>
      <c r="G264" s="54">
        <f>F264</f>
        <v>5.1000000000000004E-3</v>
      </c>
      <c r="H264" s="54">
        <f>F264</f>
        <v>5.1000000000000004E-3</v>
      </c>
      <c r="I264" s="54">
        <f t="shared" ref="I264" si="2139">H264</f>
        <v>5.1000000000000004E-3</v>
      </c>
      <c r="J264" s="54">
        <f t="shared" ref="J264" si="2140">I264</f>
        <v>5.1000000000000004E-3</v>
      </c>
      <c r="K264" s="54">
        <f t="shared" ref="K264" si="2141">J264</f>
        <v>5.1000000000000004E-3</v>
      </c>
      <c r="L264" s="54">
        <f t="shared" ref="L264" si="2142">K264</f>
        <v>5.1000000000000004E-3</v>
      </c>
      <c r="M264" s="54">
        <f t="shared" ref="M264" si="2143">L264</f>
        <v>5.1000000000000004E-3</v>
      </c>
      <c r="N264" s="54">
        <f t="shared" ref="N264" si="2144">M264</f>
        <v>5.1000000000000004E-3</v>
      </c>
      <c r="O264" s="54">
        <f t="shared" ref="O264" si="2145">N264</f>
        <v>5.1000000000000004E-3</v>
      </c>
      <c r="P264" s="54">
        <f t="shared" ref="P264" si="2146">O264</f>
        <v>5.1000000000000004E-3</v>
      </c>
      <c r="Q264" s="54">
        <f t="shared" ref="Q264" si="2147">P264</f>
        <v>5.1000000000000004E-3</v>
      </c>
      <c r="R264" s="54">
        <f t="shared" ref="R264" si="2148">Q264</f>
        <v>5.1000000000000004E-3</v>
      </c>
      <c r="S264" s="54">
        <f t="shared" ref="S264" si="2149">R264</f>
        <v>5.1000000000000004E-3</v>
      </c>
      <c r="T264" s="54">
        <f t="shared" ref="T264" si="2150">S264</f>
        <v>5.1000000000000004E-3</v>
      </c>
      <c r="U264" s="54">
        <f t="shared" ref="U264" si="2151">T264</f>
        <v>5.1000000000000004E-3</v>
      </c>
      <c r="V264" s="54">
        <f t="shared" ref="V264" si="2152">U264</f>
        <v>5.1000000000000004E-3</v>
      </c>
      <c r="W264" s="54">
        <f t="shared" ref="W264" si="2153">V264</f>
        <v>5.1000000000000004E-3</v>
      </c>
      <c r="X264" s="54">
        <f t="shared" ref="X264" si="2154">W264</f>
        <v>5.1000000000000004E-3</v>
      </c>
      <c r="Y264" s="54">
        <f t="shared" ref="Y264" si="2155">X264</f>
        <v>5.1000000000000004E-3</v>
      </c>
      <c r="Z264" s="54">
        <f t="shared" ref="Z264" si="2156">Y264</f>
        <v>5.1000000000000004E-3</v>
      </c>
      <c r="AA264" s="54">
        <f t="shared" ref="AA264" si="2157">Z264</f>
        <v>5.1000000000000004E-3</v>
      </c>
      <c r="AB264" s="54">
        <f t="shared" ref="AB264" si="2158">AA264</f>
        <v>5.1000000000000004E-3</v>
      </c>
      <c r="AC264" s="54">
        <f t="shared" ref="AC264" si="2159">AB264</f>
        <v>5.1000000000000004E-3</v>
      </c>
      <c r="AD264" s="54">
        <f t="shared" ref="AD264" si="2160">AC264</f>
        <v>5.1000000000000004E-3</v>
      </c>
      <c r="AE264" s="54">
        <f t="shared" ref="AE264" si="2161">AD264</f>
        <v>5.1000000000000004E-3</v>
      </c>
      <c r="AF264" s="54">
        <f t="shared" ref="AF264" si="2162">AE264</f>
        <v>5.1000000000000004E-3</v>
      </c>
      <c r="AG264" s="54">
        <f t="shared" ref="AG264" si="2163">AF264</f>
        <v>5.1000000000000004E-3</v>
      </c>
      <c r="AH264" s="54">
        <f t="shared" ref="AH264" si="2164">AG264</f>
        <v>5.1000000000000004E-3</v>
      </c>
      <c r="AI264" s="54">
        <f t="shared" ref="AI264" si="2165">AH264</f>
        <v>5.1000000000000004E-3</v>
      </c>
      <c r="AJ264" s="54">
        <f t="shared" ref="AJ264" si="2166">AI264</f>
        <v>5.1000000000000004E-3</v>
      </c>
      <c r="AK264" s="54">
        <f t="shared" ref="AK264" si="2167">AJ264</f>
        <v>5.1000000000000004E-3</v>
      </c>
      <c r="AL264" s="54">
        <f t="shared" ref="AL264" si="2168">AK264</f>
        <v>5.1000000000000004E-3</v>
      </c>
      <c r="AM264" s="54">
        <f t="shared" ref="AM264" si="2169">AL264</f>
        <v>5.1000000000000004E-3</v>
      </c>
      <c r="AN264" s="54">
        <f t="shared" ref="AN264" si="2170">AM264</f>
        <v>5.1000000000000004E-3</v>
      </c>
      <c r="AO264" s="54">
        <f t="shared" ref="AO264" si="2171">AN264</f>
        <v>5.1000000000000004E-3</v>
      </c>
      <c r="AP264" s="54">
        <f t="shared" ref="AP264" si="2172">AO264</f>
        <v>5.1000000000000004E-3</v>
      </c>
      <c r="AQ264" s="54">
        <f t="shared" ref="AQ264" si="2173">AP264</f>
        <v>5.1000000000000004E-3</v>
      </c>
      <c r="AR264" s="54">
        <f t="shared" ref="AR264" si="2174">AQ264</f>
        <v>5.1000000000000004E-3</v>
      </c>
      <c r="AS264" s="54">
        <f t="shared" ref="AS264" si="2175">AR264</f>
        <v>5.1000000000000004E-3</v>
      </c>
      <c r="AT264" s="54">
        <f t="shared" ref="AT264" si="2176">AS264</f>
        <v>5.1000000000000004E-3</v>
      </c>
      <c r="AU264" s="54">
        <f t="shared" ref="AU264" si="2177">AT264</f>
        <v>5.1000000000000004E-3</v>
      </c>
      <c r="AV264" s="54">
        <f t="shared" ref="AV264" si="2178">AU264</f>
        <v>5.1000000000000004E-3</v>
      </c>
      <c r="AW264" s="54">
        <f t="shared" ref="AW264" si="2179">AV264</f>
        <v>5.1000000000000004E-3</v>
      </c>
      <c r="AX264" s="54">
        <f t="shared" ref="AX264" si="2180">AW264</f>
        <v>5.1000000000000004E-3</v>
      </c>
      <c r="AY264" s="54">
        <f t="shared" ref="AY264" si="2181">AX264</f>
        <v>5.1000000000000004E-3</v>
      </c>
      <c r="AZ264" s="54">
        <f t="shared" ref="AZ264" si="2182">AY264</f>
        <v>5.1000000000000004E-3</v>
      </c>
      <c r="BA264" s="54">
        <f t="shared" ref="BA264" si="2183">AZ264</f>
        <v>5.1000000000000004E-3</v>
      </c>
      <c r="BB264" s="54">
        <f t="shared" ref="BB264" si="2184">BA264</f>
        <v>5.1000000000000004E-3</v>
      </c>
      <c r="BC264" s="54">
        <f t="shared" ref="BC264" si="2185">BB264</f>
        <v>5.1000000000000004E-3</v>
      </c>
      <c r="BD264" s="54">
        <f t="shared" ref="BD264" si="2186">BC264</f>
        <v>5.1000000000000004E-3</v>
      </c>
      <c r="BE264" s="54">
        <f t="shared" ref="BE264" si="2187">BD264</f>
        <v>5.1000000000000004E-3</v>
      </c>
      <c r="BF264" s="54">
        <f t="shared" ref="BF264" si="2188">BE264</f>
        <v>5.1000000000000004E-3</v>
      </c>
      <c r="BG264" s="54">
        <f t="shared" ref="BG264" si="2189">BF264</f>
        <v>5.1000000000000004E-3</v>
      </c>
      <c r="BH264" s="54">
        <f t="shared" ref="BH264" si="2190">BG264</f>
        <v>5.1000000000000004E-3</v>
      </c>
      <c r="BI264" s="54">
        <f t="shared" ref="BI264" si="2191">BH264</f>
        <v>5.1000000000000004E-3</v>
      </c>
      <c r="BJ264" s="54">
        <f t="shared" ref="BJ264" si="2192">BI264</f>
        <v>5.1000000000000004E-3</v>
      </c>
      <c r="BK264" s="54">
        <f t="shared" ref="BK264" si="2193">BJ264</f>
        <v>5.1000000000000004E-3</v>
      </c>
      <c r="BL264" s="54">
        <f t="shared" ref="BL264" si="2194">BK264</f>
        <v>5.1000000000000004E-3</v>
      </c>
      <c r="BM264" s="54">
        <f t="shared" ref="BM264" si="2195">BL264</f>
        <v>5.1000000000000004E-3</v>
      </c>
      <c r="BN264" s="54">
        <f t="shared" ref="BN264" si="2196">BM264</f>
        <v>5.1000000000000004E-3</v>
      </c>
    </row>
    <row r="265" spans="2:66" x14ac:dyDescent="0.2">
      <c r="C265" s="322"/>
      <c r="D265" s="23" t="s">
        <v>12</v>
      </c>
      <c r="E265" s="27">
        <f>SUM(F265:AY265)</f>
        <v>5388.3844866863283</v>
      </c>
      <c r="F265" s="29">
        <f>+F263*F264</f>
        <v>-0.94549648827624633</v>
      </c>
      <c r="G265" s="29">
        <f>+G263*G264</f>
        <v>2552.8405183458658</v>
      </c>
      <c r="H265" s="29">
        <f t="shared" ref="H265:BN265" si="2197">+H263*H264</f>
        <v>2836.4894648287386</v>
      </c>
      <c r="I265" s="29">
        <f t="shared" si="2197"/>
        <v>0</v>
      </c>
      <c r="J265" s="29">
        <f t="shared" si="2197"/>
        <v>0</v>
      </c>
      <c r="K265" s="29">
        <f t="shared" si="2197"/>
        <v>0</v>
      </c>
      <c r="L265" s="29">
        <f t="shared" si="2197"/>
        <v>0</v>
      </c>
      <c r="M265" s="29">
        <f t="shared" si="2197"/>
        <v>0</v>
      </c>
      <c r="N265" s="29">
        <f t="shared" si="2197"/>
        <v>0</v>
      </c>
      <c r="O265" s="29">
        <f t="shared" si="2197"/>
        <v>0</v>
      </c>
      <c r="P265" s="29">
        <f t="shared" si="2197"/>
        <v>0</v>
      </c>
      <c r="Q265" s="29">
        <f t="shared" si="2197"/>
        <v>0</v>
      </c>
      <c r="R265" s="29">
        <f t="shared" si="2197"/>
        <v>0</v>
      </c>
      <c r="S265" s="29">
        <f t="shared" si="2197"/>
        <v>0</v>
      </c>
      <c r="T265" s="29">
        <f t="shared" si="2197"/>
        <v>0</v>
      </c>
      <c r="U265" s="29">
        <f t="shared" si="2197"/>
        <v>0</v>
      </c>
      <c r="V265" s="29">
        <f t="shared" si="2197"/>
        <v>0</v>
      </c>
      <c r="W265" s="29">
        <f t="shared" si="2197"/>
        <v>0</v>
      </c>
      <c r="X265" s="29">
        <f t="shared" si="2197"/>
        <v>0</v>
      </c>
      <c r="Y265" s="29">
        <f t="shared" si="2197"/>
        <v>0</v>
      </c>
      <c r="Z265" s="29">
        <f t="shared" si="2197"/>
        <v>0</v>
      </c>
      <c r="AA265" s="29">
        <f t="shared" si="2197"/>
        <v>0</v>
      </c>
      <c r="AB265" s="29">
        <f t="shared" si="2197"/>
        <v>0</v>
      </c>
      <c r="AC265" s="29">
        <f t="shared" si="2197"/>
        <v>0</v>
      </c>
      <c r="AD265" s="29">
        <f t="shared" si="2197"/>
        <v>0</v>
      </c>
      <c r="AE265" s="29">
        <f t="shared" si="2197"/>
        <v>0</v>
      </c>
      <c r="AF265" s="29">
        <f t="shared" si="2197"/>
        <v>0</v>
      </c>
      <c r="AG265" s="29">
        <f t="shared" si="2197"/>
        <v>0</v>
      </c>
      <c r="AH265" s="29">
        <f t="shared" si="2197"/>
        <v>0</v>
      </c>
      <c r="AI265" s="29">
        <f t="shared" si="2197"/>
        <v>0</v>
      </c>
      <c r="AJ265" s="29">
        <f t="shared" si="2197"/>
        <v>0</v>
      </c>
      <c r="AK265" s="29">
        <f t="shared" si="2197"/>
        <v>0</v>
      </c>
      <c r="AL265" s="29">
        <f t="shared" si="2197"/>
        <v>0</v>
      </c>
      <c r="AM265" s="29">
        <f t="shared" si="2197"/>
        <v>0</v>
      </c>
      <c r="AN265" s="29">
        <f t="shared" si="2197"/>
        <v>0</v>
      </c>
      <c r="AO265" s="29">
        <f t="shared" si="2197"/>
        <v>0</v>
      </c>
      <c r="AP265" s="29">
        <f t="shared" si="2197"/>
        <v>0</v>
      </c>
      <c r="AQ265" s="29">
        <f t="shared" si="2197"/>
        <v>0</v>
      </c>
      <c r="AR265" s="29">
        <f t="shared" si="2197"/>
        <v>0</v>
      </c>
      <c r="AS265" s="29">
        <f t="shared" si="2197"/>
        <v>0</v>
      </c>
      <c r="AT265" s="29">
        <f t="shared" si="2197"/>
        <v>0</v>
      </c>
      <c r="AU265" s="29">
        <f t="shared" si="2197"/>
        <v>0</v>
      </c>
      <c r="AV265" s="29">
        <f t="shared" si="2197"/>
        <v>0</v>
      </c>
      <c r="AW265" s="29">
        <f t="shared" si="2197"/>
        <v>0</v>
      </c>
      <c r="AX265" s="29">
        <f t="shared" si="2197"/>
        <v>0</v>
      </c>
      <c r="AY265" s="29">
        <f t="shared" si="2197"/>
        <v>0</v>
      </c>
      <c r="AZ265" s="29">
        <f t="shared" si="2197"/>
        <v>0</v>
      </c>
      <c r="BA265" s="29">
        <f t="shared" si="2197"/>
        <v>0</v>
      </c>
      <c r="BB265" s="29">
        <f t="shared" si="2197"/>
        <v>0</v>
      </c>
      <c r="BC265" s="29">
        <f t="shared" si="2197"/>
        <v>0</v>
      </c>
      <c r="BD265" s="29">
        <f t="shared" si="2197"/>
        <v>0</v>
      </c>
      <c r="BE265" s="29">
        <f t="shared" si="2197"/>
        <v>0</v>
      </c>
      <c r="BF265" s="29">
        <f t="shared" si="2197"/>
        <v>0</v>
      </c>
      <c r="BG265" s="29">
        <f t="shared" si="2197"/>
        <v>0</v>
      </c>
      <c r="BH265" s="29">
        <f t="shared" si="2197"/>
        <v>0</v>
      </c>
      <c r="BI265" s="29">
        <f t="shared" si="2197"/>
        <v>0</v>
      </c>
      <c r="BJ265" s="29">
        <f t="shared" si="2197"/>
        <v>0</v>
      </c>
      <c r="BK265" s="29">
        <f t="shared" si="2197"/>
        <v>0</v>
      </c>
      <c r="BL265" s="29">
        <f t="shared" si="2197"/>
        <v>0</v>
      </c>
      <c r="BM265" s="29">
        <f t="shared" si="2197"/>
        <v>0</v>
      </c>
      <c r="BN265" s="29">
        <f t="shared" si="2197"/>
        <v>0</v>
      </c>
    </row>
    <row r="266" spans="2:66" ht="13.5" thickBot="1" x14ac:dyDescent="0.25">
      <c r="C266" s="323"/>
      <c r="D266" s="25" t="s">
        <v>11</v>
      </c>
      <c r="E266" s="30">
        <f>SUM(F266:AY266)</f>
        <v>1061934.3622683194</v>
      </c>
      <c r="F266" s="46">
        <f>+F263+F265</f>
        <v>-186.33696477773628</v>
      </c>
      <c r="G266" s="46">
        <f>+G263+G265</f>
        <v>503109.80489988817</v>
      </c>
      <c r="H266" s="46">
        <f t="shared" ref="H266:BN266" si="2198">+H263+H265</f>
        <v>559010.89433320879</v>
      </c>
      <c r="I266" s="46">
        <f t="shared" si="2198"/>
        <v>0</v>
      </c>
      <c r="J266" s="46">
        <f t="shared" si="2198"/>
        <v>0</v>
      </c>
      <c r="K266" s="46">
        <f t="shared" si="2198"/>
        <v>0</v>
      </c>
      <c r="L266" s="46">
        <f t="shared" si="2198"/>
        <v>0</v>
      </c>
      <c r="M266" s="46">
        <f t="shared" si="2198"/>
        <v>0</v>
      </c>
      <c r="N266" s="46">
        <f t="shared" si="2198"/>
        <v>0</v>
      </c>
      <c r="O266" s="46">
        <f t="shared" si="2198"/>
        <v>0</v>
      </c>
      <c r="P266" s="46">
        <f t="shared" si="2198"/>
        <v>0</v>
      </c>
      <c r="Q266" s="46">
        <v>0</v>
      </c>
      <c r="R266" s="46">
        <f t="shared" si="2198"/>
        <v>0</v>
      </c>
      <c r="S266" s="46">
        <f t="shared" si="2198"/>
        <v>0</v>
      </c>
      <c r="T266" s="46">
        <f t="shared" si="2198"/>
        <v>0</v>
      </c>
      <c r="U266" s="46">
        <f t="shared" si="2198"/>
        <v>0</v>
      </c>
      <c r="V266" s="46">
        <f t="shared" si="2198"/>
        <v>0</v>
      </c>
      <c r="W266" s="46">
        <f t="shared" si="2198"/>
        <v>0</v>
      </c>
      <c r="X266" s="46">
        <f t="shared" si="2198"/>
        <v>0</v>
      </c>
      <c r="Y266" s="46">
        <f t="shared" si="2198"/>
        <v>0</v>
      </c>
      <c r="Z266" s="46">
        <f t="shared" si="2198"/>
        <v>0</v>
      </c>
      <c r="AA266" s="46">
        <f t="shared" si="2198"/>
        <v>0</v>
      </c>
      <c r="AB266" s="46">
        <f t="shared" si="2198"/>
        <v>0</v>
      </c>
      <c r="AC266" s="46">
        <f t="shared" si="2198"/>
        <v>0</v>
      </c>
      <c r="AD266" s="46">
        <f t="shared" si="2198"/>
        <v>0</v>
      </c>
      <c r="AE266" s="46">
        <f t="shared" si="2198"/>
        <v>0</v>
      </c>
      <c r="AF266" s="46">
        <f t="shared" si="2198"/>
        <v>0</v>
      </c>
      <c r="AG266" s="46">
        <f t="shared" si="2198"/>
        <v>0</v>
      </c>
      <c r="AH266" s="46">
        <f t="shared" si="2198"/>
        <v>0</v>
      </c>
      <c r="AI266" s="46">
        <f t="shared" si="2198"/>
        <v>0</v>
      </c>
      <c r="AJ266" s="46">
        <f t="shared" si="2198"/>
        <v>0</v>
      </c>
      <c r="AK266" s="46">
        <f t="shared" si="2198"/>
        <v>0</v>
      </c>
      <c r="AL266" s="46">
        <f t="shared" si="2198"/>
        <v>0</v>
      </c>
      <c r="AM266" s="46">
        <f t="shared" si="2198"/>
        <v>0</v>
      </c>
      <c r="AN266" s="46">
        <f t="shared" si="2198"/>
        <v>0</v>
      </c>
      <c r="AO266" s="46">
        <f t="shared" si="2198"/>
        <v>0</v>
      </c>
      <c r="AP266" s="46">
        <f t="shared" si="2198"/>
        <v>0</v>
      </c>
      <c r="AQ266" s="46">
        <f t="shared" si="2198"/>
        <v>0</v>
      </c>
      <c r="AR266" s="46">
        <f t="shared" si="2198"/>
        <v>0</v>
      </c>
      <c r="AS266" s="46">
        <f t="shared" si="2198"/>
        <v>0</v>
      </c>
      <c r="AT266" s="46">
        <f t="shared" si="2198"/>
        <v>0</v>
      </c>
      <c r="AU266" s="46">
        <f t="shared" si="2198"/>
        <v>0</v>
      </c>
      <c r="AV266" s="46">
        <f t="shared" si="2198"/>
        <v>0</v>
      </c>
      <c r="AW266" s="46">
        <f t="shared" si="2198"/>
        <v>0</v>
      </c>
      <c r="AX266" s="46">
        <f t="shared" si="2198"/>
        <v>0</v>
      </c>
      <c r="AY266" s="46">
        <f t="shared" si="2198"/>
        <v>0</v>
      </c>
      <c r="AZ266" s="46">
        <f t="shared" si="2198"/>
        <v>0</v>
      </c>
      <c r="BA266" s="46">
        <f t="shared" si="2198"/>
        <v>0</v>
      </c>
      <c r="BB266" s="46">
        <f t="shared" si="2198"/>
        <v>0</v>
      </c>
      <c r="BC266" s="46">
        <f t="shared" si="2198"/>
        <v>0</v>
      </c>
      <c r="BD266" s="46">
        <f t="shared" si="2198"/>
        <v>0</v>
      </c>
      <c r="BE266" s="46">
        <f t="shared" si="2198"/>
        <v>0</v>
      </c>
      <c r="BF266" s="46">
        <f t="shared" si="2198"/>
        <v>0</v>
      </c>
      <c r="BG266" s="46">
        <f t="shared" si="2198"/>
        <v>0</v>
      </c>
      <c r="BH266" s="46">
        <f t="shared" si="2198"/>
        <v>0</v>
      </c>
      <c r="BI266" s="46">
        <f t="shared" si="2198"/>
        <v>0</v>
      </c>
      <c r="BJ266" s="46">
        <f t="shared" si="2198"/>
        <v>0</v>
      </c>
      <c r="BK266" s="46">
        <f t="shared" si="2198"/>
        <v>0</v>
      </c>
      <c r="BL266" s="46">
        <f t="shared" si="2198"/>
        <v>0</v>
      </c>
      <c r="BM266" s="46">
        <f t="shared" si="2198"/>
        <v>0</v>
      </c>
      <c r="BN266" s="46">
        <f t="shared" si="2198"/>
        <v>0</v>
      </c>
    </row>
    <row r="267" spans="2:66" x14ac:dyDescent="0.2">
      <c r="C267" s="321">
        <v>44531</v>
      </c>
      <c r="D267" s="20" t="s">
        <v>5</v>
      </c>
      <c r="E267" s="50">
        <f>SUM(F267:BN267)</f>
        <v>0</v>
      </c>
      <c r="F267" s="279">
        <f>IF(F$6=$C267,F$7,0)</f>
        <v>0</v>
      </c>
      <c r="G267" s="279">
        <f t="shared" ref="G267:BN267" si="2199">IF(G$6=$C267,G$7,0)</f>
        <v>0</v>
      </c>
      <c r="H267" s="279">
        <f t="shared" si="2199"/>
        <v>0</v>
      </c>
      <c r="I267" s="279">
        <f t="shared" si="2199"/>
        <v>0</v>
      </c>
      <c r="J267" s="279">
        <f t="shared" si="2199"/>
        <v>0</v>
      </c>
      <c r="K267" s="279">
        <f t="shared" si="2199"/>
        <v>0</v>
      </c>
      <c r="L267" s="279">
        <f t="shared" si="2199"/>
        <v>0</v>
      </c>
      <c r="M267" s="279">
        <f t="shared" si="2199"/>
        <v>0</v>
      </c>
      <c r="N267" s="279">
        <f t="shared" si="2199"/>
        <v>0</v>
      </c>
      <c r="O267" s="279">
        <f t="shared" si="2199"/>
        <v>0</v>
      </c>
      <c r="P267" s="279">
        <f t="shared" si="2199"/>
        <v>0</v>
      </c>
      <c r="Q267" s="279">
        <f t="shared" si="2199"/>
        <v>0</v>
      </c>
      <c r="R267" s="279">
        <f t="shared" si="2199"/>
        <v>0</v>
      </c>
      <c r="S267" s="279">
        <f t="shared" si="2199"/>
        <v>0</v>
      </c>
      <c r="T267" s="279">
        <f t="shared" si="2199"/>
        <v>0</v>
      </c>
      <c r="U267" s="279">
        <f t="shared" si="2199"/>
        <v>0</v>
      </c>
      <c r="V267" s="279">
        <f t="shared" si="2199"/>
        <v>0</v>
      </c>
      <c r="W267" s="279">
        <f t="shared" si="2199"/>
        <v>0</v>
      </c>
      <c r="X267" s="279">
        <f t="shared" si="2199"/>
        <v>0</v>
      </c>
      <c r="Y267" s="279">
        <f t="shared" si="2199"/>
        <v>0</v>
      </c>
      <c r="Z267" s="279">
        <f t="shared" si="2199"/>
        <v>0</v>
      </c>
      <c r="AA267" s="279">
        <f t="shared" si="2199"/>
        <v>0</v>
      </c>
      <c r="AB267" s="279">
        <f t="shared" si="2199"/>
        <v>0</v>
      </c>
      <c r="AC267" s="279">
        <f t="shared" si="2199"/>
        <v>0</v>
      </c>
      <c r="AD267" s="279">
        <f t="shared" si="2199"/>
        <v>0</v>
      </c>
      <c r="AE267" s="279">
        <f t="shared" si="2199"/>
        <v>0</v>
      </c>
      <c r="AF267" s="279">
        <f t="shared" si="2199"/>
        <v>0</v>
      </c>
      <c r="AG267" s="279">
        <f t="shared" si="2199"/>
        <v>0</v>
      </c>
      <c r="AH267" s="279">
        <f t="shared" si="2199"/>
        <v>0</v>
      </c>
      <c r="AI267" s="279">
        <f t="shared" si="2199"/>
        <v>0</v>
      </c>
      <c r="AJ267" s="279">
        <f t="shared" si="2199"/>
        <v>0</v>
      </c>
      <c r="AK267" s="279">
        <f t="shared" si="2199"/>
        <v>0</v>
      </c>
      <c r="AL267" s="279">
        <f t="shared" si="2199"/>
        <v>0</v>
      </c>
      <c r="AM267" s="279">
        <f t="shared" si="2199"/>
        <v>0</v>
      </c>
      <c r="AN267" s="279">
        <f t="shared" si="2199"/>
        <v>0</v>
      </c>
      <c r="AO267" s="279">
        <f t="shared" si="2199"/>
        <v>0</v>
      </c>
      <c r="AP267" s="279">
        <f t="shared" si="2199"/>
        <v>0</v>
      </c>
      <c r="AQ267" s="279">
        <f t="shared" si="2199"/>
        <v>0</v>
      </c>
      <c r="AR267" s="279">
        <f t="shared" si="2199"/>
        <v>0</v>
      </c>
      <c r="AS267" s="279">
        <f t="shared" si="2199"/>
        <v>0</v>
      </c>
      <c r="AT267" s="279">
        <f t="shared" si="2199"/>
        <v>0</v>
      </c>
      <c r="AU267" s="279">
        <f t="shared" si="2199"/>
        <v>0</v>
      </c>
      <c r="AV267" s="279">
        <f t="shared" si="2199"/>
        <v>0</v>
      </c>
      <c r="AW267" s="279">
        <f t="shared" si="2199"/>
        <v>0</v>
      </c>
      <c r="AX267" s="279">
        <f t="shared" si="2199"/>
        <v>0</v>
      </c>
      <c r="AY267" s="279">
        <f t="shared" si="2199"/>
        <v>0</v>
      </c>
      <c r="AZ267" s="279">
        <f t="shared" si="2199"/>
        <v>0</v>
      </c>
      <c r="BA267" s="279">
        <f t="shared" si="2199"/>
        <v>0</v>
      </c>
      <c r="BB267" s="279">
        <f t="shared" si="2199"/>
        <v>0</v>
      </c>
      <c r="BC267" s="279">
        <f t="shared" si="2199"/>
        <v>0</v>
      </c>
      <c r="BD267" s="279">
        <f t="shared" si="2199"/>
        <v>0</v>
      </c>
      <c r="BE267" s="279">
        <f t="shared" si="2199"/>
        <v>0</v>
      </c>
      <c r="BF267" s="279">
        <f t="shared" si="2199"/>
        <v>0</v>
      </c>
      <c r="BG267" s="279">
        <f t="shared" si="2199"/>
        <v>0</v>
      </c>
      <c r="BH267" s="279">
        <f t="shared" si="2199"/>
        <v>0</v>
      </c>
      <c r="BI267" s="279">
        <f t="shared" si="2199"/>
        <v>0</v>
      </c>
      <c r="BJ267" s="279">
        <f t="shared" si="2199"/>
        <v>0</v>
      </c>
      <c r="BK267" s="279">
        <f t="shared" si="2199"/>
        <v>0</v>
      </c>
      <c r="BL267" s="279">
        <f t="shared" si="2199"/>
        <v>0</v>
      </c>
      <c r="BM267" s="279">
        <f t="shared" si="2199"/>
        <v>0</v>
      </c>
      <c r="BN267" s="279">
        <f t="shared" si="2199"/>
        <v>0</v>
      </c>
    </row>
    <row r="268" spans="2:66" x14ac:dyDescent="0.2">
      <c r="C268" s="322"/>
      <c r="D268" s="23" t="s">
        <v>7</v>
      </c>
      <c r="E268" s="91">
        <f>SUM(F268:BN268)</f>
        <v>14.640000000000011</v>
      </c>
      <c r="F268" s="28">
        <f>IF(F267="",VLOOKUP($C267,'CUSTOS REALIZADOS'!$A$11:$E$995,4),(VLOOKUP($C267,'CUSTOS REALIZADOS'!$A$11:$E$995,5)))</f>
        <v>0.24000000000000002</v>
      </c>
      <c r="G268" s="28">
        <f>IF(G267="",VLOOKUP($C267,'CUSTOS REALIZADOS'!$A$11:$E$995,4),(VLOOKUP($C267,'CUSTOS REALIZADOS'!$A$11:$E$995,5)))</f>
        <v>0.24000000000000002</v>
      </c>
      <c r="H268" s="28">
        <f>IF(H267="",VLOOKUP($C267,'CUSTOS REALIZADOS'!$A$11:$E$995,4),(VLOOKUP($C267,'CUSTOS REALIZADOS'!$A$11:$E$995,5)))</f>
        <v>0.24000000000000002</v>
      </c>
      <c r="I268" s="28">
        <f>IF(I267="",VLOOKUP($C267,'CUSTOS REALIZADOS'!$A$11:$E$995,4),(VLOOKUP($C267,'CUSTOS REALIZADOS'!$A$11:$E$995,5)))</f>
        <v>0.24000000000000002</v>
      </c>
      <c r="J268" s="28">
        <f>IF(J267="",VLOOKUP($C267,'CUSTOS REALIZADOS'!$A$11:$E$995,4),(VLOOKUP($C267,'CUSTOS REALIZADOS'!$A$11:$E$995,5)))</f>
        <v>0.24000000000000002</v>
      </c>
      <c r="K268" s="28">
        <f>IF(K267="",VLOOKUP($C267,'CUSTOS REALIZADOS'!$A$11:$E$995,4),(VLOOKUP($C267,'CUSTOS REALIZADOS'!$A$11:$E$995,5)))</f>
        <v>0.24000000000000002</v>
      </c>
      <c r="L268" s="28">
        <f>IF(L267="",VLOOKUP($C267,'CUSTOS REALIZADOS'!$A$11:$E$995,4),(VLOOKUP($C267,'CUSTOS REALIZADOS'!$A$11:$E$995,5)))</f>
        <v>0.24000000000000002</v>
      </c>
      <c r="M268" s="28">
        <f>IF(M267="",VLOOKUP($C267,'CUSTOS REALIZADOS'!$A$11:$E$995,4),(VLOOKUP($C267,'CUSTOS REALIZADOS'!$A$11:$E$995,5)))</f>
        <v>0.24000000000000002</v>
      </c>
      <c r="N268" s="28">
        <f>IF(N267="",VLOOKUP($C267,'CUSTOS REALIZADOS'!$A$11:$E$995,4),(VLOOKUP($C267,'CUSTOS REALIZADOS'!$A$11:$E$995,5)))</f>
        <v>0.24000000000000002</v>
      </c>
      <c r="O268" s="28">
        <f>IF(O267="",VLOOKUP($C267,'CUSTOS REALIZADOS'!$A$11:$E$995,4),(VLOOKUP($C267,'CUSTOS REALIZADOS'!$A$11:$E$995,5)))</f>
        <v>0.24000000000000002</v>
      </c>
      <c r="P268" s="28">
        <f>IF(P267="",VLOOKUP($C267,'CUSTOS REALIZADOS'!$A$11:$E$995,4),(VLOOKUP($C267,'CUSTOS REALIZADOS'!$A$11:$E$995,5)))</f>
        <v>0.24000000000000002</v>
      </c>
      <c r="Q268" s="28">
        <f>IF(Q267="",VLOOKUP($C267,'CUSTOS REALIZADOS'!$A$11:$E$995,4),(VLOOKUP($C267,'CUSTOS REALIZADOS'!$A$11:$E$995,5)))</f>
        <v>0.24000000000000002</v>
      </c>
      <c r="R268" s="28">
        <f>IF(R267="",VLOOKUP($C267,'CUSTOS REALIZADOS'!$A$11:$E$995,4),(VLOOKUP($C267,'CUSTOS REALIZADOS'!$A$11:$E$995,5)))</f>
        <v>0.24000000000000002</v>
      </c>
      <c r="S268" s="28">
        <f>IF(S267="",VLOOKUP($C267,'CUSTOS REALIZADOS'!$A$11:$E$995,4),(VLOOKUP($C267,'CUSTOS REALIZADOS'!$A$11:$E$995,5)))</f>
        <v>0.24000000000000002</v>
      </c>
      <c r="T268" s="28">
        <f>IF(T267="",VLOOKUP($C267,'CUSTOS REALIZADOS'!$A$11:$E$995,4),(VLOOKUP($C267,'CUSTOS REALIZADOS'!$A$11:$E$995,5)))</f>
        <v>0.24000000000000002</v>
      </c>
      <c r="U268" s="28">
        <f>IF(U267="",VLOOKUP($C267,'CUSTOS REALIZADOS'!$A$11:$E$995,4),(VLOOKUP($C267,'CUSTOS REALIZADOS'!$A$11:$E$995,5)))</f>
        <v>0.24000000000000002</v>
      </c>
      <c r="V268" s="28">
        <f>IF(V267="",VLOOKUP($C267,'CUSTOS REALIZADOS'!$A$11:$E$995,4),(VLOOKUP($C267,'CUSTOS REALIZADOS'!$A$11:$E$995,5)))</f>
        <v>0.24000000000000002</v>
      </c>
      <c r="W268" s="28">
        <f>IF(W267="",VLOOKUP($C267,'CUSTOS REALIZADOS'!$A$11:$E$995,4),(VLOOKUP($C267,'CUSTOS REALIZADOS'!$A$11:$E$995,5)))</f>
        <v>0.24000000000000002</v>
      </c>
      <c r="X268" s="28">
        <f>IF(X267="",VLOOKUP($C267,'CUSTOS REALIZADOS'!$A$11:$E$995,4),(VLOOKUP($C267,'CUSTOS REALIZADOS'!$A$11:$E$995,5)))</f>
        <v>0.24000000000000002</v>
      </c>
      <c r="Y268" s="28">
        <f>IF(Y267="",VLOOKUP($C267,'CUSTOS REALIZADOS'!$A$11:$E$995,4),(VLOOKUP($C267,'CUSTOS REALIZADOS'!$A$11:$E$995,5)))</f>
        <v>0.24000000000000002</v>
      </c>
      <c r="Z268" s="28">
        <f>IF(Z267="",VLOOKUP($C267,'CUSTOS REALIZADOS'!$A$11:$E$995,4),(VLOOKUP($C267,'CUSTOS REALIZADOS'!$A$11:$E$995,5)))</f>
        <v>0.24000000000000002</v>
      </c>
      <c r="AA268" s="28">
        <f>IF(AA267="",VLOOKUP($C267,'CUSTOS REALIZADOS'!$A$11:$E$995,4),(VLOOKUP($C267,'CUSTOS REALIZADOS'!$A$11:$E$995,5)))</f>
        <v>0.24000000000000002</v>
      </c>
      <c r="AB268" s="28">
        <f>IF(AB267="",VLOOKUP($C267,'CUSTOS REALIZADOS'!$A$11:$E$995,4),(VLOOKUP($C267,'CUSTOS REALIZADOS'!$A$11:$E$995,5)))</f>
        <v>0.24000000000000002</v>
      </c>
      <c r="AC268" s="28">
        <f>IF(AC267="",VLOOKUP($C267,'CUSTOS REALIZADOS'!$A$11:$E$995,4),(VLOOKUP($C267,'CUSTOS REALIZADOS'!$A$11:$E$995,5)))</f>
        <v>0.24000000000000002</v>
      </c>
      <c r="AD268" s="28">
        <f>IF(AD267="",VLOOKUP($C267,'CUSTOS REALIZADOS'!$A$11:$E$995,4),(VLOOKUP($C267,'CUSTOS REALIZADOS'!$A$11:$E$995,5)))</f>
        <v>0.24000000000000002</v>
      </c>
      <c r="AE268" s="28">
        <f>IF(AE267="",VLOOKUP($C267,'CUSTOS REALIZADOS'!$A$11:$E$995,4),(VLOOKUP($C267,'CUSTOS REALIZADOS'!$A$11:$E$995,5)))</f>
        <v>0.24000000000000002</v>
      </c>
      <c r="AF268" s="28">
        <f>IF(AF267="",VLOOKUP($C267,'CUSTOS REALIZADOS'!$A$11:$E$995,4),(VLOOKUP($C267,'CUSTOS REALIZADOS'!$A$11:$E$995,5)))</f>
        <v>0.24000000000000002</v>
      </c>
      <c r="AG268" s="28">
        <f>IF(AG267="",VLOOKUP($C267,'CUSTOS REALIZADOS'!$A$11:$E$995,4),(VLOOKUP($C267,'CUSTOS REALIZADOS'!$A$11:$E$995,5)))</f>
        <v>0.24000000000000002</v>
      </c>
      <c r="AH268" s="28">
        <f>IF(AH267="",VLOOKUP($C267,'CUSTOS REALIZADOS'!$A$11:$E$995,4),(VLOOKUP($C267,'CUSTOS REALIZADOS'!$A$11:$E$995,5)))</f>
        <v>0.24000000000000002</v>
      </c>
      <c r="AI268" s="28">
        <f>IF(AI267="",VLOOKUP($C267,'CUSTOS REALIZADOS'!$A$11:$E$995,4),(VLOOKUP($C267,'CUSTOS REALIZADOS'!$A$11:$E$995,5)))</f>
        <v>0.24000000000000002</v>
      </c>
      <c r="AJ268" s="28">
        <f>IF(AJ267="",VLOOKUP($C267,'CUSTOS REALIZADOS'!$A$11:$E$995,4),(VLOOKUP($C267,'CUSTOS REALIZADOS'!$A$11:$E$995,5)))</f>
        <v>0.24000000000000002</v>
      </c>
      <c r="AK268" s="28">
        <f>IF(AK267="",VLOOKUP($C267,'CUSTOS REALIZADOS'!$A$11:$E$995,4),(VLOOKUP($C267,'CUSTOS REALIZADOS'!$A$11:$E$995,5)))</f>
        <v>0.24000000000000002</v>
      </c>
      <c r="AL268" s="28">
        <f>IF(AL267="",VLOOKUP($C267,'CUSTOS REALIZADOS'!$A$11:$E$995,4),(VLOOKUP($C267,'CUSTOS REALIZADOS'!$A$11:$E$995,5)))</f>
        <v>0.24000000000000002</v>
      </c>
      <c r="AM268" s="28">
        <f>IF(AM267="",VLOOKUP($C267,'CUSTOS REALIZADOS'!$A$11:$E$995,4),(VLOOKUP($C267,'CUSTOS REALIZADOS'!$A$11:$E$995,5)))</f>
        <v>0.24000000000000002</v>
      </c>
      <c r="AN268" s="28">
        <f>IF(AN267="",VLOOKUP($C267,'CUSTOS REALIZADOS'!$A$11:$E$995,4),(VLOOKUP($C267,'CUSTOS REALIZADOS'!$A$11:$E$995,5)))</f>
        <v>0.24000000000000002</v>
      </c>
      <c r="AO268" s="28">
        <f>IF(AO267="",VLOOKUP($C267,'CUSTOS REALIZADOS'!$A$11:$E$995,4),(VLOOKUP($C267,'CUSTOS REALIZADOS'!$A$11:$E$995,5)))</f>
        <v>0.24000000000000002</v>
      </c>
      <c r="AP268" s="28">
        <f>IF(AP267="",VLOOKUP($C267,'CUSTOS REALIZADOS'!$A$11:$E$995,4),(VLOOKUP($C267,'CUSTOS REALIZADOS'!$A$11:$E$995,5)))</f>
        <v>0.24000000000000002</v>
      </c>
      <c r="AQ268" s="28">
        <f>IF(AQ267="",VLOOKUP($C267,'CUSTOS REALIZADOS'!$A$11:$E$995,4),(VLOOKUP($C267,'CUSTOS REALIZADOS'!$A$11:$E$995,5)))</f>
        <v>0.24000000000000002</v>
      </c>
      <c r="AR268" s="28">
        <f>IF(AR267="",VLOOKUP($C267,'CUSTOS REALIZADOS'!$A$11:$E$995,4),(VLOOKUP($C267,'CUSTOS REALIZADOS'!$A$11:$E$995,5)))</f>
        <v>0.24000000000000002</v>
      </c>
      <c r="AS268" s="28">
        <f>IF(AS267="",VLOOKUP($C267,'CUSTOS REALIZADOS'!$A$11:$E$995,4),(VLOOKUP($C267,'CUSTOS REALIZADOS'!$A$11:$E$995,5)))</f>
        <v>0.24000000000000002</v>
      </c>
      <c r="AT268" s="28">
        <f>IF(AT267="",VLOOKUP($C267,'CUSTOS REALIZADOS'!$A$11:$E$995,4),(VLOOKUP($C267,'CUSTOS REALIZADOS'!$A$11:$E$995,5)))</f>
        <v>0.24000000000000002</v>
      </c>
      <c r="AU268" s="28">
        <f>IF(AU267="",VLOOKUP($C267,'CUSTOS REALIZADOS'!$A$11:$E$995,4),(VLOOKUP($C267,'CUSTOS REALIZADOS'!$A$11:$E$995,5)))</f>
        <v>0.24000000000000002</v>
      </c>
      <c r="AV268" s="28">
        <f>IF(AV267="",VLOOKUP($C267,'CUSTOS REALIZADOS'!$A$11:$E$995,4),(VLOOKUP($C267,'CUSTOS REALIZADOS'!$A$11:$E$995,5)))</f>
        <v>0.24000000000000002</v>
      </c>
      <c r="AW268" s="28">
        <f>IF(AW267="",VLOOKUP($C267,'CUSTOS REALIZADOS'!$A$11:$E$995,4),(VLOOKUP($C267,'CUSTOS REALIZADOS'!$A$11:$E$995,5)))</f>
        <v>0.24000000000000002</v>
      </c>
      <c r="AX268" s="28">
        <f>IF(AX267="",VLOOKUP($C267,'CUSTOS REALIZADOS'!$A$11:$E$995,4),(VLOOKUP($C267,'CUSTOS REALIZADOS'!$A$11:$E$995,5)))</f>
        <v>0.24000000000000002</v>
      </c>
      <c r="AY268" s="28">
        <f>IF(AY267="",VLOOKUP($C267,'CUSTOS REALIZADOS'!$A$11:$E$995,4),(VLOOKUP($C267,'CUSTOS REALIZADOS'!$A$11:$E$995,5)))</f>
        <v>0.24000000000000002</v>
      </c>
      <c r="AZ268" s="28">
        <f>IF(AZ267="",VLOOKUP($C267,'CUSTOS REALIZADOS'!$A$11:$E$995,4),(VLOOKUP($C267,'CUSTOS REALIZADOS'!$A$11:$E$995,5)))</f>
        <v>0.24000000000000002</v>
      </c>
      <c r="BA268" s="28">
        <f>IF(BA267="",VLOOKUP($C267,'CUSTOS REALIZADOS'!$A$11:$E$995,4),(VLOOKUP($C267,'CUSTOS REALIZADOS'!$A$11:$E$995,5)))</f>
        <v>0.24000000000000002</v>
      </c>
      <c r="BB268" s="28">
        <f>IF(BB267="",VLOOKUP($C267,'CUSTOS REALIZADOS'!$A$11:$E$995,4),(VLOOKUP($C267,'CUSTOS REALIZADOS'!$A$11:$E$995,5)))</f>
        <v>0.24000000000000002</v>
      </c>
      <c r="BC268" s="28">
        <f>IF(BC267="",VLOOKUP($C267,'CUSTOS REALIZADOS'!$A$11:$E$995,4),(VLOOKUP($C267,'CUSTOS REALIZADOS'!$A$11:$E$995,5)))</f>
        <v>0.24000000000000002</v>
      </c>
      <c r="BD268" s="28">
        <f>IF(BD267="",VLOOKUP($C267,'CUSTOS REALIZADOS'!$A$11:$E$995,4),(VLOOKUP($C267,'CUSTOS REALIZADOS'!$A$11:$E$995,5)))</f>
        <v>0.24000000000000002</v>
      </c>
      <c r="BE268" s="28">
        <f>IF(BE267="",VLOOKUP($C267,'CUSTOS REALIZADOS'!$A$11:$E$995,4),(VLOOKUP($C267,'CUSTOS REALIZADOS'!$A$11:$E$995,5)))</f>
        <v>0.24000000000000002</v>
      </c>
      <c r="BF268" s="28">
        <f>IF(BF267="",VLOOKUP($C267,'CUSTOS REALIZADOS'!$A$11:$E$995,4),(VLOOKUP($C267,'CUSTOS REALIZADOS'!$A$11:$E$995,5)))</f>
        <v>0.24000000000000002</v>
      </c>
      <c r="BG268" s="28">
        <f>IF(BG267="",VLOOKUP($C267,'CUSTOS REALIZADOS'!$A$11:$E$995,4),(VLOOKUP($C267,'CUSTOS REALIZADOS'!$A$11:$E$995,5)))</f>
        <v>0.24000000000000002</v>
      </c>
      <c r="BH268" s="28">
        <f>IF(BH267="",VLOOKUP($C267,'CUSTOS REALIZADOS'!$A$11:$E$995,4),(VLOOKUP($C267,'CUSTOS REALIZADOS'!$A$11:$E$995,5)))</f>
        <v>0.24000000000000002</v>
      </c>
      <c r="BI268" s="28">
        <f>IF(BI267="",VLOOKUP($C267,'CUSTOS REALIZADOS'!$A$11:$E$995,4),(VLOOKUP($C267,'CUSTOS REALIZADOS'!$A$11:$E$995,5)))</f>
        <v>0.24000000000000002</v>
      </c>
      <c r="BJ268" s="28">
        <f>IF(BJ267="",VLOOKUP($C267,'CUSTOS REALIZADOS'!$A$11:$E$995,4),(VLOOKUP($C267,'CUSTOS REALIZADOS'!$A$11:$E$995,5)))</f>
        <v>0.24000000000000002</v>
      </c>
      <c r="BK268" s="28">
        <f>IF(BK267="",VLOOKUP($C267,'CUSTOS REALIZADOS'!$A$11:$E$995,4),(VLOOKUP($C267,'CUSTOS REALIZADOS'!$A$11:$E$995,5)))</f>
        <v>0.24000000000000002</v>
      </c>
      <c r="BL268" s="28">
        <f>IF(BL267="",VLOOKUP($C267,'CUSTOS REALIZADOS'!$A$11:$E$995,4),(VLOOKUP($C267,'CUSTOS REALIZADOS'!$A$11:$E$995,5)))</f>
        <v>0.24000000000000002</v>
      </c>
      <c r="BM268" s="28">
        <f>IF(BM267="",VLOOKUP($C267,'CUSTOS REALIZADOS'!$A$11:$E$995,4),(VLOOKUP($C267,'CUSTOS REALIZADOS'!$A$11:$E$995,5)))</f>
        <v>0.24000000000000002</v>
      </c>
      <c r="BN268" s="28">
        <f>IF(BN267="",VLOOKUP($C267,'CUSTOS REALIZADOS'!$A$11:$E$995,4),(VLOOKUP($C267,'CUSTOS REALIZADOS'!$A$11:$E$995,5)))</f>
        <v>0.24000000000000002</v>
      </c>
    </row>
    <row r="269" spans="2:66" x14ac:dyDescent="0.2">
      <c r="C269" s="322"/>
      <c r="D269" s="23" t="s">
        <v>6</v>
      </c>
      <c r="E269" s="27">
        <f>SUM(F269:BN269)</f>
        <v>95000</v>
      </c>
      <c r="F269" s="23">
        <f>IF(AND($C267&gt;=F$6,OR($C267&lt;F$8,F$8="")),F$7*F$28,0)</f>
        <v>0</v>
      </c>
      <c r="G269" s="23">
        <f t="shared" ref="G269:BN269" si="2200">IF(AND($C267&gt;=G$6,OR($C267&lt;G$8,G$8="")),G$7*G$28,0)</f>
        <v>45000</v>
      </c>
      <c r="H269" s="23">
        <f t="shared" si="2200"/>
        <v>50000</v>
      </c>
      <c r="I269" s="23">
        <f t="shared" si="2200"/>
        <v>0</v>
      </c>
      <c r="J269" s="23">
        <f t="shared" si="2200"/>
        <v>0</v>
      </c>
      <c r="K269" s="23">
        <f t="shared" si="2200"/>
        <v>0</v>
      </c>
      <c r="L269" s="23">
        <f t="shared" si="2200"/>
        <v>0</v>
      </c>
      <c r="M269" s="23">
        <f t="shared" si="2200"/>
        <v>0</v>
      </c>
      <c r="N269" s="23">
        <f t="shared" si="2200"/>
        <v>0</v>
      </c>
      <c r="O269" s="23">
        <f t="shared" si="2200"/>
        <v>0</v>
      </c>
      <c r="P269" s="23">
        <f t="shared" si="2200"/>
        <v>0</v>
      </c>
      <c r="Q269" s="23">
        <f t="shared" si="2200"/>
        <v>0</v>
      </c>
      <c r="R269" s="23">
        <f t="shared" si="2200"/>
        <v>0</v>
      </c>
      <c r="S269" s="23">
        <f t="shared" si="2200"/>
        <v>0</v>
      </c>
      <c r="T269" s="23">
        <f t="shared" si="2200"/>
        <v>0</v>
      </c>
      <c r="U269" s="23">
        <f t="shared" si="2200"/>
        <v>0</v>
      </c>
      <c r="V269" s="23">
        <f t="shared" si="2200"/>
        <v>0</v>
      </c>
      <c r="W269" s="23">
        <f t="shared" si="2200"/>
        <v>0</v>
      </c>
      <c r="X269" s="23">
        <f t="shared" si="2200"/>
        <v>0</v>
      </c>
      <c r="Y269" s="23">
        <f t="shared" si="2200"/>
        <v>0</v>
      </c>
      <c r="Z269" s="23">
        <f t="shared" si="2200"/>
        <v>0</v>
      </c>
      <c r="AA269" s="23">
        <f t="shared" si="2200"/>
        <v>0</v>
      </c>
      <c r="AB269" s="23">
        <f t="shared" si="2200"/>
        <v>0</v>
      </c>
      <c r="AC269" s="23">
        <f t="shared" si="2200"/>
        <v>0</v>
      </c>
      <c r="AD269" s="23">
        <f t="shared" si="2200"/>
        <v>0</v>
      </c>
      <c r="AE269" s="23">
        <f t="shared" si="2200"/>
        <v>0</v>
      </c>
      <c r="AF269" s="23">
        <f t="shared" si="2200"/>
        <v>0</v>
      </c>
      <c r="AG269" s="23">
        <f t="shared" si="2200"/>
        <v>0</v>
      </c>
      <c r="AH269" s="23">
        <f t="shared" si="2200"/>
        <v>0</v>
      </c>
      <c r="AI269" s="23">
        <f t="shared" si="2200"/>
        <v>0</v>
      </c>
      <c r="AJ269" s="23">
        <f t="shared" si="2200"/>
        <v>0</v>
      </c>
      <c r="AK269" s="23">
        <f t="shared" si="2200"/>
        <v>0</v>
      </c>
      <c r="AL269" s="23">
        <f t="shared" si="2200"/>
        <v>0</v>
      </c>
      <c r="AM269" s="23">
        <f t="shared" si="2200"/>
        <v>0</v>
      </c>
      <c r="AN269" s="23">
        <f t="shared" si="2200"/>
        <v>0</v>
      </c>
      <c r="AO269" s="23">
        <f t="shared" si="2200"/>
        <v>0</v>
      </c>
      <c r="AP269" s="23">
        <f t="shared" si="2200"/>
        <v>0</v>
      </c>
      <c r="AQ269" s="23">
        <f t="shared" si="2200"/>
        <v>0</v>
      </c>
      <c r="AR269" s="23">
        <f t="shared" si="2200"/>
        <v>0</v>
      </c>
      <c r="AS269" s="23">
        <f t="shared" si="2200"/>
        <v>0</v>
      </c>
      <c r="AT269" s="23">
        <f t="shared" si="2200"/>
        <v>0</v>
      </c>
      <c r="AU269" s="23">
        <f t="shared" si="2200"/>
        <v>0</v>
      </c>
      <c r="AV269" s="23">
        <f t="shared" si="2200"/>
        <v>0</v>
      </c>
      <c r="AW269" s="23">
        <f t="shared" si="2200"/>
        <v>0</v>
      </c>
      <c r="AX269" s="23">
        <f t="shared" si="2200"/>
        <v>0</v>
      </c>
      <c r="AY269" s="23">
        <f t="shared" si="2200"/>
        <v>0</v>
      </c>
      <c r="AZ269" s="23">
        <f t="shared" si="2200"/>
        <v>0</v>
      </c>
      <c r="BA269" s="23">
        <f t="shared" si="2200"/>
        <v>0</v>
      </c>
      <c r="BB269" s="23">
        <f t="shared" si="2200"/>
        <v>0</v>
      </c>
      <c r="BC269" s="23">
        <f t="shared" si="2200"/>
        <v>0</v>
      </c>
      <c r="BD269" s="23">
        <f t="shared" si="2200"/>
        <v>0</v>
      </c>
      <c r="BE269" s="23">
        <f t="shared" si="2200"/>
        <v>0</v>
      </c>
      <c r="BF269" s="23">
        <f t="shared" si="2200"/>
        <v>0</v>
      </c>
      <c r="BG269" s="23">
        <f t="shared" si="2200"/>
        <v>0</v>
      </c>
      <c r="BH269" s="23">
        <f t="shared" si="2200"/>
        <v>0</v>
      </c>
      <c r="BI269" s="23">
        <f t="shared" si="2200"/>
        <v>0</v>
      </c>
      <c r="BJ269" s="23">
        <f t="shared" si="2200"/>
        <v>0</v>
      </c>
      <c r="BK269" s="23">
        <f t="shared" si="2200"/>
        <v>0</v>
      </c>
      <c r="BL269" s="23">
        <f t="shared" si="2200"/>
        <v>0</v>
      </c>
      <c r="BM269" s="23">
        <f t="shared" si="2200"/>
        <v>0</v>
      </c>
      <c r="BN269" s="23">
        <f t="shared" si="2200"/>
        <v>0</v>
      </c>
    </row>
    <row r="270" spans="2:66" x14ac:dyDescent="0.2">
      <c r="B270" s="171"/>
      <c r="C270" s="322"/>
      <c r="D270" s="23" t="s">
        <v>9</v>
      </c>
      <c r="E270" s="225">
        <f>SUM(F270:BN270)</f>
        <v>0</v>
      </c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2"/>
    </row>
    <row r="271" spans="2:66" x14ac:dyDescent="0.2">
      <c r="C271" s="322"/>
      <c r="D271" s="23" t="s">
        <v>14</v>
      </c>
      <c r="E271" s="27">
        <f>SUM(F271:AY271)</f>
        <v>1061934.3622683194</v>
      </c>
      <c r="F271" s="23">
        <f>IF(F266=0,F267-F270,F266-F270)</f>
        <v>-186.33696477773628</v>
      </c>
      <c r="G271" s="23">
        <f t="shared" ref="G271" si="2201">IF(G266=0,G267-G270,G266-G270)</f>
        <v>503109.80489988817</v>
      </c>
      <c r="H271" s="23">
        <f t="shared" ref="H271" si="2202">IF(H266=0,H267-H270,H266-H270)</f>
        <v>559010.89433320879</v>
      </c>
      <c r="I271" s="23">
        <f t="shared" ref="I271" si="2203">IF(I266=0,I267-I270,I266-I270)</f>
        <v>0</v>
      </c>
      <c r="J271" s="23">
        <f t="shared" ref="J271" si="2204">IF(J266=0,J267-J270,J266-J270)</f>
        <v>0</v>
      </c>
      <c r="K271" s="23">
        <f t="shared" ref="K271" si="2205">IF(K266=0,K267-K270,K266-K270)</f>
        <v>0</v>
      </c>
      <c r="L271" s="23">
        <f t="shared" ref="L271" si="2206">IF(L266=0,L267-L270,L266-L270)</f>
        <v>0</v>
      </c>
      <c r="M271" s="23">
        <f t="shared" ref="M271" si="2207">IF(M266=0,M267-M270,M266-M270)</f>
        <v>0</v>
      </c>
      <c r="N271" s="23">
        <f t="shared" ref="N271" si="2208">IF(N266=0,N267-N270,N266-N270)</f>
        <v>0</v>
      </c>
      <c r="O271" s="23">
        <f t="shared" ref="O271" si="2209">IF(O266=0,O267-O270,O266-O270)</f>
        <v>0</v>
      </c>
      <c r="P271" s="23">
        <f t="shared" ref="P271" si="2210">IF(P266=0,P267-P270,P266-P270)</f>
        <v>0</v>
      </c>
      <c r="Q271" s="23">
        <f t="shared" ref="Q271" si="2211">IF(Q266=0,Q267-Q270,Q266-Q270)</f>
        <v>0</v>
      </c>
      <c r="R271" s="23">
        <f t="shared" ref="R271" si="2212">IF(R266=0,R267-R270,R266-R270)</f>
        <v>0</v>
      </c>
      <c r="S271" s="23">
        <f t="shared" ref="S271" si="2213">IF(S266=0,S267-S270,S266-S270)</f>
        <v>0</v>
      </c>
      <c r="T271" s="23">
        <f t="shared" ref="T271" si="2214">IF(T266=0,T267-T270,T266-T270)</f>
        <v>0</v>
      </c>
      <c r="U271" s="23">
        <f t="shared" ref="U271" si="2215">IF(U266=0,U267-U270,U266-U270)</f>
        <v>0</v>
      </c>
      <c r="V271" s="23">
        <f t="shared" ref="V271" si="2216">IF(V266=0,V267-V270,V266-V270)</f>
        <v>0</v>
      </c>
      <c r="W271" s="23">
        <f t="shared" ref="W271" si="2217">IF(W266=0,W267-W270,W266-W270)</f>
        <v>0</v>
      </c>
      <c r="X271" s="23">
        <f t="shared" ref="X271" si="2218">IF(X266=0,X267-X270,X266-X270)</f>
        <v>0</v>
      </c>
      <c r="Y271" s="23">
        <f t="shared" ref="Y271" si="2219">IF(Y266=0,Y267-Y270,Y266-Y270)</f>
        <v>0</v>
      </c>
      <c r="Z271" s="23">
        <f t="shared" ref="Z271" si="2220">IF(Z266=0,Z267-Z270,Z266-Z270)</f>
        <v>0</v>
      </c>
      <c r="AA271" s="23">
        <f t="shared" ref="AA271" si="2221">IF(AA266=0,AA267-AA270,AA266-AA270)</f>
        <v>0</v>
      </c>
      <c r="AB271" s="23">
        <f t="shared" ref="AB271" si="2222">IF(AB266=0,AB267-AB270,AB266-AB270)</f>
        <v>0</v>
      </c>
      <c r="AC271" s="23">
        <f t="shared" ref="AC271" si="2223">IF(AC266=0,AC267-AC270,AC266-AC270)</f>
        <v>0</v>
      </c>
      <c r="AD271" s="23">
        <f t="shared" ref="AD271" si="2224">IF(AD266=0,AD267-AD270,AD266-AD270)</f>
        <v>0</v>
      </c>
      <c r="AE271" s="23">
        <f t="shared" ref="AE271" si="2225">IF(AE266=0,AE267-AE270,AE266-AE270)</f>
        <v>0</v>
      </c>
      <c r="AF271" s="23">
        <f t="shared" ref="AF271" si="2226">IF(AF266=0,AF267-AF270,AF266-AF270)</f>
        <v>0</v>
      </c>
      <c r="AG271" s="23">
        <f t="shared" ref="AG271" si="2227">IF(AG266=0,AG267-AG270,AG266-AG270)</f>
        <v>0</v>
      </c>
      <c r="AH271" s="23">
        <f t="shared" ref="AH271" si="2228">IF(AH266=0,AH267-AH270,AH266-AH270)</f>
        <v>0</v>
      </c>
      <c r="AI271" s="23">
        <f t="shared" ref="AI271" si="2229">IF(AI266=0,AI267-AI270,AI266-AI270)</f>
        <v>0</v>
      </c>
      <c r="AJ271" s="23">
        <f t="shared" ref="AJ271" si="2230">IF(AJ266=0,AJ267-AJ270,AJ266-AJ270)</f>
        <v>0</v>
      </c>
      <c r="AK271" s="23">
        <f t="shared" ref="AK271" si="2231">IF(AK266=0,AK267-AK270,AK266-AK270)</f>
        <v>0</v>
      </c>
      <c r="AL271" s="23">
        <f t="shared" ref="AL271" si="2232">IF(AL266=0,AL267-AL270,AL266-AL270)</f>
        <v>0</v>
      </c>
      <c r="AM271" s="23">
        <f t="shared" ref="AM271" si="2233">IF(AM266=0,AM267-AM270,AM266-AM270)</f>
        <v>0</v>
      </c>
      <c r="AN271" s="23">
        <f t="shared" ref="AN271" si="2234">IF(AN266=0,AN267-AN270,AN266-AN270)</f>
        <v>0</v>
      </c>
      <c r="AO271" s="23">
        <f t="shared" ref="AO271" si="2235">IF(AO266=0,AO267-AO270,AO266-AO270)</f>
        <v>0</v>
      </c>
      <c r="AP271" s="23">
        <f t="shared" ref="AP271" si="2236">IF(AP266=0,AP267-AP270,AP266-AP270)</f>
        <v>0</v>
      </c>
      <c r="AQ271" s="23">
        <f t="shared" ref="AQ271" si="2237">IF(AQ266=0,AQ267-AQ270,AQ266-AQ270)</f>
        <v>0</v>
      </c>
      <c r="AR271" s="23">
        <f t="shared" ref="AR271" si="2238">IF(AR266=0,AR267-AR270,AR266-AR270)</f>
        <v>0</v>
      </c>
      <c r="AS271" s="23">
        <f t="shared" ref="AS271" si="2239">IF(AS266=0,AS267-AS270,AS266-AS270)</f>
        <v>0</v>
      </c>
      <c r="AT271" s="23">
        <f t="shared" ref="AT271" si="2240">IF(AT266=0,AT267-AT270,AT266-AT270)</f>
        <v>0</v>
      </c>
      <c r="AU271" s="23">
        <f t="shared" ref="AU271" si="2241">IF(AU266=0,AU267-AU270,AU266-AU270)</f>
        <v>0</v>
      </c>
      <c r="AV271" s="23">
        <f t="shared" ref="AV271" si="2242">IF(AV266=0,AV267-AV270,AV266-AV270)</f>
        <v>0</v>
      </c>
      <c r="AW271" s="23">
        <f t="shared" ref="AW271" si="2243">IF(AW266=0,AW267-AW270,AW266-AW270)</f>
        <v>0</v>
      </c>
      <c r="AX271" s="23">
        <f t="shared" ref="AX271" si="2244">IF(AX266=0,AX267-AX270,AX266-AX270)</f>
        <v>0</v>
      </c>
      <c r="AY271" s="23">
        <f t="shared" ref="AY271" si="2245">IF(AY266=0,AY267-AY270,AY266-AY270)</f>
        <v>0</v>
      </c>
      <c r="AZ271" s="23">
        <f t="shared" ref="AZ271" si="2246">IF(AZ266=0,AZ267-AZ270,AZ266-AZ270)</f>
        <v>0</v>
      </c>
      <c r="BA271" s="23">
        <f t="shared" ref="BA271" si="2247">IF(BA266=0,BA267-BA270,BA266-BA270)</f>
        <v>0</v>
      </c>
      <c r="BB271" s="23">
        <f t="shared" ref="BB271" si="2248">IF(BB266=0,BB267-BB270,BB266-BB270)</f>
        <v>0</v>
      </c>
      <c r="BC271" s="23">
        <f t="shared" ref="BC271" si="2249">IF(BC266=0,BC267-BC270,BC266-BC270)</f>
        <v>0</v>
      </c>
      <c r="BD271" s="23">
        <f t="shared" ref="BD271" si="2250">IF(BD266=0,BD267-BD270,BD266-BD270)</f>
        <v>0</v>
      </c>
      <c r="BE271" s="23">
        <f t="shared" ref="BE271" si="2251">IF(BE266=0,BE267-BE270,BE266-BE270)</f>
        <v>0</v>
      </c>
      <c r="BF271" s="23">
        <f t="shared" ref="BF271" si="2252">IF(BF266=0,BF267-BF270,BF266-BF270)</f>
        <v>0</v>
      </c>
      <c r="BG271" s="23">
        <f t="shared" ref="BG271" si="2253">IF(BG266=0,BG267-BG270,BG266-BG270)</f>
        <v>0</v>
      </c>
      <c r="BH271" s="23">
        <f t="shared" ref="BH271" si="2254">IF(BH266=0,BH267-BH270,BH266-BH270)</f>
        <v>0</v>
      </c>
      <c r="BI271" s="23">
        <f t="shared" ref="BI271" si="2255">IF(BI266=0,BI267-BI270,BI266-BI270)</f>
        <v>0</v>
      </c>
      <c r="BJ271" s="23">
        <f t="shared" ref="BJ271" si="2256">IF(BJ266=0,BJ267-BJ270,BJ266-BJ270)</f>
        <v>0</v>
      </c>
      <c r="BK271" s="23">
        <f t="shared" ref="BK271" si="2257">IF(BK266=0,BK267-BK270,BK266-BK270)</f>
        <v>0</v>
      </c>
      <c r="BL271" s="23">
        <f t="shared" ref="BL271" si="2258">IF(BL266=0,BL267-BL270,BL266-BL270)</f>
        <v>0</v>
      </c>
      <c r="BM271" s="23">
        <f t="shared" ref="BM271" si="2259">IF(BM266=0,BM267-BM270,BM266-BM270)</f>
        <v>0</v>
      </c>
      <c r="BN271" s="23">
        <f t="shared" ref="BN271" si="2260">IF(BN266=0,BN267-BN270,BN266-BN270)</f>
        <v>0</v>
      </c>
    </row>
    <row r="272" spans="2:66" x14ac:dyDescent="0.2">
      <c r="C272" s="322"/>
      <c r="D272" s="23" t="s">
        <v>10</v>
      </c>
      <c r="E272" s="72">
        <v>8.6E-3</v>
      </c>
      <c r="F272" s="54">
        <f>E272</f>
        <v>8.6E-3</v>
      </c>
      <c r="G272" s="54">
        <f>F272</f>
        <v>8.6E-3</v>
      </c>
      <c r="H272" s="54">
        <f>F272</f>
        <v>8.6E-3</v>
      </c>
      <c r="I272" s="54">
        <f t="shared" ref="I272" si="2261">H272</f>
        <v>8.6E-3</v>
      </c>
      <c r="J272" s="54">
        <f t="shared" ref="J272" si="2262">I272</f>
        <v>8.6E-3</v>
      </c>
      <c r="K272" s="54">
        <f t="shared" ref="K272" si="2263">J272</f>
        <v>8.6E-3</v>
      </c>
      <c r="L272" s="54">
        <f t="shared" ref="L272" si="2264">K272</f>
        <v>8.6E-3</v>
      </c>
      <c r="M272" s="54">
        <f t="shared" ref="M272" si="2265">L272</f>
        <v>8.6E-3</v>
      </c>
      <c r="N272" s="54">
        <f t="shared" ref="N272" si="2266">M272</f>
        <v>8.6E-3</v>
      </c>
      <c r="O272" s="54">
        <f t="shared" ref="O272" si="2267">N272</f>
        <v>8.6E-3</v>
      </c>
      <c r="P272" s="54">
        <f t="shared" ref="P272" si="2268">O272</f>
        <v>8.6E-3</v>
      </c>
      <c r="Q272" s="54">
        <f t="shared" ref="Q272" si="2269">P272</f>
        <v>8.6E-3</v>
      </c>
      <c r="R272" s="54">
        <f t="shared" ref="R272" si="2270">Q272</f>
        <v>8.6E-3</v>
      </c>
      <c r="S272" s="54">
        <f t="shared" ref="S272" si="2271">R272</f>
        <v>8.6E-3</v>
      </c>
      <c r="T272" s="54">
        <f t="shared" ref="T272" si="2272">S272</f>
        <v>8.6E-3</v>
      </c>
      <c r="U272" s="54">
        <f t="shared" ref="U272" si="2273">T272</f>
        <v>8.6E-3</v>
      </c>
      <c r="V272" s="54">
        <f t="shared" ref="V272" si="2274">U272</f>
        <v>8.6E-3</v>
      </c>
      <c r="W272" s="54">
        <f t="shared" ref="W272" si="2275">V272</f>
        <v>8.6E-3</v>
      </c>
      <c r="X272" s="54">
        <f t="shared" ref="X272" si="2276">W272</f>
        <v>8.6E-3</v>
      </c>
      <c r="Y272" s="54">
        <f t="shared" ref="Y272" si="2277">X272</f>
        <v>8.6E-3</v>
      </c>
      <c r="Z272" s="54">
        <f t="shared" ref="Z272" si="2278">Y272</f>
        <v>8.6E-3</v>
      </c>
      <c r="AA272" s="54">
        <f t="shared" ref="AA272" si="2279">Z272</f>
        <v>8.6E-3</v>
      </c>
      <c r="AB272" s="54">
        <f t="shared" ref="AB272" si="2280">AA272</f>
        <v>8.6E-3</v>
      </c>
      <c r="AC272" s="54">
        <f t="shared" ref="AC272" si="2281">AB272</f>
        <v>8.6E-3</v>
      </c>
      <c r="AD272" s="54">
        <f t="shared" ref="AD272" si="2282">AC272</f>
        <v>8.6E-3</v>
      </c>
      <c r="AE272" s="54">
        <f t="shared" ref="AE272" si="2283">AD272</f>
        <v>8.6E-3</v>
      </c>
      <c r="AF272" s="54">
        <f t="shared" ref="AF272" si="2284">AE272</f>
        <v>8.6E-3</v>
      </c>
      <c r="AG272" s="54">
        <f t="shared" ref="AG272" si="2285">AF272</f>
        <v>8.6E-3</v>
      </c>
      <c r="AH272" s="54">
        <f t="shared" ref="AH272" si="2286">AG272</f>
        <v>8.6E-3</v>
      </c>
      <c r="AI272" s="54">
        <f t="shared" ref="AI272" si="2287">AH272</f>
        <v>8.6E-3</v>
      </c>
      <c r="AJ272" s="54">
        <f t="shared" ref="AJ272" si="2288">AI272</f>
        <v>8.6E-3</v>
      </c>
      <c r="AK272" s="54">
        <f t="shared" ref="AK272" si="2289">AJ272</f>
        <v>8.6E-3</v>
      </c>
      <c r="AL272" s="54">
        <f t="shared" ref="AL272" si="2290">AK272</f>
        <v>8.6E-3</v>
      </c>
      <c r="AM272" s="54">
        <f t="shared" ref="AM272" si="2291">AL272</f>
        <v>8.6E-3</v>
      </c>
      <c r="AN272" s="54">
        <f t="shared" ref="AN272" si="2292">AM272</f>
        <v>8.6E-3</v>
      </c>
      <c r="AO272" s="54">
        <f t="shared" ref="AO272" si="2293">AN272</f>
        <v>8.6E-3</v>
      </c>
      <c r="AP272" s="54">
        <f t="shared" ref="AP272" si="2294">AO272</f>
        <v>8.6E-3</v>
      </c>
      <c r="AQ272" s="54">
        <f t="shared" ref="AQ272" si="2295">AP272</f>
        <v>8.6E-3</v>
      </c>
      <c r="AR272" s="54">
        <f t="shared" ref="AR272" si="2296">AQ272</f>
        <v>8.6E-3</v>
      </c>
      <c r="AS272" s="54">
        <f t="shared" ref="AS272" si="2297">AR272</f>
        <v>8.6E-3</v>
      </c>
      <c r="AT272" s="54">
        <f t="shared" ref="AT272" si="2298">AS272</f>
        <v>8.6E-3</v>
      </c>
      <c r="AU272" s="54">
        <f t="shared" ref="AU272" si="2299">AT272</f>
        <v>8.6E-3</v>
      </c>
      <c r="AV272" s="54">
        <f t="shared" ref="AV272" si="2300">AU272</f>
        <v>8.6E-3</v>
      </c>
      <c r="AW272" s="54">
        <f t="shared" ref="AW272" si="2301">AV272</f>
        <v>8.6E-3</v>
      </c>
      <c r="AX272" s="54">
        <f t="shared" ref="AX272" si="2302">AW272</f>
        <v>8.6E-3</v>
      </c>
      <c r="AY272" s="54">
        <f t="shared" ref="AY272" si="2303">AX272</f>
        <v>8.6E-3</v>
      </c>
      <c r="AZ272" s="54">
        <f t="shared" ref="AZ272" si="2304">AY272</f>
        <v>8.6E-3</v>
      </c>
      <c r="BA272" s="54">
        <f t="shared" ref="BA272" si="2305">AZ272</f>
        <v>8.6E-3</v>
      </c>
      <c r="BB272" s="54">
        <f t="shared" ref="BB272" si="2306">BA272</f>
        <v>8.6E-3</v>
      </c>
      <c r="BC272" s="54">
        <f t="shared" ref="BC272" si="2307">BB272</f>
        <v>8.6E-3</v>
      </c>
      <c r="BD272" s="54">
        <f t="shared" ref="BD272" si="2308">BC272</f>
        <v>8.6E-3</v>
      </c>
      <c r="BE272" s="54">
        <f t="shared" ref="BE272" si="2309">BD272</f>
        <v>8.6E-3</v>
      </c>
      <c r="BF272" s="54">
        <f t="shared" ref="BF272" si="2310">BE272</f>
        <v>8.6E-3</v>
      </c>
      <c r="BG272" s="54">
        <f t="shared" ref="BG272" si="2311">BF272</f>
        <v>8.6E-3</v>
      </c>
      <c r="BH272" s="54">
        <f t="shared" ref="BH272" si="2312">BG272</f>
        <v>8.6E-3</v>
      </c>
      <c r="BI272" s="54">
        <f t="shared" ref="BI272" si="2313">BH272</f>
        <v>8.6E-3</v>
      </c>
      <c r="BJ272" s="54">
        <f t="shared" ref="BJ272" si="2314">BI272</f>
        <v>8.6E-3</v>
      </c>
      <c r="BK272" s="54">
        <f t="shared" ref="BK272" si="2315">BJ272</f>
        <v>8.6E-3</v>
      </c>
      <c r="BL272" s="54">
        <f t="shared" ref="BL272" si="2316">BK272</f>
        <v>8.6E-3</v>
      </c>
      <c r="BM272" s="54">
        <f t="shared" ref="BM272" si="2317">BL272</f>
        <v>8.6E-3</v>
      </c>
      <c r="BN272" s="54">
        <f t="shared" ref="BN272" si="2318">BM272</f>
        <v>8.6E-3</v>
      </c>
    </row>
    <row r="273" spans="3:66" x14ac:dyDescent="0.2">
      <c r="C273" s="322"/>
      <c r="D273" s="23" t="s">
        <v>12</v>
      </c>
      <c r="E273" s="27">
        <f>SUM(F273:AY273)</f>
        <v>9132.6355155075471</v>
      </c>
      <c r="F273" s="29">
        <f>+F271*F272</f>
        <v>-1.602497897088532</v>
      </c>
      <c r="G273" s="29">
        <f>+G271*G272</f>
        <v>4326.7443221390386</v>
      </c>
      <c r="H273" s="29">
        <f t="shared" ref="H273:BN273" si="2319">+H271*H272</f>
        <v>4807.4936912655958</v>
      </c>
      <c r="I273" s="29">
        <f t="shared" si="2319"/>
        <v>0</v>
      </c>
      <c r="J273" s="29">
        <f t="shared" si="2319"/>
        <v>0</v>
      </c>
      <c r="K273" s="29">
        <f t="shared" si="2319"/>
        <v>0</v>
      </c>
      <c r="L273" s="29">
        <f t="shared" si="2319"/>
        <v>0</v>
      </c>
      <c r="M273" s="29">
        <f t="shared" si="2319"/>
        <v>0</v>
      </c>
      <c r="N273" s="29">
        <f t="shared" si="2319"/>
        <v>0</v>
      </c>
      <c r="O273" s="29">
        <f t="shared" si="2319"/>
        <v>0</v>
      </c>
      <c r="P273" s="29">
        <f t="shared" si="2319"/>
        <v>0</v>
      </c>
      <c r="Q273" s="29">
        <f t="shared" si="2319"/>
        <v>0</v>
      </c>
      <c r="R273" s="29">
        <f t="shared" si="2319"/>
        <v>0</v>
      </c>
      <c r="S273" s="29">
        <f t="shared" si="2319"/>
        <v>0</v>
      </c>
      <c r="T273" s="29">
        <f t="shared" si="2319"/>
        <v>0</v>
      </c>
      <c r="U273" s="29">
        <f t="shared" si="2319"/>
        <v>0</v>
      </c>
      <c r="V273" s="29">
        <f t="shared" si="2319"/>
        <v>0</v>
      </c>
      <c r="W273" s="29">
        <f t="shared" si="2319"/>
        <v>0</v>
      </c>
      <c r="X273" s="29">
        <f t="shared" si="2319"/>
        <v>0</v>
      </c>
      <c r="Y273" s="29">
        <f t="shared" si="2319"/>
        <v>0</v>
      </c>
      <c r="Z273" s="29">
        <f t="shared" si="2319"/>
        <v>0</v>
      </c>
      <c r="AA273" s="29">
        <f t="shared" si="2319"/>
        <v>0</v>
      </c>
      <c r="AB273" s="29">
        <f t="shared" si="2319"/>
        <v>0</v>
      </c>
      <c r="AC273" s="29">
        <f t="shared" si="2319"/>
        <v>0</v>
      </c>
      <c r="AD273" s="29">
        <f t="shared" si="2319"/>
        <v>0</v>
      </c>
      <c r="AE273" s="29">
        <f t="shared" si="2319"/>
        <v>0</v>
      </c>
      <c r="AF273" s="29">
        <f t="shared" si="2319"/>
        <v>0</v>
      </c>
      <c r="AG273" s="29">
        <f t="shared" si="2319"/>
        <v>0</v>
      </c>
      <c r="AH273" s="29">
        <f t="shared" si="2319"/>
        <v>0</v>
      </c>
      <c r="AI273" s="29">
        <f t="shared" si="2319"/>
        <v>0</v>
      </c>
      <c r="AJ273" s="29">
        <f t="shared" si="2319"/>
        <v>0</v>
      </c>
      <c r="AK273" s="29">
        <f t="shared" si="2319"/>
        <v>0</v>
      </c>
      <c r="AL273" s="29">
        <f t="shared" si="2319"/>
        <v>0</v>
      </c>
      <c r="AM273" s="29">
        <f t="shared" si="2319"/>
        <v>0</v>
      </c>
      <c r="AN273" s="29">
        <f t="shared" si="2319"/>
        <v>0</v>
      </c>
      <c r="AO273" s="29">
        <f t="shared" si="2319"/>
        <v>0</v>
      </c>
      <c r="AP273" s="29">
        <f t="shared" si="2319"/>
        <v>0</v>
      </c>
      <c r="AQ273" s="29">
        <f t="shared" si="2319"/>
        <v>0</v>
      </c>
      <c r="AR273" s="29">
        <f t="shared" si="2319"/>
        <v>0</v>
      </c>
      <c r="AS273" s="29">
        <f t="shared" si="2319"/>
        <v>0</v>
      </c>
      <c r="AT273" s="29">
        <f t="shared" si="2319"/>
        <v>0</v>
      </c>
      <c r="AU273" s="29">
        <f t="shared" si="2319"/>
        <v>0</v>
      </c>
      <c r="AV273" s="29">
        <f t="shared" si="2319"/>
        <v>0</v>
      </c>
      <c r="AW273" s="29">
        <f t="shared" si="2319"/>
        <v>0</v>
      </c>
      <c r="AX273" s="29">
        <f t="shared" si="2319"/>
        <v>0</v>
      </c>
      <c r="AY273" s="29">
        <f t="shared" si="2319"/>
        <v>0</v>
      </c>
      <c r="AZ273" s="29">
        <f t="shared" si="2319"/>
        <v>0</v>
      </c>
      <c r="BA273" s="29">
        <f t="shared" si="2319"/>
        <v>0</v>
      </c>
      <c r="BB273" s="29">
        <f t="shared" si="2319"/>
        <v>0</v>
      </c>
      <c r="BC273" s="29">
        <f t="shared" si="2319"/>
        <v>0</v>
      </c>
      <c r="BD273" s="29">
        <f t="shared" si="2319"/>
        <v>0</v>
      </c>
      <c r="BE273" s="29">
        <f t="shared" si="2319"/>
        <v>0</v>
      </c>
      <c r="BF273" s="29">
        <f t="shared" si="2319"/>
        <v>0</v>
      </c>
      <c r="BG273" s="29">
        <f t="shared" si="2319"/>
        <v>0</v>
      </c>
      <c r="BH273" s="29">
        <f t="shared" si="2319"/>
        <v>0</v>
      </c>
      <c r="BI273" s="29">
        <f t="shared" si="2319"/>
        <v>0</v>
      </c>
      <c r="BJ273" s="29">
        <f t="shared" si="2319"/>
        <v>0</v>
      </c>
      <c r="BK273" s="29">
        <f t="shared" si="2319"/>
        <v>0</v>
      </c>
      <c r="BL273" s="29">
        <f t="shared" si="2319"/>
        <v>0</v>
      </c>
      <c r="BM273" s="29">
        <f t="shared" si="2319"/>
        <v>0</v>
      </c>
      <c r="BN273" s="29">
        <f t="shared" si="2319"/>
        <v>0</v>
      </c>
    </row>
    <row r="274" spans="3:66" ht="13.5" thickBot="1" x14ac:dyDescent="0.25">
      <c r="C274" s="323"/>
      <c r="D274" s="25" t="s">
        <v>11</v>
      </c>
      <c r="E274" s="30">
        <f>SUM(F274:AY274)</f>
        <v>1071066.9977838267</v>
      </c>
      <c r="F274" s="46">
        <f>+F271+F273</f>
        <v>-187.93946267482482</v>
      </c>
      <c r="G274" s="46">
        <f>+G271+G273</f>
        <v>507436.54922202718</v>
      </c>
      <c r="H274" s="46">
        <f t="shared" ref="H274:BN274" si="2320">+H271+H273</f>
        <v>563818.38802447438</v>
      </c>
      <c r="I274" s="46">
        <f t="shared" si="2320"/>
        <v>0</v>
      </c>
      <c r="J274" s="46">
        <f t="shared" si="2320"/>
        <v>0</v>
      </c>
      <c r="K274" s="46">
        <f t="shared" si="2320"/>
        <v>0</v>
      </c>
      <c r="L274" s="46">
        <f t="shared" si="2320"/>
        <v>0</v>
      </c>
      <c r="M274" s="46">
        <f t="shared" si="2320"/>
        <v>0</v>
      </c>
      <c r="N274" s="46">
        <f t="shared" si="2320"/>
        <v>0</v>
      </c>
      <c r="O274" s="46">
        <f t="shared" si="2320"/>
        <v>0</v>
      </c>
      <c r="P274" s="46">
        <f t="shared" si="2320"/>
        <v>0</v>
      </c>
      <c r="Q274" s="46">
        <f t="shared" si="2320"/>
        <v>0</v>
      </c>
      <c r="R274" s="46">
        <f t="shared" si="2320"/>
        <v>0</v>
      </c>
      <c r="S274" s="46">
        <f t="shared" si="2320"/>
        <v>0</v>
      </c>
      <c r="T274" s="46">
        <f t="shared" si="2320"/>
        <v>0</v>
      </c>
      <c r="U274" s="46">
        <f t="shared" si="2320"/>
        <v>0</v>
      </c>
      <c r="V274" s="46">
        <f t="shared" si="2320"/>
        <v>0</v>
      </c>
      <c r="W274" s="46">
        <f t="shared" si="2320"/>
        <v>0</v>
      </c>
      <c r="X274" s="46">
        <f t="shared" si="2320"/>
        <v>0</v>
      </c>
      <c r="Y274" s="46">
        <f t="shared" si="2320"/>
        <v>0</v>
      </c>
      <c r="Z274" s="46">
        <f t="shared" si="2320"/>
        <v>0</v>
      </c>
      <c r="AA274" s="46">
        <f t="shared" si="2320"/>
        <v>0</v>
      </c>
      <c r="AB274" s="46">
        <f t="shared" si="2320"/>
        <v>0</v>
      </c>
      <c r="AC274" s="46">
        <f t="shared" si="2320"/>
        <v>0</v>
      </c>
      <c r="AD274" s="46">
        <f t="shared" si="2320"/>
        <v>0</v>
      </c>
      <c r="AE274" s="46">
        <f t="shared" si="2320"/>
        <v>0</v>
      </c>
      <c r="AF274" s="46">
        <f t="shared" si="2320"/>
        <v>0</v>
      </c>
      <c r="AG274" s="46">
        <f t="shared" si="2320"/>
        <v>0</v>
      </c>
      <c r="AH274" s="46">
        <f t="shared" si="2320"/>
        <v>0</v>
      </c>
      <c r="AI274" s="46">
        <f t="shared" si="2320"/>
        <v>0</v>
      </c>
      <c r="AJ274" s="46">
        <f t="shared" si="2320"/>
        <v>0</v>
      </c>
      <c r="AK274" s="46">
        <f t="shared" si="2320"/>
        <v>0</v>
      </c>
      <c r="AL274" s="46">
        <f t="shared" si="2320"/>
        <v>0</v>
      </c>
      <c r="AM274" s="46">
        <f t="shared" si="2320"/>
        <v>0</v>
      </c>
      <c r="AN274" s="46">
        <f t="shared" si="2320"/>
        <v>0</v>
      </c>
      <c r="AO274" s="46">
        <f t="shared" si="2320"/>
        <v>0</v>
      </c>
      <c r="AP274" s="46">
        <f t="shared" si="2320"/>
        <v>0</v>
      </c>
      <c r="AQ274" s="46">
        <f t="shared" si="2320"/>
        <v>0</v>
      </c>
      <c r="AR274" s="46">
        <f t="shared" si="2320"/>
        <v>0</v>
      </c>
      <c r="AS274" s="46">
        <f t="shared" si="2320"/>
        <v>0</v>
      </c>
      <c r="AT274" s="46">
        <f t="shared" si="2320"/>
        <v>0</v>
      </c>
      <c r="AU274" s="46">
        <f t="shared" si="2320"/>
        <v>0</v>
      </c>
      <c r="AV274" s="46">
        <f t="shared" si="2320"/>
        <v>0</v>
      </c>
      <c r="AW274" s="46">
        <f t="shared" si="2320"/>
        <v>0</v>
      </c>
      <c r="AX274" s="46">
        <f t="shared" si="2320"/>
        <v>0</v>
      </c>
      <c r="AY274" s="46">
        <f t="shared" si="2320"/>
        <v>0</v>
      </c>
      <c r="AZ274" s="46">
        <f t="shared" si="2320"/>
        <v>0</v>
      </c>
      <c r="BA274" s="46">
        <f t="shared" si="2320"/>
        <v>0</v>
      </c>
      <c r="BB274" s="46">
        <f t="shared" si="2320"/>
        <v>0</v>
      </c>
      <c r="BC274" s="46">
        <f t="shared" si="2320"/>
        <v>0</v>
      </c>
      <c r="BD274" s="46">
        <f t="shared" si="2320"/>
        <v>0</v>
      </c>
      <c r="BE274" s="46">
        <f t="shared" si="2320"/>
        <v>0</v>
      </c>
      <c r="BF274" s="46">
        <f t="shared" si="2320"/>
        <v>0</v>
      </c>
      <c r="BG274" s="46">
        <f t="shared" si="2320"/>
        <v>0</v>
      </c>
      <c r="BH274" s="46">
        <f t="shared" si="2320"/>
        <v>0</v>
      </c>
      <c r="BI274" s="46">
        <f t="shared" si="2320"/>
        <v>0</v>
      </c>
      <c r="BJ274" s="46">
        <f t="shared" si="2320"/>
        <v>0</v>
      </c>
      <c r="BK274" s="46">
        <f t="shared" si="2320"/>
        <v>0</v>
      </c>
      <c r="BL274" s="46">
        <f t="shared" si="2320"/>
        <v>0</v>
      </c>
      <c r="BM274" s="46">
        <f t="shared" si="2320"/>
        <v>0</v>
      </c>
      <c r="BN274" s="46">
        <f t="shared" si="2320"/>
        <v>0</v>
      </c>
    </row>
  </sheetData>
  <sheetProtection formatCells="0" insertColumns="0" insertRows="0" insertHyperlinks="0" deleteColumns="0" deleteRows="0" selectLockedCells="1"/>
  <protectedRanges>
    <protectedRange algorithmName="SHA-512" hashValue="y1TTBJIvtxVhUrYe1EyznVCwe7F+eYMoq3FbEugZNXgdsT5VdFscyx9PVnEnZVoVlUPvyt5IoFnrbwscGa25kQ==" saltValue="V4NTobA/csCYrZ3izq7ixg==" spinCount="100000" sqref="F11:BN11 F19:BN19 F27:BN27 F35:BN35 F43:BN43 F51:BN51 F59:BN59 F67:BN67 F75:BN75 F83:BN83 F91:BN91 F99:BN99 F107:BN107 F115:BN115 F123:BN123 F131:BN131 F139:BN139 F147:BN147 F155:BN155 F163:BN163 F171:BN171 F179:BN179 F187:BN187 F195:BN195 F203:BN203 F211:BN211 F219:BN219 F235:BN235 F243:BN243 F251:BN251 F259:BN259 F267:BN267" name="Intervalo1"/>
    <protectedRange sqref="F6:BN6 F8:BN8" name="Intervalo2"/>
  </protectedRanges>
  <dataConsolidate/>
  <mergeCells count="33">
    <mergeCell ref="C267:C274"/>
    <mergeCell ref="C99:C106"/>
    <mergeCell ref="C107:C114"/>
    <mergeCell ref="C115:C122"/>
    <mergeCell ref="C59:C66"/>
    <mergeCell ref="C67:C74"/>
    <mergeCell ref="C75:C82"/>
    <mergeCell ref="C83:C90"/>
    <mergeCell ref="C91:C98"/>
    <mergeCell ref="C123:C130"/>
    <mergeCell ref="C131:C138"/>
    <mergeCell ref="C139:C146"/>
    <mergeCell ref="C147:C154"/>
    <mergeCell ref="C155:C162"/>
    <mergeCell ref="C259:C266"/>
    <mergeCell ref="C243:C250"/>
    <mergeCell ref="C51:C58"/>
    <mergeCell ref="C43:C50"/>
    <mergeCell ref="C11:C18"/>
    <mergeCell ref="C19:C26"/>
    <mergeCell ref="C27:C34"/>
    <mergeCell ref="C35:C42"/>
    <mergeCell ref="C251:C258"/>
    <mergeCell ref="C163:C170"/>
    <mergeCell ref="C171:C178"/>
    <mergeCell ref="C219:C226"/>
    <mergeCell ref="C227:C234"/>
    <mergeCell ref="C235:C242"/>
    <mergeCell ref="C179:C186"/>
    <mergeCell ref="C187:C194"/>
    <mergeCell ref="C195:C202"/>
    <mergeCell ref="C203:C210"/>
    <mergeCell ref="C211:C218"/>
  </mergeCells>
  <phoneticPr fontId="0" type="noConversion"/>
  <pageMargins left="0.78740157499999996" right="0.78740157499999996" top="0.41" bottom="0.984251969" header="0.49212598499999999" footer="0.49212598499999999"/>
  <pageSetup paperSize="9" scale="50" orientation="landscape" verticalDpi="300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65A151-DEC1-46C6-AE08-AF262795E886}">
          <x14:formula1>
            <xm:f>'ESTOQUE '!$G$9:$G$49</xm:f>
          </x14:formula1>
          <xm:sqref>F6:BN6 F8:BN8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</sheetPr>
  <dimension ref="A1:CF210"/>
  <sheetViews>
    <sheetView showGridLines="0" zoomScale="130" zoomScaleNormal="130" workbookViewId="0">
      <pane xSplit="4" ySplit="5" topLeftCell="E6" activePane="bottomRight" state="frozen"/>
      <selection activeCell="G24" sqref="G24"/>
      <selection pane="topRight" activeCell="G24" sqref="G24"/>
      <selection pane="bottomLeft" activeCell="G24" sqref="G24"/>
      <selection pane="bottomRight" activeCell="E10" sqref="E10"/>
    </sheetView>
  </sheetViews>
  <sheetFormatPr defaultRowHeight="12.75" x14ac:dyDescent="0.2"/>
  <cols>
    <col min="1" max="1" width="11.28515625" bestFit="1" customWidth="1"/>
    <col min="2" max="2" width="7.140625" bestFit="1" customWidth="1"/>
    <col min="3" max="3" width="18.85546875" customWidth="1"/>
    <col min="4" max="4" width="17" customWidth="1"/>
    <col min="5" max="9" width="15.28515625" bestFit="1" customWidth="1"/>
    <col min="10" max="10" width="15.85546875" bestFit="1" customWidth="1"/>
    <col min="11" max="13" width="15.28515625" bestFit="1" customWidth="1"/>
    <col min="14" max="14" width="15.28515625" style="65" bestFit="1" customWidth="1"/>
    <col min="15" max="15" width="11.85546875" bestFit="1" customWidth="1"/>
    <col min="16" max="18" width="15.28515625" bestFit="1" customWidth="1"/>
    <col min="19" max="19" width="15.85546875" bestFit="1" customWidth="1"/>
    <col min="20" max="20" width="15.28515625" bestFit="1" customWidth="1"/>
    <col min="21" max="21" width="15.85546875" bestFit="1" customWidth="1"/>
    <col min="22" max="22" width="15.5703125" bestFit="1" customWidth="1"/>
    <col min="23" max="25" width="15.28515625" bestFit="1" customWidth="1"/>
    <col min="26" max="26" width="15.5703125" style="65" bestFit="1" customWidth="1"/>
    <col min="27" max="27" width="15.28515625" bestFit="1" customWidth="1"/>
    <col min="28" max="28" width="16.42578125" bestFit="1" customWidth="1"/>
    <col min="29" max="29" width="15.28515625" bestFit="1" customWidth="1"/>
    <col min="30" max="31" width="15.5703125" bestFit="1" customWidth="1"/>
    <col min="32" max="33" width="15.28515625" bestFit="1" customWidth="1"/>
    <col min="34" max="34" width="16.42578125" bestFit="1" customWidth="1"/>
    <col min="35" max="35" width="15.28515625" bestFit="1" customWidth="1"/>
    <col min="36" max="36" width="16.140625" bestFit="1" customWidth="1"/>
    <col min="37" max="43" width="15.28515625" bestFit="1" customWidth="1"/>
    <col min="44" max="44" width="16.140625" bestFit="1" customWidth="1"/>
    <col min="45" max="46" width="15.28515625" bestFit="1" customWidth="1"/>
    <col min="47" max="47" width="16.5703125" bestFit="1" customWidth="1"/>
    <col min="48" max="48" width="15.28515625" bestFit="1" customWidth="1"/>
    <col min="49" max="49" width="16.140625" bestFit="1" customWidth="1"/>
    <col min="50" max="50" width="16.5703125" bestFit="1" customWidth="1"/>
    <col min="51" max="51" width="16" bestFit="1" customWidth="1"/>
    <col min="52" max="52" width="15.28515625" style="102" bestFit="1" customWidth="1"/>
    <col min="53" max="53" width="15.28515625" bestFit="1" customWidth="1"/>
    <col min="54" max="54" width="15.85546875" bestFit="1" customWidth="1"/>
    <col min="55" max="55" width="15.28515625" bestFit="1" customWidth="1"/>
    <col min="56" max="56" width="17.5703125" bestFit="1" customWidth="1"/>
    <col min="57" max="61" width="15.28515625" bestFit="1" customWidth="1"/>
    <col min="62" max="62" width="15.5703125" bestFit="1" customWidth="1"/>
    <col min="63" max="64" width="15.28515625" bestFit="1" customWidth="1"/>
    <col min="65" max="69" width="14.7109375" customWidth="1"/>
  </cols>
  <sheetData>
    <row r="1" spans="1:64" s="170" customFormat="1" ht="24.75" thickBot="1" x14ac:dyDescent="0.25">
      <c r="A1" s="280"/>
      <c r="B1" s="280"/>
      <c r="C1"/>
      <c r="D1" s="138" t="s">
        <v>50</v>
      </c>
      <c r="E1" s="134" t="str" cm="1">
        <f t="array" ref="E1">_xlfn._xlws.FILTER(CLIENTES!$F$3:$BO$3,(CLIENTES!$F$5:$BO$5=E5)*(CLIENTES!$F$9:$BO$9="VENDA"),"Não há")</f>
        <v>Cliente G</v>
      </c>
      <c r="F1" s="134" t="str" cm="1">
        <f t="array" ref="F1">_xlfn._xlws.FILTER(CLIENTES!$F$3:$BO$3,(CLIENTES!$F$5:$BO$5=F5)*(CLIENTES!$F$9:$BO$9="VENDA"),"Não há")</f>
        <v>Cliente H</v>
      </c>
      <c r="G1" s="134" t="str" cm="1">
        <f t="array" ref="G1">_xlfn._xlws.FILTER(CLIENTES!$F$3:$BO$3,(CLIENTES!$F$5:$BO$5=G5)*(CLIENTES!$F$9:$BO$9="VENDA"),"Não há")</f>
        <v>Não há</v>
      </c>
      <c r="H1" s="134" t="str" cm="1">
        <f t="array" ref="H1">_xlfn._xlws.FILTER(CLIENTES!$F$3:$BO$3,(CLIENTES!$F$5:$BO$5=H5)*(CLIENTES!$F$9:$BO$9="VENDA"),"Não há")</f>
        <v>Não há</v>
      </c>
      <c r="I1" s="134" t="str" cm="1">
        <f t="array" ref="I1">_xlfn._xlws.FILTER(CLIENTES!$F$3:$BO$3,(CLIENTES!$F$5:$BO$5=I5)*(CLIENTES!$F$9:$BO$9="VENDA"),"Não há")</f>
        <v>Não há</v>
      </c>
      <c r="J1" s="134" t="str" cm="1">
        <f t="array" ref="J1">_xlfn._xlws.FILTER(CLIENTES!$F$3:$BO$3,(CLIENTES!$F$5:$BO$5=J5)*(CLIENTES!$F$9:$BO$9="VENDA"),"Não há")</f>
        <v>Não há</v>
      </c>
      <c r="K1" s="134" t="str" cm="1">
        <f t="array" ref="K1">_xlfn._xlws.FILTER(CLIENTES!$F$3:$BO$3,(CLIENTES!$F$5:$BO$5=K5)*(CLIENTES!$F$9:$BO$9="VENDA"),"Não há")</f>
        <v>Não há</v>
      </c>
      <c r="L1" s="134" t="str" cm="1">
        <f t="array" ref="L1">_xlfn._xlws.FILTER(CLIENTES!$F$3:$BO$3,(CLIENTES!$F$5:$BO$5=L5)*(CLIENTES!$F$9:$BO$9="VENDA"),"Não há")</f>
        <v>Não há</v>
      </c>
      <c r="M1" s="134" t="str" cm="1">
        <f t="array" ref="M1">_xlfn._xlws.FILTER(CLIENTES!$F$3:$BO$3,(CLIENTES!$F$5:$BO$5=M5)*(CLIENTES!$F$9:$BO$9="VENDA"),"Não há")</f>
        <v>Não há</v>
      </c>
      <c r="N1" s="134" t="str" cm="1">
        <f t="array" ref="N1">_xlfn._xlws.FILTER(CLIENTES!$F$3:$BO$3,(CLIENTES!$F$5:$BO$5=N5)*(CLIENTES!$F$9:$BO$9="VENDA"),"Não há")</f>
        <v>Não há</v>
      </c>
      <c r="O1" s="134" t="str" cm="1">
        <f t="array" ref="O1">_xlfn._xlws.FILTER(CLIENTES!$F$3:$BO$3,(CLIENTES!$F$5:$BO$5=O5)*(CLIENTES!$F$9:$BO$9="VENDA"),"Não há")</f>
        <v>Não há</v>
      </c>
      <c r="P1" s="134" t="str" cm="1">
        <f t="array" ref="P1">_xlfn._xlws.FILTER(CLIENTES!$F$3:$BO$3,(CLIENTES!$F$5:$BO$5=P5)*(CLIENTES!$F$9:$BO$9="VENDA"),"Não há")</f>
        <v>Não há</v>
      </c>
      <c r="Q1" s="134" t="str" cm="1">
        <f t="array" ref="Q1">_xlfn._xlws.FILTER(CLIENTES!$F$3:$BO$3,(CLIENTES!$F$5:$BO$5=Q5)*(CLIENTES!$F$9:$BO$9="VENDA"),"Não há")</f>
        <v>Não há</v>
      </c>
      <c r="R1" s="134" t="str" cm="1">
        <f t="array" ref="R1">_xlfn._xlws.FILTER(CLIENTES!$F$3:$BO$3,(CLIENTES!$F$5:$BO$5=R5)*(CLIENTES!$F$9:$BO$9="VENDA"),"Não há")</f>
        <v>Não há</v>
      </c>
      <c r="S1" s="134" t="str" cm="1">
        <f t="array" ref="S1">_xlfn._xlws.FILTER(CLIENTES!$F$3:$BO$3,(CLIENTES!$F$5:$BO$5=S5)*(CLIENTES!$F$9:$BO$9="VENDA"),"Não há")</f>
        <v>Não há</v>
      </c>
      <c r="T1" s="134" t="str" cm="1">
        <f t="array" ref="T1">_xlfn._xlws.FILTER(CLIENTES!$F$3:$BO$3,(CLIENTES!$F$5:$BO$5=T5)*(CLIENTES!$F$9:$BO$9="VENDA"),"Não há")</f>
        <v>Não há</v>
      </c>
      <c r="U1" s="134" t="str" cm="1">
        <f t="array" ref="U1">_xlfn._xlws.FILTER(CLIENTES!$F$3:$BO$3,(CLIENTES!$F$5:$BO$5=U5)*(CLIENTES!$F$9:$BO$9="VENDA"),"Não há")</f>
        <v>Não há</v>
      </c>
      <c r="V1" s="134" t="str" cm="1">
        <f t="array" ref="V1">_xlfn._xlws.FILTER(CLIENTES!$F$3:$BO$3,(CLIENTES!$F$5:$BO$5=V5)*(CLIENTES!$F$9:$BO$9="VENDA"),"Não há")</f>
        <v>Não há</v>
      </c>
      <c r="W1" s="134" t="str" cm="1">
        <f t="array" ref="W1">_xlfn._xlws.FILTER(CLIENTES!$F$3:$BO$3,(CLIENTES!$F$5:$BO$5=W5)*(CLIENTES!$F$9:$BO$9="VENDA"),"Não há")</f>
        <v>Não há</v>
      </c>
      <c r="X1" s="134" t="str" cm="1">
        <f t="array" ref="X1">_xlfn._xlws.FILTER(CLIENTES!$F$3:$BO$3,(CLIENTES!$F$5:$BO$5=X5)*(CLIENTES!$F$9:$BO$9="VENDA"),"Não há")</f>
        <v>Não há</v>
      </c>
      <c r="Y1" s="134" t="str" cm="1">
        <f t="array" ref="Y1">_xlfn._xlws.FILTER(CLIENTES!$F$3:$BO$3,(CLIENTES!$F$5:$BO$5=Y5)*(CLIENTES!$F$9:$BO$9="VENDA"),"Não há")</f>
        <v>Não há</v>
      </c>
      <c r="Z1" s="134" t="str" cm="1">
        <f t="array" ref="Z1">_xlfn._xlws.FILTER(CLIENTES!$F$3:$BO$3,(CLIENTES!$F$5:$BO$5=Z5)*(CLIENTES!$F$9:$BO$9="VENDA"),"Não há")</f>
        <v>Não há</v>
      </c>
      <c r="AA1" s="134" t="str" cm="1">
        <f t="array" ref="AA1">_xlfn._xlws.FILTER(CLIENTES!$F$3:$BO$3,(CLIENTES!$F$5:$BO$5=AA5)*(CLIENTES!$F$9:$BO$9="VENDA"),"Não há")</f>
        <v>Não há</v>
      </c>
      <c r="AB1" s="134" t="str" cm="1">
        <f t="array" ref="AB1">_xlfn._xlws.FILTER(CLIENTES!$F$3:$BO$3,(CLIENTES!$F$5:$BO$5=AB5)*(CLIENTES!$F$9:$BO$9="VENDA"),"Não há")</f>
        <v>Não há</v>
      </c>
      <c r="AC1" s="134" t="str" cm="1">
        <f t="array" ref="AC1">_xlfn._xlws.FILTER(CLIENTES!$F$3:$BO$3,(CLIENTES!$F$5:$BO$5=AC5)*(CLIENTES!$F$9:$BO$9="VENDA"),"Não há")</f>
        <v>Não há</v>
      </c>
      <c r="AD1" s="134" t="str" cm="1">
        <f t="array" ref="AD1">_xlfn._xlws.FILTER(CLIENTES!$F$3:$BO$3,(CLIENTES!$F$5:$BO$5=AD5)*(CLIENTES!$F$9:$BO$9="VENDA"),"Não há")</f>
        <v>Não há</v>
      </c>
      <c r="AE1" s="134" t="str" cm="1">
        <f t="array" ref="AE1">_xlfn._xlws.FILTER(CLIENTES!$F$3:$BO$3,(CLIENTES!$F$5:$BO$5=AE5)*(CLIENTES!$F$9:$BO$9="VENDA"),"Não há")</f>
        <v>Não há</v>
      </c>
      <c r="AF1" s="134" t="str" cm="1">
        <f t="array" ref="AF1">_xlfn._xlws.FILTER(CLIENTES!$F$3:$BO$3,(CLIENTES!$F$5:$BO$5=AF5)*(CLIENTES!$F$9:$BO$9="VENDA"),"Não há")</f>
        <v>Não há</v>
      </c>
      <c r="AG1" s="134" t="str" cm="1">
        <f t="array" ref="AG1">_xlfn._xlws.FILTER(CLIENTES!$F$3:$BO$3,(CLIENTES!$F$5:$BO$5=AG5)*(CLIENTES!$F$9:$BO$9="VENDA"),"Não há")</f>
        <v>Não há</v>
      </c>
      <c r="AH1" s="134" t="str" cm="1">
        <f t="array" ref="AH1">_xlfn._xlws.FILTER(CLIENTES!$F$3:$BO$3,(CLIENTES!$F$5:$BO$5=AH5)*(CLIENTES!$F$9:$BO$9="VENDA"),"Não há")</f>
        <v>Não há</v>
      </c>
      <c r="AI1" s="134" t="str" cm="1">
        <f t="array" ref="AI1">_xlfn._xlws.FILTER(CLIENTES!$F$3:$BO$3,(CLIENTES!$F$5:$BO$5=AI5)*(CLIENTES!$F$9:$BO$9="VENDA"),"Não há")</f>
        <v>Não há</v>
      </c>
      <c r="AJ1" s="134" t="str" cm="1">
        <f t="array" ref="AJ1">_xlfn._xlws.FILTER(CLIENTES!$F$3:$BO$3,(CLIENTES!$F$5:$BO$5=AJ5)*(CLIENTES!$F$9:$BO$9="VENDA"),"Não há")</f>
        <v>Não há</v>
      </c>
      <c r="AK1" s="134" t="str" cm="1">
        <f t="array" ref="AK1">_xlfn._xlws.FILTER(CLIENTES!$F$3:$BO$3,(CLIENTES!$F$5:$BO$5=AK5)*(CLIENTES!$F$9:$BO$9="VENDA"),"Não há")</f>
        <v>Não há</v>
      </c>
      <c r="AL1" s="134" t="str" cm="1">
        <f t="array" ref="AL1">_xlfn._xlws.FILTER(CLIENTES!$F$3:$BO$3,(CLIENTES!$F$5:$BO$5=AL5)*(CLIENTES!$F$9:$BO$9="VENDA"),"Não há")</f>
        <v>Não há</v>
      </c>
      <c r="AM1" s="134" t="str" cm="1">
        <f t="array" ref="AM1">_xlfn._xlws.FILTER(CLIENTES!$F$3:$BO$3,(CLIENTES!$F$5:$BO$5=AM5)*(CLIENTES!$F$9:$BO$9="VENDA"),"Não há")</f>
        <v>Não há</v>
      </c>
      <c r="AN1" s="134" t="str" cm="1">
        <f t="array" ref="AN1">_xlfn._xlws.FILTER(CLIENTES!$F$3:$BO$3,(CLIENTES!$F$5:$BO$5=AN5)*(CLIENTES!$F$9:$BO$9="VENDA"),"Não há")</f>
        <v>Não há</v>
      </c>
      <c r="AO1" s="134" t="str" cm="1">
        <f t="array" ref="AO1">_xlfn._xlws.FILTER(CLIENTES!$F$3:$BO$3,(CLIENTES!$F$5:$BO$5=AO5)*(CLIENTES!$F$9:$BO$9="VENDA"),"Não há")</f>
        <v>Não há</v>
      </c>
      <c r="AP1" s="134" t="str" cm="1">
        <f t="array" ref="AP1">_xlfn._xlws.FILTER(CLIENTES!$F$3:$BO$3,(CLIENTES!$F$5:$BO$5=AP5)*(CLIENTES!$F$9:$BO$9="VENDA"),"Não há")</f>
        <v>Não há</v>
      </c>
      <c r="AQ1" s="134" t="str" cm="1">
        <f t="array" ref="AQ1">_xlfn._xlws.FILTER(CLIENTES!$F$3:$BO$3,(CLIENTES!$F$5:$BO$5=AQ5)*(CLIENTES!$F$9:$BO$9="VENDA"),"Não há")</f>
        <v>Não há</v>
      </c>
      <c r="AR1" s="134" t="str" cm="1">
        <f t="array" ref="AR1">_xlfn._xlws.FILTER(CLIENTES!$F$3:$BO$3,(CLIENTES!$F$5:$BO$5=AR5)*(CLIENTES!$F$9:$BO$9="VENDA"),"Não há")</f>
        <v>Não há</v>
      </c>
      <c r="AS1" s="134" t="str" cm="1">
        <f t="array" ref="AS1">_xlfn._xlws.FILTER(CLIENTES!$F$3:$BO$3,(CLIENTES!$F$5:$BO$5=AS5)*(CLIENTES!$F$9:$BO$9="VENDA"),"Não há")</f>
        <v>Não há</v>
      </c>
      <c r="AT1" s="134" t="str" cm="1">
        <f t="array" ref="AT1">_xlfn._xlws.FILTER(CLIENTES!$F$3:$BO$3,(CLIENTES!$F$5:$BO$5=AT5)*(CLIENTES!$F$9:$BO$9="VENDA"),"Não há")</f>
        <v>Não há</v>
      </c>
      <c r="AU1" s="134" t="str" cm="1">
        <f t="array" ref="AU1">_xlfn._xlws.FILTER(CLIENTES!$F$3:$BO$3,(CLIENTES!$F$5:$BO$5=AU5)*(CLIENTES!$F$9:$BO$9="VENDA"),"Não há")</f>
        <v>Não há</v>
      </c>
      <c r="AV1" s="134" t="str" cm="1">
        <f t="array" ref="AV1">_xlfn._xlws.FILTER(CLIENTES!$F$3:$BO$3,(CLIENTES!$F$5:$BO$5=AV5)*(CLIENTES!$F$9:$BO$9="VENDA"),"Não há")</f>
        <v>Não há</v>
      </c>
      <c r="AW1" s="134" t="str" cm="1">
        <f t="array" ref="AW1">_xlfn._xlws.FILTER(CLIENTES!$F$3:$BO$3,(CLIENTES!$F$5:$BO$5=AW5)*(CLIENTES!$F$9:$BO$9="VENDA"),"Não há")</f>
        <v>Não há</v>
      </c>
      <c r="AX1" s="134" t="str" cm="1">
        <f t="array" ref="AX1">_xlfn._xlws.FILTER(CLIENTES!$F$3:$BO$3,(CLIENTES!$F$5:$BO$5=AX5)*(CLIENTES!$F$9:$BO$9="VENDA"),"Não há")</f>
        <v>Não há</v>
      </c>
      <c r="AY1" s="134" t="str" cm="1">
        <f t="array" ref="AY1">_xlfn._xlws.FILTER(CLIENTES!$F$3:$BO$3,(CLIENTES!$F$5:$BO$5=AY5)*(CLIENTES!$F$9:$BO$9="VENDA"),"Não há")</f>
        <v>Não há</v>
      </c>
      <c r="AZ1" s="134" t="str" cm="1">
        <f t="array" ref="AZ1">_xlfn._xlws.FILTER(CLIENTES!$F$3:$BO$3,(CLIENTES!$F$5:$BO$5=AZ5)*(CLIENTES!$F$9:$BO$9="VENDA"),"Não há")</f>
        <v>Não há</v>
      </c>
      <c r="BA1" s="134" t="str" cm="1">
        <f t="array" ref="BA1">_xlfn._xlws.FILTER(CLIENTES!$F$3:$BO$3,(CLIENTES!$F$5:$BO$5=BA5)*(CLIENTES!$F$9:$BO$9="VENDA"),"Não há")</f>
        <v>Não há</v>
      </c>
      <c r="BB1" s="134" t="str" cm="1">
        <f t="array" ref="BB1">_xlfn._xlws.FILTER(CLIENTES!$F$3:$BO$3,(CLIENTES!$F$5:$BO$5=BB5)*(CLIENTES!$F$9:$BO$9="VENDA"),"Não há")</f>
        <v>Não há</v>
      </c>
      <c r="BC1" s="134" t="str" cm="1">
        <f t="array" ref="BC1">_xlfn._xlws.FILTER(CLIENTES!$F$3:$BO$3,(CLIENTES!$F$5:$BO$5=BC5)*(CLIENTES!$F$9:$BO$9="VENDA"),"Não há")</f>
        <v>Não há</v>
      </c>
      <c r="BD1" s="134" t="str" cm="1">
        <f t="array" ref="BD1">_xlfn._xlws.FILTER(CLIENTES!$F$3:$BO$3,(CLIENTES!$F$5:$BO$5=BD5)*(CLIENTES!$F$9:$BO$9="VENDA"),"Não há")</f>
        <v>Não há</v>
      </c>
      <c r="BE1" s="134" t="str" cm="1">
        <f t="array" ref="BE1">_xlfn._xlws.FILTER(CLIENTES!$F$3:$BO$3,(CLIENTES!$F$5:$BO$5=BE5)*(CLIENTES!$F$9:$BO$9="VENDA"),"Não há")</f>
        <v>Não há</v>
      </c>
      <c r="BF1" s="134" t="str" cm="1">
        <f t="array" ref="BF1">_xlfn._xlws.FILTER(CLIENTES!$F$3:$BO$3,(CLIENTES!$F$5:$BO$5=BF5)*(CLIENTES!$F$9:$BO$9="VENDA"),"Não há")</f>
        <v>Não há</v>
      </c>
      <c r="BG1" s="134" t="str" cm="1">
        <f t="array" ref="BG1">_xlfn._xlws.FILTER(CLIENTES!$F$3:$BO$3,(CLIENTES!$F$5:$BO$5=BG5)*(CLIENTES!$F$9:$BO$9="VENDA"),"Não há")</f>
        <v>Não há</v>
      </c>
      <c r="BH1" s="134" t="str" cm="1">
        <f t="array" ref="BH1">_xlfn._xlws.FILTER(CLIENTES!$F$3:$BO$3,(CLIENTES!$F$5:$BO$5=BH5)*(CLIENTES!$F$9:$BO$9="VENDA"),"Não há")</f>
        <v>Não há</v>
      </c>
      <c r="BI1" s="134" t="str" cm="1">
        <f t="array" ref="BI1">_xlfn._xlws.FILTER(CLIENTES!$F$3:$BO$3,(CLIENTES!$F$5:$BO$5=BI5)*(CLIENTES!$F$9:$BO$9="VENDA"),"Não há")</f>
        <v>Não há</v>
      </c>
      <c r="BJ1" s="134" t="str" cm="1">
        <f t="array" ref="BJ1">_xlfn._xlws.FILTER(CLIENTES!$F$3:$BO$3,(CLIENTES!$F$5:$BO$5=BJ5)*(CLIENTES!$F$9:$BO$9="VENDA"),"Não há")</f>
        <v>Não há</v>
      </c>
      <c r="BK1" s="134" t="str" cm="1">
        <f t="array" ref="BK1">_xlfn._xlws.FILTER(CLIENTES!$F$3:$BO$3,(CLIENTES!$F$5:$BO$5=BK5)*(CLIENTES!$F$9:$BO$9="VENDA"),"Não há")</f>
        <v>Não há</v>
      </c>
      <c r="BL1" s="134" t="str" cm="1">
        <f t="array" ref="BL1">_xlfn._xlws.FILTER(CLIENTES!$F$3:$BO$3,(CLIENTES!$F$5:$BO$5=BL5)*(CLIENTES!$F$9:$BO$9="VENDA"),"Não há")</f>
        <v>Não há</v>
      </c>
    </row>
    <row r="2" spans="1:64" s="124" customFormat="1" thickBot="1" x14ac:dyDescent="0.25">
      <c r="A2" s="281"/>
      <c r="B2" s="281"/>
      <c r="D2" s="138" t="s">
        <v>51</v>
      </c>
      <c r="E2" s="134" t="s">
        <v>91</v>
      </c>
      <c r="F2" s="134" t="s">
        <v>56</v>
      </c>
      <c r="G2" s="135" t="s">
        <v>141</v>
      </c>
      <c r="H2" s="135" t="s">
        <v>148</v>
      </c>
      <c r="I2" s="135" t="s">
        <v>123</v>
      </c>
      <c r="J2" s="135" t="s">
        <v>124</v>
      </c>
      <c r="K2" s="135" t="s">
        <v>155</v>
      </c>
      <c r="L2" s="135" t="s">
        <v>144</v>
      </c>
      <c r="M2" s="134" t="s">
        <v>110</v>
      </c>
      <c r="N2" s="135" t="s">
        <v>127</v>
      </c>
      <c r="O2" s="232"/>
      <c r="P2" s="135" t="s">
        <v>145</v>
      </c>
      <c r="Q2" s="134" t="s">
        <v>91</v>
      </c>
      <c r="R2" s="134" t="s">
        <v>121</v>
      </c>
      <c r="S2" s="135" t="s">
        <v>134</v>
      </c>
      <c r="T2" s="135" t="s">
        <v>133</v>
      </c>
      <c r="U2" s="134" t="s">
        <v>57</v>
      </c>
      <c r="V2" s="134" t="s">
        <v>93</v>
      </c>
      <c r="W2" s="134" t="s">
        <v>59</v>
      </c>
      <c r="X2" s="135" t="s">
        <v>137</v>
      </c>
      <c r="Y2" s="135" t="s">
        <v>153</v>
      </c>
      <c r="Z2" s="134" t="s">
        <v>93</v>
      </c>
      <c r="AA2" s="134" t="s">
        <v>60</v>
      </c>
      <c r="AB2" s="134" t="s">
        <v>150</v>
      </c>
      <c r="AC2" s="134" t="s">
        <v>114</v>
      </c>
      <c r="AD2" s="134" t="s">
        <v>93</v>
      </c>
      <c r="AE2" s="134" t="s">
        <v>112</v>
      </c>
      <c r="AF2" s="135" t="s">
        <v>128</v>
      </c>
      <c r="AG2" s="134" t="s">
        <v>61</v>
      </c>
      <c r="AH2" s="135" t="s">
        <v>139</v>
      </c>
      <c r="AI2" s="134" t="s">
        <v>62</v>
      </c>
      <c r="AJ2" s="134" t="s">
        <v>129</v>
      </c>
      <c r="AK2" s="134" t="s">
        <v>65</v>
      </c>
      <c r="AL2" s="134" t="s">
        <v>66</v>
      </c>
      <c r="AM2" s="134" t="s">
        <v>69</v>
      </c>
      <c r="AN2" s="134" t="s">
        <v>115</v>
      </c>
      <c r="AO2" s="134" t="s">
        <v>70</v>
      </c>
      <c r="AP2" s="134" t="s">
        <v>179</v>
      </c>
      <c r="AQ2" s="135" t="s">
        <v>117</v>
      </c>
      <c r="AR2" s="134" t="s">
        <v>103</v>
      </c>
      <c r="AS2" s="134" t="s">
        <v>72</v>
      </c>
      <c r="AT2" s="134" t="s">
        <v>104</v>
      </c>
      <c r="AU2" s="134" t="s">
        <v>75</v>
      </c>
      <c r="AV2" s="134" t="s">
        <v>76</v>
      </c>
      <c r="AW2" s="134" t="s">
        <v>89</v>
      </c>
      <c r="AX2" s="134" t="s">
        <v>77</v>
      </c>
      <c r="AY2" s="134" t="s">
        <v>107</v>
      </c>
      <c r="AZ2" s="134" t="s">
        <v>180</v>
      </c>
      <c r="BA2" s="134" t="s">
        <v>90</v>
      </c>
      <c r="BB2" s="134" t="s">
        <v>120</v>
      </c>
      <c r="BC2" s="134" t="s">
        <v>79</v>
      </c>
      <c r="BD2" s="134" t="s">
        <v>80</v>
      </c>
      <c r="BE2" s="134" t="s">
        <v>81</v>
      </c>
      <c r="BF2" s="134" t="s">
        <v>84</v>
      </c>
      <c r="BG2" s="134" t="s">
        <v>79</v>
      </c>
      <c r="BH2" s="134" t="s">
        <v>154</v>
      </c>
      <c r="BI2" s="134" t="s">
        <v>85</v>
      </c>
      <c r="BJ2" s="134" t="s">
        <v>86</v>
      </c>
      <c r="BK2" s="134" t="s">
        <v>98</v>
      </c>
      <c r="BL2" s="134" t="s">
        <v>151</v>
      </c>
    </row>
    <row r="3" spans="1:64" s="124" customFormat="1" thickBot="1" x14ac:dyDescent="0.25">
      <c r="D3" s="138" t="s">
        <v>52</v>
      </c>
      <c r="E3" s="134" t="s">
        <v>53</v>
      </c>
      <c r="F3" s="134" t="s">
        <v>92</v>
      </c>
      <c r="G3" s="135" t="s">
        <v>142</v>
      </c>
      <c r="H3" s="135" t="s">
        <v>149</v>
      </c>
      <c r="I3" s="135" t="s">
        <v>125</v>
      </c>
      <c r="J3" s="135" t="s">
        <v>126</v>
      </c>
      <c r="K3" s="135" t="s">
        <v>178</v>
      </c>
      <c r="L3" s="135" t="s">
        <v>143</v>
      </c>
      <c r="M3" s="134" t="s">
        <v>111</v>
      </c>
      <c r="N3" s="135" t="s">
        <v>147</v>
      </c>
      <c r="O3" s="232"/>
      <c r="P3" s="135" t="s">
        <v>146</v>
      </c>
      <c r="Q3" s="134" t="s">
        <v>53</v>
      </c>
      <c r="R3" s="134" t="s">
        <v>122</v>
      </c>
      <c r="S3" s="135" t="s">
        <v>135</v>
      </c>
      <c r="T3" s="135" t="s">
        <v>136</v>
      </c>
      <c r="U3" s="134" t="s">
        <v>55</v>
      </c>
      <c r="V3" s="134" t="s">
        <v>58</v>
      </c>
      <c r="W3" s="134" t="s">
        <v>94</v>
      </c>
      <c r="X3" s="135" t="s">
        <v>138</v>
      </c>
      <c r="Y3" s="135" t="s">
        <v>156</v>
      </c>
      <c r="Z3" s="134" t="s">
        <v>58</v>
      </c>
      <c r="AA3" s="134" t="s">
        <v>95</v>
      </c>
      <c r="AB3" s="135" t="s">
        <v>132</v>
      </c>
      <c r="AC3" s="134" t="s">
        <v>54</v>
      </c>
      <c r="AD3" s="134" t="s">
        <v>58</v>
      </c>
      <c r="AE3" s="134" t="s">
        <v>113</v>
      </c>
      <c r="AF3" s="135" t="s">
        <v>130</v>
      </c>
      <c r="AG3" s="134" t="s">
        <v>96</v>
      </c>
      <c r="AH3" s="135" t="s">
        <v>140</v>
      </c>
      <c r="AI3" s="134" t="s">
        <v>63</v>
      </c>
      <c r="AJ3" s="135" t="s">
        <v>131</v>
      </c>
      <c r="AK3" s="134" t="s">
        <v>64</v>
      </c>
      <c r="AL3" s="134" t="s">
        <v>67</v>
      </c>
      <c r="AM3" s="134" t="s">
        <v>68</v>
      </c>
      <c r="AN3" s="134" t="s">
        <v>116</v>
      </c>
      <c r="AO3" s="134" t="s">
        <v>97</v>
      </c>
      <c r="AP3" s="124" t="s">
        <v>181</v>
      </c>
      <c r="AQ3" s="135" t="s">
        <v>118</v>
      </c>
      <c r="AR3" s="134" t="s">
        <v>71</v>
      </c>
      <c r="AS3" s="134" t="s">
        <v>73</v>
      </c>
      <c r="AT3" s="134" t="s">
        <v>74</v>
      </c>
      <c r="AU3" s="134" t="s">
        <v>105</v>
      </c>
      <c r="AV3" s="134" t="s">
        <v>102</v>
      </c>
      <c r="AW3" s="134" t="s">
        <v>88</v>
      </c>
      <c r="AX3" s="134" t="s">
        <v>106</v>
      </c>
      <c r="AY3" s="134" t="s">
        <v>78</v>
      </c>
      <c r="AZ3" s="134"/>
      <c r="BA3" s="134" t="s">
        <v>109</v>
      </c>
      <c r="BB3" s="134" t="s">
        <v>119</v>
      </c>
      <c r="BC3" s="134" t="s">
        <v>101</v>
      </c>
      <c r="BD3" s="134" t="s">
        <v>108</v>
      </c>
      <c r="BE3" s="134" t="s">
        <v>82</v>
      </c>
      <c r="BF3" s="134" t="s">
        <v>83</v>
      </c>
      <c r="BG3" s="134" t="s">
        <v>101</v>
      </c>
      <c r="BH3" s="134"/>
      <c r="BI3" s="134" t="s">
        <v>100</v>
      </c>
      <c r="BJ3" s="134" t="s">
        <v>99</v>
      </c>
      <c r="BK3" s="134" t="s">
        <v>87</v>
      </c>
      <c r="BL3" s="134" t="s">
        <v>152</v>
      </c>
    </row>
    <row r="4" spans="1:64" ht="13.5" thickBot="1" x14ac:dyDescent="0.25">
      <c r="D4" s="133"/>
      <c r="E4" s="114" t="s">
        <v>30</v>
      </c>
      <c r="F4" s="114" t="s">
        <v>30</v>
      </c>
      <c r="G4" s="123" t="s">
        <v>30</v>
      </c>
      <c r="H4" s="123" t="s">
        <v>30</v>
      </c>
      <c r="I4" s="137" t="s">
        <v>30</v>
      </c>
      <c r="J4" s="137" t="s">
        <v>30</v>
      </c>
      <c r="K4" s="123" t="s">
        <v>30</v>
      </c>
      <c r="L4" s="123" t="s">
        <v>30</v>
      </c>
      <c r="M4" s="123" t="s">
        <v>30</v>
      </c>
      <c r="N4" s="123" t="s">
        <v>30</v>
      </c>
      <c r="O4" s="123" t="s">
        <v>30</v>
      </c>
      <c r="P4" s="123" t="s">
        <v>30</v>
      </c>
      <c r="Q4" s="114" t="s">
        <v>30</v>
      </c>
      <c r="R4" s="114" t="s">
        <v>30</v>
      </c>
      <c r="S4" s="123" t="s">
        <v>30</v>
      </c>
      <c r="T4" s="123" t="s">
        <v>30</v>
      </c>
      <c r="U4" s="114" t="s">
        <v>30</v>
      </c>
      <c r="V4" s="114" t="s">
        <v>30</v>
      </c>
      <c r="W4" s="114" t="s">
        <v>30</v>
      </c>
      <c r="X4" s="123" t="s">
        <v>30</v>
      </c>
      <c r="Y4" s="114" t="s">
        <v>30</v>
      </c>
      <c r="Z4" s="114" t="s">
        <v>30</v>
      </c>
      <c r="AA4" s="123" t="s">
        <v>30</v>
      </c>
      <c r="AB4" s="123" t="s">
        <v>30</v>
      </c>
      <c r="AC4" s="123" t="s">
        <v>30</v>
      </c>
      <c r="AD4" s="114" t="s">
        <v>30</v>
      </c>
      <c r="AE4" s="123" t="s">
        <v>30</v>
      </c>
      <c r="AF4" s="137" t="s">
        <v>30</v>
      </c>
      <c r="AG4" s="114" t="s">
        <v>30</v>
      </c>
      <c r="AH4" s="114" t="s">
        <v>30</v>
      </c>
      <c r="AI4" s="114" t="s">
        <v>30</v>
      </c>
      <c r="AJ4" s="123" t="s">
        <v>30</v>
      </c>
      <c r="AK4" s="114" t="s">
        <v>30</v>
      </c>
      <c r="AL4" s="114" t="s">
        <v>30</v>
      </c>
      <c r="AM4" s="114" t="s">
        <v>30</v>
      </c>
      <c r="AN4" s="123" t="s">
        <v>30</v>
      </c>
      <c r="AO4" s="114" t="s">
        <v>30</v>
      </c>
      <c r="AP4" s="114" t="s">
        <v>30</v>
      </c>
      <c r="AQ4" s="123" t="s">
        <v>30</v>
      </c>
      <c r="AR4" s="114" t="s">
        <v>30</v>
      </c>
      <c r="AS4" s="114" t="s">
        <v>30</v>
      </c>
      <c r="AT4" s="114" t="s">
        <v>30</v>
      </c>
      <c r="AU4" s="114" t="s">
        <v>30</v>
      </c>
      <c r="AV4" s="114" t="s">
        <v>30</v>
      </c>
      <c r="AW4" s="114" t="s">
        <v>30</v>
      </c>
      <c r="AX4" s="114" t="s">
        <v>30</v>
      </c>
      <c r="AY4" s="114" t="s">
        <v>30</v>
      </c>
      <c r="AZ4" s="123" t="s">
        <v>30</v>
      </c>
      <c r="BA4" s="114" t="s">
        <v>30</v>
      </c>
      <c r="BB4" s="114" t="s">
        <v>30</v>
      </c>
      <c r="BC4" s="114" t="s">
        <v>30</v>
      </c>
      <c r="BD4" s="114" t="s">
        <v>30</v>
      </c>
      <c r="BE4" s="114" t="s">
        <v>30</v>
      </c>
      <c r="BF4" s="114" t="s">
        <v>30</v>
      </c>
      <c r="BG4" s="114" t="s">
        <v>30</v>
      </c>
      <c r="BH4" s="114" t="s">
        <v>30</v>
      </c>
      <c r="BI4" s="114" t="s">
        <v>30</v>
      </c>
      <c r="BJ4" s="123" t="s">
        <v>30</v>
      </c>
      <c r="BK4" s="114" t="s">
        <v>30</v>
      </c>
      <c r="BL4" s="123" t="s">
        <v>30</v>
      </c>
    </row>
    <row r="5" spans="1:64" ht="13.5" thickBot="1" x14ac:dyDescent="0.25">
      <c r="B5" s="32"/>
      <c r="C5" s="80"/>
      <c r="D5" s="70" t="s">
        <v>13</v>
      </c>
      <c r="E5" s="267">
        <v>11</v>
      </c>
      <c r="F5" s="267">
        <v>12</v>
      </c>
      <c r="G5" s="269">
        <v>13</v>
      </c>
      <c r="H5" s="269">
        <v>14</v>
      </c>
      <c r="I5" s="267">
        <v>21</v>
      </c>
      <c r="J5" s="267">
        <v>22</v>
      </c>
      <c r="K5" s="269">
        <v>23</v>
      </c>
      <c r="L5" s="269">
        <v>24</v>
      </c>
      <c r="M5" s="123">
        <v>31</v>
      </c>
      <c r="N5" s="123">
        <v>32</v>
      </c>
      <c r="O5" s="123">
        <v>33</v>
      </c>
      <c r="P5" s="123">
        <v>34</v>
      </c>
      <c r="Q5" s="60">
        <v>41</v>
      </c>
      <c r="R5" s="60">
        <v>42</v>
      </c>
      <c r="S5" s="123">
        <v>43</v>
      </c>
      <c r="T5" s="123">
        <v>44</v>
      </c>
      <c r="U5" s="60">
        <v>51</v>
      </c>
      <c r="V5" s="60">
        <v>52</v>
      </c>
      <c r="W5" s="60">
        <v>53</v>
      </c>
      <c r="X5" s="123">
        <v>54</v>
      </c>
      <c r="Y5" s="60">
        <v>61</v>
      </c>
      <c r="Z5" s="60">
        <v>62</v>
      </c>
      <c r="AA5" s="123">
        <v>63</v>
      </c>
      <c r="AB5" s="123">
        <v>64</v>
      </c>
      <c r="AC5" s="123">
        <v>71</v>
      </c>
      <c r="AD5" s="60">
        <v>72</v>
      </c>
      <c r="AE5" s="123">
        <v>73</v>
      </c>
      <c r="AF5" s="60">
        <v>74</v>
      </c>
      <c r="AG5" s="60">
        <v>81</v>
      </c>
      <c r="AH5" s="60">
        <v>82</v>
      </c>
      <c r="AI5" s="60">
        <v>83</v>
      </c>
      <c r="AJ5" s="123">
        <v>84</v>
      </c>
      <c r="AK5" s="60">
        <v>91</v>
      </c>
      <c r="AL5" s="60">
        <v>92</v>
      </c>
      <c r="AM5" s="60">
        <v>93</v>
      </c>
      <c r="AN5" s="123">
        <v>94</v>
      </c>
      <c r="AO5" s="60">
        <v>101</v>
      </c>
      <c r="AP5" s="60">
        <v>102</v>
      </c>
      <c r="AQ5" s="123">
        <v>103</v>
      </c>
      <c r="AR5" s="60">
        <v>104</v>
      </c>
      <c r="AS5" s="60">
        <v>111</v>
      </c>
      <c r="AT5" s="60">
        <v>112</v>
      </c>
      <c r="AU5" s="60">
        <v>113</v>
      </c>
      <c r="AV5" s="60">
        <v>114</v>
      </c>
      <c r="AW5" s="123" t="s">
        <v>32</v>
      </c>
      <c r="AX5" s="123" t="s">
        <v>33</v>
      </c>
      <c r="AY5" s="123" t="s">
        <v>34</v>
      </c>
      <c r="AZ5" s="123" t="s">
        <v>35</v>
      </c>
      <c r="BA5" s="123" t="s">
        <v>36</v>
      </c>
      <c r="BB5" s="123" t="s">
        <v>37</v>
      </c>
      <c r="BC5" s="123" t="s">
        <v>38</v>
      </c>
      <c r="BD5" s="123" t="s">
        <v>39</v>
      </c>
      <c r="BE5" s="123" t="s">
        <v>40</v>
      </c>
      <c r="BF5" s="123" t="s">
        <v>41</v>
      </c>
      <c r="BG5" s="123" t="s">
        <v>42</v>
      </c>
      <c r="BH5" s="123" t="s">
        <v>43</v>
      </c>
      <c r="BI5" s="123" t="s">
        <v>44</v>
      </c>
      <c r="BJ5" s="123" t="s">
        <v>45</v>
      </c>
      <c r="BK5" s="123" t="s">
        <v>46</v>
      </c>
      <c r="BL5" s="123" t="s">
        <v>47</v>
      </c>
    </row>
    <row r="6" spans="1:64" s="284" customFormat="1" ht="13.5" thickBot="1" x14ac:dyDescent="0.25">
      <c r="B6" s="325">
        <v>43556</v>
      </c>
      <c r="C6" s="62" t="s">
        <v>6</v>
      </c>
      <c r="D6" s="31">
        <f>SUM(E6:AW6)</f>
        <v>50000</v>
      </c>
      <c r="E6" s="285" cm="1">
        <f t="array" ref="E6">_xlfn._xlws.FILTER(CLIENTES!$E$13:$BO$13,(CLIENTES!$E$5:$BO$5=E$5)*(CLIENTES!$E$9:$BO$9="VENDA"),0)</f>
        <v>0</v>
      </c>
      <c r="F6" s="285" cm="1">
        <f t="array" ref="F6">_xlfn._xlws.FILTER(CLIENTES!$E$13:$BO$13,(CLIENTES!$E$5:$BO$5=F$5)*(CLIENTES!$E$9:$BO$9="VENDA"),0)</f>
        <v>50000</v>
      </c>
      <c r="G6" s="285" cm="1">
        <f t="array" ref="G6">_xlfn._xlws.FILTER(CLIENTES!$E$13:$BO$13,(CLIENTES!$E$5:$BO$5=G$5)*(CLIENTES!$E$9:$BO$9="VENDA"),0)</f>
        <v>0</v>
      </c>
      <c r="H6" s="285" cm="1">
        <f t="array" ref="H6">_xlfn._xlws.FILTER(CLIENTES!$E$13:$BO$13,(CLIENTES!$E$5:$BO$5=H$5)*(CLIENTES!$E$9:$BO$9="VENDA"),0)</f>
        <v>0</v>
      </c>
      <c r="I6" s="285" cm="1">
        <f t="array" ref="I6">_xlfn._xlws.FILTER(CLIENTES!$E$13:$BO$13,(CLIENTES!$E$5:$BO$5=I$5)*(CLIENTES!$E$9:$BO$9="VENDA"),0)</f>
        <v>0</v>
      </c>
      <c r="J6" s="285" cm="1">
        <f t="array" ref="J6">_xlfn._xlws.FILTER(CLIENTES!$E$13:$BO$13,(CLIENTES!$E$5:$BO$5=J$5)*(CLIENTES!$E$9:$BO$9="VENDA"),0)</f>
        <v>0</v>
      </c>
      <c r="K6" s="285" cm="1">
        <f t="array" ref="K6">_xlfn._xlws.FILTER(CLIENTES!$E$13:$BO$13,(CLIENTES!$E$5:$BO$5=K$5)*(CLIENTES!$E$9:$BO$9="VENDA"),0)</f>
        <v>0</v>
      </c>
      <c r="L6" s="285" cm="1">
        <f t="array" ref="L6">_xlfn._xlws.FILTER(CLIENTES!$E$13:$BO$13,(CLIENTES!$E$5:$BO$5=L$5)*(CLIENTES!$E$9:$BO$9="VENDA"),0)</f>
        <v>0</v>
      </c>
      <c r="M6" s="285" cm="1">
        <f t="array" ref="M6">_xlfn._xlws.FILTER(CLIENTES!$E$13:$BO$13,(CLIENTES!$E$5:$BO$5=M$5)*(CLIENTES!$E$9:$BO$9="VENDA"),0)</f>
        <v>0</v>
      </c>
      <c r="N6" s="285" cm="1">
        <f t="array" ref="N6">_xlfn._xlws.FILTER(CLIENTES!$E$13:$BO$13,(CLIENTES!$E$5:$BO$5=N$5)*(CLIENTES!$E$9:$BO$9="VENDA"),0)</f>
        <v>0</v>
      </c>
      <c r="O6" s="285" cm="1">
        <f t="array" ref="O6">_xlfn._xlws.FILTER(CLIENTES!$E$13:$BO$13,(CLIENTES!$E$5:$BO$5=O$5)*(CLIENTES!$E$9:$BO$9="VENDA"),0)</f>
        <v>0</v>
      </c>
      <c r="P6" s="285" cm="1">
        <f t="array" ref="P6">_xlfn._xlws.FILTER(CLIENTES!$E$13:$BO$13,(CLIENTES!$E$5:$BO$5=P$5)*(CLIENTES!$E$9:$BO$9="VENDA"),0)</f>
        <v>0</v>
      </c>
      <c r="Q6" s="285" cm="1">
        <f t="array" ref="Q6">_xlfn._xlws.FILTER(CLIENTES!$E$13:$BO$13,(CLIENTES!$E$5:$BO$5=Q$5)*(CLIENTES!$E$9:$BO$9="VENDA"),0)</f>
        <v>0</v>
      </c>
      <c r="R6" s="285" cm="1">
        <f t="array" ref="R6">_xlfn._xlws.FILTER(CLIENTES!$E$13:$BO$13,(CLIENTES!$E$5:$BO$5=R$5)*(CLIENTES!$E$9:$BO$9="VENDA"),0)</f>
        <v>0</v>
      </c>
      <c r="S6" s="285" cm="1">
        <f t="array" ref="S6">_xlfn._xlws.FILTER(CLIENTES!$E$13:$BO$13,(CLIENTES!$E$5:$BO$5=S$5)*(CLIENTES!$E$9:$BO$9="VENDA"),0)</f>
        <v>0</v>
      </c>
      <c r="T6" s="285" cm="1">
        <f t="array" ref="T6">_xlfn._xlws.FILTER(CLIENTES!$E$13:$BO$13,(CLIENTES!$E$5:$BO$5=T$5)*(CLIENTES!$E$9:$BO$9="VENDA"),0)</f>
        <v>0</v>
      </c>
      <c r="U6" s="285" cm="1">
        <f t="array" ref="U6">_xlfn._xlws.FILTER(CLIENTES!$E$13:$BO$13,(CLIENTES!$E$5:$BO$5=U$5)*(CLIENTES!$E$9:$BO$9="VENDA"),0)</f>
        <v>0</v>
      </c>
      <c r="V6" s="285" cm="1">
        <f t="array" ref="V6">_xlfn._xlws.FILTER(CLIENTES!$E$13:$BO$13,(CLIENTES!$E$5:$BO$5=V$5)*(CLIENTES!$E$9:$BO$9="VENDA"),0)</f>
        <v>0</v>
      </c>
      <c r="W6" s="285" cm="1">
        <f t="array" ref="W6">_xlfn._xlws.FILTER(CLIENTES!$E$13:$BO$13,(CLIENTES!$E$5:$BO$5=W$5)*(CLIENTES!$E$9:$BO$9="VENDA"),0)</f>
        <v>0</v>
      </c>
      <c r="X6" s="285" cm="1">
        <f t="array" ref="X6">_xlfn._xlws.FILTER(CLIENTES!$E$13:$BO$13,(CLIENTES!$E$5:$BO$5=X$5)*(CLIENTES!$E$9:$BO$9="VENDA"),0)</f>
        <v>0</v>
      </c>
      <c r="Y6" s="285" cm="1">
        <f t="array" ref="Y6">_xlfn._xlws.FILTER(CLIENTES!$E$13:$BO$13,(CLIENTES!$E$5:$BO$5=Y$5)*(CLIENTES!$E$9:$BO$9="VENDA"),0)</f>
        <v>0</v>
      </c>
      <c r="Z6" s="285" cm="1">
        <f t="array" ref="Z6">_xlfn._xlws.FILTER(CLIENTES!$E$13:$BO$13,(CLIENTES!$E$5:$BO$5=Z$5)*(CLIENTES!$E$9:$BO$9="VENDA"),0)</f>
        <v>0</v>
      </c>
      <c r="AA6" s="285" cm="1">
        <f t="array" ref="AA6">_xlfn._xlws.FILTER(CLIENTES!$E$13:$BO$13,(CLIENTES!$E$5:$BO$5=AA$5)*(CLIENTES!$E$9:$BO$9="VENDA"),0)</f>
        <v>0</v>
      </c>
      <c r="AB6" s="285" cm="1">
        <f t="array" ref="AB6">_xlfn._xlws.FILTER(CLIENTES!$E$13:$BO$13,(CLIENTES!$E$5:$BO$5=AB$5)*(CLIENTES!$E$9:$BO$9="VENDA"),0)</f>
        <v>0</v>
      </c>
      <c r="AC6" s="285" cm="1">
        <f t="array" ref="AC6">_xlfn._xlws.FILTER(CLIENTES!$E$13:$BO$13,(CLIENTES!$E$5:$BO$5=AC$5)*(CLIENTES!$E$9:$BO$9="VENDA"),0)</f>
        <v>0</v>
      </c>
      <c r="AD6" s="285" cm="1">
        <f t="array" ref="AD6">_xlfn._xlws.FILTER(CLIENTES!$E$13:$BO$13,(CLIENTES!$E$5:$BO$5=AD$5)*(CLIENTES!$E$9:$BO$9="VENDA"),0)</f>
        <v>0</v>
      </c>
      <c r="AE6" s="285" cm="1">
        <f t="array" ref="AE6">_xlfn._xlws.FILTER(CLIENTES!$E$13:$BO$13,(CLIENTES!$E$5:$BO$5=AE$5)*(CLIENTES!$E$9:$BO$9="VENDA"),0)</f>
        <v>0</v>
      </c>
      <c r="AF6" s="285" cm="1">
        <f t="array" ref="AF6">_xlfn._xlws.FILTER(CLIENTES!$E$13:$BO$13,(CLIENTES!$E$5:$BO$5=AF$5)*(CLIENTES!$E$9:$BO$9="VENDA"),0)</f>
        <v>0</v>
      </c>
      <c r="AG6" s="285" cm="1">
        <f t="array" ref="AG6">_xlfn._xlws.FILTER(CLIENTES!$E$13:$BO$13,(CLIENTES!$E$5:$BO$5=AG$5)*(CLIENTES!$E$9:$BO$9="VENDA"),0)</f>
        <v>0</v>
      </c>
      <c r="AH6" s="285" cm="1">
        <f t="array" ref="AH6">_xlfn._xlws.FILTER(CLIENTES!$E$13:$BO$13,(CLIENTES!$E$5:$BO$5=AH$5)*(CLIENTES!$E$9:$BO$9="VENDA"),0)</f>
        <v>0</v>
      </c>
      <c r="AI6" s="285" cm="1">
        <f t="array" ref="AI6">_xlfn._xlws.FILTER(CLIENTES!$E$13:$BO$13,(CLIENTES!$E$5:$BO$5=AI$5)*(CLIENTES!$E$9:$BO$9="VENDA"),0)</f>
        <v>0</v>
      </c>
      <c r="AJ6" s="285" cm="1">
        <f t="array" ref="AJ6">_xlfn._xlws.FILTER(CLIENTES!$E$13:$BO$13,(CLIENTES!$E$5:$BO$5=AJ$5)*(CLIENTES!$E$9:$BO$9="VENDA"),0)</f>
        <v>0</v>
      </c>
      <c r="AK6" s="285" cm="1">
        <f t="array" ref="AK6">_xlfn._xlws.FILTER(CLIENTES!$E$13:$BO$13,(CLIENTES!$E$5:$BO$5=AK$5)*(CLIENTES!$E$9:$BO$9="VENDA"),0)</f>
        <v>0</v>
      </c>
      <c r="AL6" s="285" cm="1">
        <f t="array" ref="AL6">_xlfn._xlws.FILTER(CLIENTES!$E$13:$BO$13,(CLIENTES!$E$5:$BO$5=AL$5)*(CLIENTES!$E$9:$BO$9="VENDA"),0)</f>
        <v>0</v>
      </c>
      <c r="AM6" s="285" cm="1">
        <f t="array" ref="AM6">_xlfn._xlws.FILTER(CLIENTES!$E$13:$BO$13,(CLIENTES!$E$5:$BO$5=AM$5)*(CLIENTES!$E$9:$BO$9="VENDA"),0)</f>
        <v>0</v>
      </c>
      <c r="AN6" s="285" cm="1">
        <f t="array" ref="AN6">_xlfn._xlws.FILTER(CLIENTES!$E$13:$BO$13,(CLIENTES!$E$5:$BO$5=AN$5)*(CLIENTES!$E$9:$BO$9="VENDA"),0)</f>
        <v>0</v>
      </c>
      <c r="AO6" s="285" cm="1">
        <f t="array" ref="AO6">_xlfn._xlws.FILTER(CLIENTES!$E$13:$BO$13,(CLIENTES!$E$5:$BO$5=AO$5)*(CLIENTES!$E$9:$BO$9="VENDA"),0)</f>
        <v>0</v>
      </c>
      <c r="AP6" s="285" cm="1">
        <f t="array" ref="AP6">_xlfn._xlws.FILTER(CLIENTES!$E$13:$BO$13,(CLIENTES!$E$5:$BO$5=AP$5)*(CLIENTES!$E$9:$BO$9="VENDA"),0)</f>
        <v>0</v>
      </c>
      <c r="AQ6" s="285" cm="1">
        <f t="array" ref="AQ6">_xlfn._xlws.FILTER(CLIENTES!$E$13:$BO$13,(CLIENTES!$E$5:$BO$5=AQ$5)*(CLIENTES!$E$9:$BO$9="VENDA"),0)</f>
        <v>0</v>
      </c>
      <c r="AR6" s="285" cm="1">
        <f t="array" ref="AR6">_xlfn._xlws.FILTER(CLIENTES!$E$13:$BO$13,(CLIENTES!$E$5:$BO$5=AR$5)*(CLIENTES!$E$9:$BO$9="VENDA"),0)</f>
        <v>0</v>
      </c>
      <c r="AS6" s="285" cm="1">
        <f t="array" ref="AS6">_xlfn._xlws.FILTER(CLIENTES!$E$13:$BO$13,(CLIENTES!$E$5:$BO$5=AS$5)*(CLIENTES!$E$9:$BO$9="VENDA"),0)</f>
        <v>0</v>
      </c>
      <c r="AT6" s="285" cm="1">
        <f t="array" ref="AT6">_xlfn._xlws.FILTER(CLIENTES!$E$13:$BO$13,(CLIENTES!$E$5:$BO$5=AT$5)*(CLIENTES!$E$9:$BO$9="VENDA"),0)</f>
        <v>0</v>
      </c>
      <c r="AU6" s="285" cm="1">
        <f t="array" ref="AU6">_xlfn._xlws.FILTER(CLIENTES!$E$13:$BO$13,(CLIENTES!$E$5:$BO$5=AU$5)*(CLIENTES!$E$9:$BO$9="VENDA"),0)</f>
        <v>0</v>
      </c>
      <c r="AV6" s="285" cm="1">
        <f t="array" ref="AV6">_xlfn._xlws.FILTER(CLIENTES!$E$13:$BO$13,(CLIENTES!$E$5:$BO$5=AV$5)*(CLIENTES!$E$9:$BO$9="VENDA"),0)</f>
        <v>0</v>
      </c>
      <c r="AW6" s="285" cm="1">
        <f t="array" ref="AW6">_xlfn._xlws.FILTER(CLIENTES!$E$13:$BO$13,(CLIENTES!$E$5:$BO$5=AW$5)*(CLIENTES!$E$9:$BO$9="VENDA"),0)</f>
        <v>0</v>
      </c>
      <c r="AX6" s="285" cm="1">
        <f t="array" ref="AX6">_xlfn._xlws.FILTER(CLIENTES!$E$13:$BO$13,(CLIENTES!$E$5:$BO$5=AX$5)*(CLIENTES!$E$9:$BO$9="VENDA"),0)</f>
        <v>0</v>
      </c>
      <c r="AY6" s="285" cm="1">
        <f t="array" ref="AY6">_xlfn._xlws.FILTER(CLIENTES!$E$13:$BO$13,(CLIENTES!$E$5:$BO$5=AY$5)*(CLIENTES!$E$9:$BO$9="VENDA"),0)</f>
        <v>0</v>
      </c>
      <c r="AZ6" s="285" cm="1">
        <f t="array" ref="AZ6">_xlfn._xlws.FILTER(CLIENTES!$E$13:$BO$13,(CLIENTES!$E$5:$BO$5=AZ$5)*(CLIENTES!$E$9:$BO$9="VENDA"),0)</f>
        <v>0</v>
      </c>
      <c r="BA6" s="285" cm="1">
        <f t="array" ref="BA6">_xlfn._xlws.FILTER(CLIENTES!$E$13:$BO$13,(CLIENTES!$E$5:$BO$5=BA$5)*(CLIENTES!$E$9:$BO$9="VENDA"),0)</f>
        <v>0</v>
      </c>
      <c r="BB6" s="285" cm="1">
        <f t="array" ref="BB6">_xlfn._xlws.FILTER(CLIENTES!$E$13:$BO$13,(CLIENTES!$E$5:$BO$5=BB$5)*(CLIENTES!$E$9:$BO$9="VENDA"),0)</f>
        <v>0</v>
      </c>
      <c r="BC6" s="285" cm="1">
        <f t="array" ref="BC6">_xlfn._xlws.FILTER(CLIENTES!$E$13:$BO$13,(CLIENTES!$E$5:$BO$5=BC$5)*(CLIENTES!$E$9:$BO$9="VENDA"),0)</f>
        <v>0</v>
      </c>
      <c r="BD6" s="285" cm="1">
        <f t="array" ref="BD6">_xlfn._xlws.FILTER(CLIENTES!$E$13:$BO$13,(CLIENTES!$E$5:$BO$5=BD$5)*(CLIENTES!$E$9:$BO$9="VENDA"),0)</f>
        <v>0</v>
      </c>
      <c r="BE6" s="285" cm="1">
        <f t="array" ref="BE6">_xlfn._xlws.FILTER(CLIENTES!$E$13:$BO$13,(CLIENTES!$E$5:$BO$5=BE$5)*(CLIENTES!$E$9:$BO$9="VENDA"),0)</f>
        <v>0</v>
      </c>
      <c r="BF6" s="285" cm="1">
        <f t="array" ref="BF6">_xlfn._xlws.FILTER(CLIENTES!$E$13:$BO$13,(CLIENTES!$E$5:$BO$5=BF$5)*(CLIENTES!$E$9:$BO$9="VENDA"),0)</f>
        <v>0</v>
      </c>
      <c r="BG6" s="285" cm="1">
        <f t="array" ref="BG6">_xlfn._xlws.FILTER(CLIENTES!$E$13:$BO$13,(CLIENTES!$E$5:$BO$5=BG$5)*(CLIENTES!$E$9:$BO$9="VENDA"),0)</f>
        <v>0</v>
      </c>
      <c r="BH6" s="285" cm="1">
        <f t="array" ref="BH6">_xlfn._xlws.FILTER(CLIENTES!$E$13:$BO$13,(CLIENTES!$E$5:$BO$5=BH$5)*(CLIENTES!$E$9:$BO$9="VENDA"),0)</f>
        <v>0</v>
      </c>
      <c r="BI6" s="285" cm="1">
        <f t="array" ref="BI6">_xlfn._xlws.FILTER(CLIENTES!$E$13:$BO$13,(CLIENTES!$E$5:$BO$5=BI$5)*(CLIENTES!$E$9:$BO$9="VENDA"),0)</f>
        <v>0</v>
      </c>
      <c r="BJ6" s="285" cm="1">
        <f t="array" ref="BJ6">_xlfn._xlws.FILTER(CLIENTES!$E$13:$BO$13,(CLIENTES!$E$5:$BO$5=BJ$5)*(CLIENTES!$E$9:$BO$9="VENDA"),0)</f>
        <v>0</v>
      </c>
      <c r="BK6" s="285" cm="1">
        <f t="array" ref="BK6">_xlfn._xlws.FILTER(CLIENTES!$E$13:$BO$13,(CLIENTES!$E$5:$BO$5=BK$5)*(CLIENTES!$E$9:$BO$9="VENDA"),0)</f>
        <v>0</v>
      </c>
      <c r="BL6" s="285" cm="1">
        <f t="array" ref="BL6">_xlfn._xlws.FILTER(CLIENTES!$E$13:$BO$13,(CLIENTES!$E$5:$BO$5=BL$5)*(CLIENTES!$E$9:$BO$9="VENDA"),0)</f>
        <v>0</v>
      </c>
    </row>
    <row r="7" spans="1:64" s="284" customFormat="1" ht="13.5" thickBot="1" x14ac:dyDescent="0.25">
      <c r="B7" s="326"/>
      <c r="C7" s="23" t="s">
        <v>9</v>
      </c>
      <c r="D7" s="27">
        <f>SUM(E7:AW7)</f>
        <v>0</v>
      </c>
      <c r="E7" s="285" cm="1">
        <f t="array" ref="E7">_xlfn._xlws.FILTER(CLIENTES!$E$14:$BO$14,(CLIENTES!$E$5:$BO$5=E$5)*(CLIENTES!$E$8:$BO$8="VENDA"),0)</f>
        <v>0</v>
      </c>
      <c r="F7" s="285" cm="1">
        <f t="array" ref="F7">_xlfn._xlws.FILTER(CLIENTES!$E$14:$BO$14,(CLIENTES!$E$5:$BO$5=F$5)*(CLIENTES!$E$8:$BO$8="VENDA"),0)</f>
        <v>0</v>
      </c>
      <c r="G7" s="285" cm="1">
        <f t="array" ref="G7">_xlfn._xlws.FILTER(CLIENTES!$E$14:$BO$14,(CLIENTES!$E$5:$BO$5=G$5)*(CLIENTES!$E$8:$BO$8="VENDA"),0)</f>
        <v>0</v>
      </c>
      <c r="H7" s="285" cm="1">
        <f t="array" ref="H7">_xlfn._xlws.FILTER(CLIENTES!$E$14:$BO$14,(CLIENTES!$E$5:$BO$5=H$5)*(CLIENTES!$E$8:$BO$8="VENDA"),0)</f>
        <v>0</v>
      </c>
      <c r="I7" s="285" cm="1">
        <f t="array" ref="I7">_xlfn._xlws.FILTER(CLIENTES!$E$14:$BO$14,(CLIENTES!$E$5:$BO$5=I$5)*(CLIENTES!$E$8:$BO$8="VENDA"),0)</f>
        <v>0</v>
      </c>
      <c r="J7" s="285" cm="1">
        <f t="array" ref="J7">_xlfn._xlws.FILTER(CLIENTES!$E$14:$BO$14,(CLIENTES!$E$5:$BO$5=J$5)*(CLIENTES!$E$8:$BO$8="VENDA"),0)</f>
        <v>0</v>
      </c>
      <c r="K7" s="285" cm="1">
        <f t="array" ref="K7">_xlfn._xlws.FILTER(CLIENTES!$E$14:$BO$14,(CLIENTES!$E$5:$BO$5=K$5)*(CLIENTES!$E$8:$BO$8="VENDA"),0)</f>
        <v>0</v>
      </c>
      <c r="L7" s="285" cm="1">
        <f t="array" ref="L7">_xlfn._xlws.FILTER(CLIENTES!$E$14:$BO$14,(CLIENTES!$E$5:$BO$5=L$5)*(CLIENTES!$E$8:$BO$8="VENDA"),0)</f>
        <v>0</v>
      </c>
      <c r="M7" s="285" cm="1">
        <f t="array" ref="M7">_xlfn._xlws.FILTER(CLIENTES!$E$14:$BO$14,(CLIENTES!$E$5:$BO$5=M$5)*(CLIENTES!$E$8:$BO$8="VENDA"),0)</f>
        <v>0</v>
      </c>
      <c r="N7" s="285" cm="1">
        <f t="array" ref="N7">_xlfn._xlws.FILTER(CLIENTES!$E$14:$BO$14,(CLIENTES!$E$5:$BO$5=N$5)*(CLIENTES!$E$8:$BO$8="VENDA"),0)</f>
        <v>0</v>
      </c>
      <c r="O7" s="285" cm="1">
        <f t="array" ref="O7">_xlfn._xlws.FILTER(CLIENTES!$E$14:$BO$14,(CLIENTES!$E$5:$BO$5=O$5)*(CLIENTES!$E$8:$BO$8="VENDA"),0)</f>
        <v>0</v>
      </c>
      <c r="P7" s="285" cm="1">
        <f t="array" ref="P7">_xlfn._xlws.FILTER(CLIENTES!$E$14:$BO$14,(CLIENTES!$E$5:$BO$5=P$5)*(CLIENTES!$E$8:$BO$8="VENDA"),0)</f>
        <v>0</v>
      </c>
      <c r="Q7" s="285" cm="1">
        <f t="array" ref="Q7">_xlfn._xlws.FILTER(CLIENTES!$E$14:$BO$14,(CLIENTES!$E$5:$BO$5=Q$5)*(CLIENTES!$E$8:$BO$8="VENDA"),0)</f>
        <v>0</v>
      </c>
      <c r="R7" s="285" cm="1">
        <f t="array" ref="R7">_xlfn._xlws.FILTER(CLIENTES!$E$14:$BO$14,(CLIENTES!$E$5:$BO$5=R$5)*(CLIENTES!$E$8:$BO$8="VENDA"),0)</f>
        <v>0</v>
      </c>
      <c r="S7" s="285" cm="1">
        <f t="array" ref="S7">_xlfn._xlws.FILTER(CLIENTES!$E$14:$BO$14,(CLIENTES!$E$5:$BO$5=S$5)*(CLIENTES!$E$8:$BO$8="VENDA"),0)</f>
        <v>0</v>
      </c>
      <c r="T7" s="285" cm="1">
        <f t="array" ref="T7">_xlfn._xlws.FILTER(CLIENTES!$E$14:$BO$14,(CLIENTES!$E$5:$BO$5=T$5)*(CLIENTES!$E$8:$BO$8="VENDA"),0)</f>
        <v>0</v>
      </c>
      <c r="U7" s="285" cm="1">
        <f t="array" ref="U7">_xlfn._xlws.FILTER(CLIENTES!$E$14:$BO$14,(CLIENTES!$E$5:$BO$5=U$5)*(CLIENTES!$E$8:$BO$8="VENDA"),0)</f>
        <v>0</v>
      </c>
      <c r="V7" s="285" cm="1">
        <f t="array" ref="V7">_xlfn._xlws.FILTER(CLIENTES!$E$14:$BO$14,(CLIENTES!$E$5:$BO$5=V$5)*(CLIENTES!$E$8:$BO$8="VENDA"),0)</f>
        <v>0</v>
      </c>
      <c r="W7" s="285" cm="1">
        <f t="array" ref="W7">_xlfn._xlws.FILTER(CLIENTES!$E$14:$BO$14,(CLIENTES!$E$5:$BO$5=W$5)*(CLIENTES!$E$8:$BO$8="VENDA"),0)</f>
        <v>0</v>
      </c>
      <c r="X7" s="285" cm="1">
        <f t="array" ref="X7">_xlfn._xlws.FILTER(CLIENTES!$E$14:$BO$14,(CLIENTES!$E$5:$BO$5=X$5)*(CLIENTES!$E$8:$BO$8="VENDA"),0)</f>
        <v>0</v>
      </c>
      <c r="Y7" s="285" cm="1">
        <f t="array" ref="Y7">_xlfn._xlws.FILTER(CLIENTES!$E$14:$BO$14,(CLIENTES!$E$5:$BO$5=Y$5)*(CLIENTES!$E$8:$BO$8="VENDA"),0)</f>
        <v>0</v>
      </c>
      <c r="Z7" s="285" cm="1">
        <f t="array" ref="Z7">_xlfn._xlws.FILTER(CLIENTES!$E$14:$BO$14,(CLIENTES!$E$5:$BO$5=Z$5)*(CLIENTES!$E$8:$BO$8="VENDA"),0)</f>
        <v>0</v>
      </c>
      <c r="AA7" s="285" cm="1">
        <f t="array" ref="AA7">_xlfn._xlws.FILTER(CLIENTES!$E$14:$BO$14,(CLIENTES!$E$5:$BO$5=AA$5)*(CLIENTES!$E$8:$BO$8="VENDA"),0)</f>
        <v>0</v>
      </c>
      <c r="AB7" s="285" cm="1">
        <f t="array" ref="AB7">_xlfn._xlws.FILTER(CLIENTES!$E$14:$BO$14,(CLIENTES!$E$5:$BO$5=AB$5)*(CLIENTES!$E$8:$BO$8="VENDA"),0)</f>
        <v>0</v>
      </c>
      <c r="AC7" s="285" cm="1">
        <f t="array" ref="AC7">_xlfn._xlws.FILTER(CLIENTES!$E$14:$BO$14,(CLIENTES!$E$5:$BO$5=AC$5)*(CLIENTES!$E$8:$BO$8="VENDA"),0)</f>
        <v>0</v>
      </c>
      <c r="AD7" s="285" cm="1">
        <f t="array" ref="AD7">_xlfn._xlws.FILTER(CLIENTES!$E$14:$BO$14,(CLIENTES!$E$5:$BO$5=AD$5)*(CLIENTES!$E$8:$BO$8="VENDA"),0)</f>
        <v>0</v>
      </c>
      <c r="AE7" s="285" cm="1">
        <f t="array" ref="AE7">_xlfn._xlws.FILTER(CLIENTES!$E$14:$BO$14,(CLIENTES!$E$5:$BO$5=AE$5)*(CLIENTES!$E$8:$BO$8="VENDA"),0)</f>
        <v>0</v>
      </c>
      <c r="AF7" s="285" cm="1">
        <f t="array" ref="AF7">_xlfn._xlws.FILTER(CLIENTES!$E$14:$BO$14,(CLIENTES!$E$5:$BO$5=AF$5)*(CLIENTES!$E$8:$BO$8="VENDA"),0)</f>
        <v>0</v>
      </c>
      <c r="AG7" s="285" cm="1">
        <f t="array" ref="AG7">_xlfn._xlws.FILTER(CLIENTES!$E$14:$BO$14,(CLIENTES!$E$5:$BO$5=AG$5)*(CLIENTES!$E$8:$BO$8="VENDA"),0)</f>
        <v>0</v>
      </c>
      <c r="AH7" s="285" cm="1">
        <f t="array" ref="AH7">_xlfn._xlws.FILTER(CLIENTES!$E$14:$BO$14,(CLIENTES!$E$5:$BO$5=AH$5)*(CLIENTES!$E$8:$BO$8="VENDA"),0)</f>
        <v>0</v>
      </c>
      <c r="AI7" s="285" cm="1">
        <f t="array" ref="AI7">_xlfn._xlws.FILTER(CLIENTES!$E$14:$BO$14,(CLIENTES!$E$5:$BO$5=AI$5)*(CLIENTES!$E$8:$BO$8="VENDA"),0)</f>
        <v>0</v>
      </c>
      <c r="AJ7" s="285" cm="1">
        <f t="array" ref="AJ7">_xlfn._xlws.FILTER(CLIENTES!$E$14:$BO$14,(CLIENTES!$E$5:$BO$5=AJ$5)*(CLIENTES!$E$8:$BO$8="VENDA"),0)</f>
        <v>0</v>
      </c>
      <c r="AK7" s="285" cm="1">
        <f t="array" ref="AK7">_xlfn._xlws.FILTER(CLIENTES!$E$14:$BO$14,(CLIENTES!$E$5:$BO$5=AK$5)*(CLIENTES!$E$8:$BO$8="VENDA"),0)</f>
        <v>0</v>
      </c>
      <c r="AL7" s="285" cm="1">
        <f t="array" ref="AL7">_xlfn._xlws.FILTER(CLIENTES!$E$14:$BO$14,(CLIENTES!$E$5:$BO$5=AL$5)*(CLIENTES!$E$8:$BO$8="VENDA"),0)</f>
        <v>0</v>
      </c>
      <c r="AM7" s="285" cm="1">
        <f t="array" ref="AM7">_xlfn._xlws.FILTER(CLIENTES!$E$14:$BO$14,(CLIENTES!$E$5:$BO$5=AM$5)*(CLIENTES!$E$8:$BO$8="VENDA"),0)</f>
        <v>0</v>
      </c>
      <c r="AN7" s="285" cm="1">
        <f t="array" ref="AN7">_xlfn._xlws.FILTER(CLIENTES!$E$14:$BO$14,(CLIENTES!$E$5:$BO$5=AN$5)*(CLIENTES!$E$8:$BO$8="VENDA"),0)</f>
        <v>0</v>
      </c>
      <c r="AO7" s="285" cm="1">
        <f t="array" ref="AO7">_xlfn._xlws.FILTER(CLIENTES!$E$14:$BO$14,(CLIENTES!$E$5:$BO$5=AO$5)*(CLIENTES!$E$8:$BO$8="VENDA"),0)</f>
        <v>0</v>
      </c>
      <c r="AP7" s="285" cm="1">
        <f t="array" ref="AP7">_xlfn._xlws.FILTER(CLIENTES!$E$14:$BO$14,(CLIENTES!$E$5:$BO$5=AP$5)*(CLIENTES!$E$8:$BO$8="VENDA"),0)</f>
        <v>0</v>
      </c>
      <c r="AQ7" s="285" cm="1">
        <f t="array" ref="AQ7">_xlfn._xlws.FILTER(CLIENTES!$E$14:$BO$14,(CLIENTES!$E$5:$BO$5=AQ$5)*(CLIENTES!$E$8:$BO$8="VENDA"),0)</f>
        <v>0</v>
      </c>
      <c r="AR7" s="285" cm="1">
        <f t="array" ref="AR7">_xlfn._xlws.FILTER(CLIENTES!$E$14:$BO$14,(CLIENTES!$E$5:$BO$5=AR$5)*(CLIENTES!$E$8:$BO$8="VENDA"),0)</f>
        <v>0</v>
      </c>
      <c r="AS7" s="285" cm="1">
        <f t="array" ref="AS7">_xlfn._xlws.FILTER(CLIENTES!$E$14:$BO$14,(CLIENTES!$E$5:$BO$5=AS$5)*(CLIENTES!$E$8:$BO$8="VENDA"),0)</f>
        <v>0</v>
      </c>
      <c r="AT7" s="285" cm="1">
        <f t="array" ref="AT7">_xlfn._xlws.FILTER(CLIENTES!$E$14:$BO$14,(CLIENTES!$E$5:$BO$5=AT$5)*(CLIENTES!$E$8:$BO$8="VENDA"),0)</f>
        <v>0</v>
      </c>
      <c r="AU7" s="285" cm="1">
        <f t="array" ref="AU7">_xlfn._xlws.FILTER(CLIENTES!$E$14:$BO$14,(CLIENTES!$E$5:$BO$5=AU$5)*(CLIENTES!$E$8:$BO$8="VENDA"),0)</f>
        <v>0</v>
      </c>
      <c r="AV7" s="285" cm="1">
        <f t="array" ref="AV7">_xlfn._xlws.FILTER(CLIENTES!$E$14:$BO$14,(CLIENTES!$E$5:$BO$5=AV$5)*(CLIENTES!$E$8:$BO$8="VENDA"),0)</f>
        <v>0</v>
      </c>
      <c r="AW7" s="285" cm="1">
        <f t="array" ref="AW7">_xlfn._xlws.FILTER(CLIENTES!$E$14:$BO$14,(CLIENTES!$E$5:$BO$5=AW$5)*(CLIENTES!$E$8:$BO$8="VENDA"),0)</f>
        <v>0</v>
      </c>
      <c r="AX7" s="285" cm="1">
        <f t="array" ref="AX7">_xlfn._xlws.FILTER(CLIENTES!$E$14:$BO$14,(CLIENTES!$E$5:$BO$5=AX$5)*(CLIENTES!$E$8:$BO$8="VENDA"),0)</f>
        <v>0</v>
      </c>
      <c r="AY7" s="285" cm="1">
        <f t="array" ref="AY7">_xlfn._xlws.FILTER(CLIENTES!$E$14:$BO$14,(CLIENTES!$E$5:$BO$5=AY$5)*(CLIENTES!$E$8:$BO$8="VENDA"),0)</f>
        <v>0</v>
      </c>
      <c r="AZ7" s="285" cm="1">
        <f t="array" ref="AZ7">_xlfn._xlws.FILTER(CLIENTES!$E$14:$BO$14,(CLIENTES!$E$5:$BO$5=AZ$5)*(CLIENTES!$E$8:$BO$8="VENDA"),0)</f>
        <v>0</v>
      </c>
      <c r="BA7" s="285" cm="1">
        <f t="array" ref="BA7">_xlfn._xlws.FILTER(CLIENTES!$E$14:$BO$14,(CLIENTES!$E$5:$BO$5=BA$5)*(CLIENTES!$E$8:$BO$8="VENDA"),0)</f>
        <v>0</v>
      </c>
      <c r="BB7" s="285" cm="1">
        <f t="array" ref="BB7">_xlfn._xlws.FILTER(CLIENTES!$E$14:$BO$14,(CLIENTES!$E$5:$BO$5=BB$5)*(CLIENTES!$E$8:$BO$8="VENDA"),0)</f>
        <v>0</v>
      </c>
      <c r="BC7" s="285" cm="1">
        <f t="array" ref="BC7">_xlfn._xlws.FILTER(CLIENTES!$E$14:$BO$14,(CLIENTES!$E$5:$BO$5=BC$5)*(CLIENTES!$E$8:$BO$8="VENDA"),0)</f>
        <v>0</v>
      </c>
      <c r="BD7" s="285" cm="1">
        <f t="array" ref="BD7">_xlfn._xlws.FILTER(CLIENTES!$E$14:$BO$14,(CLIENTES!$E$5:$BO$5=BD$5)*(CLIENTES!$E$8:$BO$8="VENDA"),0)</f>
        <v>0</v>
      </c>
      <c r="BE7" s="285" cm="1">
        <f t="array" ref="BE7">_xlfn._xlws.FILTER(CLIENTES!$E$14:$BO$14,(CLIENTES!$E$5:$BO$5=BE$5)*(CLIENTES!$E$8:$BO$8="VENDA"),0)</f>
        <v>0</v>
      </c>
      <c r="BF7" s="285" cm="1">
        <f t="array" ref="BF7">_xlfn._xlws.FILTER(CLIENTES!$E$14:$BO$14,(CLIENTES!$E$5:$BO$5=BF$5)*(CLIENTES!$E$8:$BO$8="VENDA"),0)</f>
        <v>0</v>
      </c>
      <c r="BG7" s="285" cm="1">
        <f t="array" ref="BG7">_xlfn._xlws.FILTER(CLIENTES!$E$14:$BO$14,(CLIENTES!$E$5:$BO$5=BG$5)*(CLIENTES!$E$8:$BO$8="VENDA"),0)</f>
        <v>0</v>
      </c>
      <c r="BH7" s="285" cm="1">
        <f t="array" ref="BH7">_xlfn._xlws.FILTER(CLIENTES!$E$14:$BO$14,(CLIENTES!$E$5:$BO$5=BH$5)*(CLIENTES!$E$8:$BO$8="VENDA"),0)</f>
        <v>0</v>
      </c>
      <c r="BI7" s="285" cm="1">
        <f t="array" ref="BI7">_xlfn._xlws.FILTER(CLIENTES!$E$14:$BO$14,(CLIENTES!$E$5:$BO$5=BI$5)*(CLIENTES!$E$8:$BO$8="VENDA"),0)</f>
        <v>0</v>
      </c>
      <c r="BJ7" s="285" cm="1">
        <f t="array" ref="BJ7">_xlfn._xlws.FILTER(CLIENTES!$E$14:$BO$14,(CLIENTES!$E$5:$BO$5=BJ$5)*(CLIENTES!$E$8:$BO$8="VENDA"),0)</f>
        <v>0</v>
      </c>
      <c r="BK7" s="285" cm="1">
        <f t="array" ref="BK7">_xlfn._xlws.FILTER(CLIENTES!$E$14:$BO$14,(CLIENTES!$E$5:$BO$5=BK$5)*(CLIENTES!$E$8:$BO$8="VENDA"),0)</f>
        <v>0</v>
      </c>
      <c r="BL7" s="285" cm="1">
        <f t="array" ref="BL7">_xlfn._xlws.FILTER(CLIENTES!$E$14:$BO$14,(CLIENTES!$E$5:$BO$5=BL$5)*(CLIENTES!$E$8:$BO$8="VENDA"),0)</f>
        <v>0</v>
      </c>
    </row>
    <row r="8" spans="1:64" x14ac:dyDescent="0.2">
      <c r="B8" s="326"/>
      <c r="C8" s="23" t="s">
        <v>10</v>
      </c>
      <c r="D8" s="72">
        <v>0</v>
      </c>
      <c r="E8" s="283">
        <f>CLIENTES!F16</f>
        <v>0.05</v>
      </c>
      <c r="F8" s="283">
        <f>CLIENTES!H16</f>
        <v>0</v>
      </c>
      <c r="G8" s="283">
        <f>CLIENTES!I16</f>
        <v>0</v>
      </c>
      <c r="H8" s="283">
        <f>CLIENTES!J16</f>
        <v>0</v>
      </c>
      <c r="I8" s="283">
        <f>CLIENTES!K16</f>
        <v>0</v>
      </c>
      <c r="J8" s="283">
        <f>CLIENTES!L16</f>
        <v>0</v>
      </c>
      <c r="K8" s="283">
        <f>CLIENTES!M16</f>
        <v>0</v>
      </c>
      <c r="L8" s="283">
        <f>CLIENTES!N16</f>
        <v>0</v>
      </c>
      <c r="M8" s="200">
        <f>CLIENTES!O16</f>
        <v>0</v>
      </c>
      <c r="N8" s="200">
        <f>CLIENTES!P16</f>
        <v>0</v>
      </c>
      <c r="O8" s="200">
        <f>CLIENTES!Q16</f>
        <v>0</v>
      </c>
      <c r="P8" s="200">
        <f>CLIENTES!R16</f>
        <v>0</v>
      </c>
      <c r="Q8" s="200">
        <f>CLIENTES!S16</f>
        <v>0</v>
      </c>
      <c r="R8" s="200">
        <f>CLIENTES!T16</f>
        <v>0</v>
      </c>
      <c r="S8" s="200">
        <f>CLIENTES!U16</f>
        <v>0</v>
      </c>
      <c r="T8" s="200">
        <f>CLIENTES!V16</f>
        <v>0</v>
      </c>
      <c r="U8" s="200">
        <f>CLIENTES!W16</f>
        <v>0</v>
      </c>
      <c r="V8" s="200">
        <f>CLIENTES!X16</f>
        <v>0</v>
      </c>
      <c r="W8" s="200">
        <f>CLIENTES!Y16</f>
        <v>0</v>
      </c>
      <c r="X8" s="200">
        <f>CLIENTES!Z16</f>
        <v>0</v>
      </c>
      <c r="Y8" s="200">
        <f>CLIENTES!AA16</f>
        <v>0</v>
      </c>
      <c r="Z8" s="200">
        <f>CLIENTES!AB16</f>
        <v>0</v>
      </c>
      <c r="AA8" s="200">
        <f>CLIENTES!AC16</f>
        <v>0</v>
      </c>
      <c r="AB8" s="200">
        <f>CLIENTES!AD16</f>
        <v>0</v>
      </c>
      <c r="AC8" s="200">
        <f>CLIENTES!AE16</f>
        <v>0</v>
      </c>
      <c r="AD8" s="200">
        <f>CLIENTES!AF16</f>
        <v>0</v>
      </c>
      <c r="AE8" s="200">
        <f>CLIENTES!AG16</f>
        <v>0</v>
      </c>
      <c r="AF8" s="200">
        <f>CLIENTES!AH16</f>
        <v>0</v>
      </c>
      <c r="AG8" s="200">
        <f>CLIENTES!AI16</f>
        <v>0</v>
      </c>
      <c r="AH8" s="200">
        <f>CLIENTES!AJ16</f>
        <v>0</v>
      </c>
      <c r="AI8" s="200">
        <f>CLIENTES!AK16</f>
        <v>0</v>
      </c>
      <c r="AJ8" s="200">
        <f>CLIENTES!AL16</f>
        <v>0</v>
      </c>
      <c r="AK8" s="200">
        <f>CLIENTES!AM16</f>
        <v>0</v>
      </c>
      <c r="AL8" s="200">
        <f>CLIENTES!AN16</f>
        <v>0</v>
      </c>
      <c r="AM8" s="200">
        <f>CLIENTES!AO16</f>
        <v>0</v>
      </c>
      <c r="AN8" s="200">
        <f>CLIENTES!AP16</f>
        <v>0</v>
      </c>
      <c r="AO8" s="200">
        <f>CLIENTES!AQ16</f>
        <v>0</v>
      </c>
      <c r="AP8" s="200">
        <f>CLIENTES!AR16</f>
        <v>0</v>
      </c>
      <c r="AQ8" s="200">
        <f>CLIENTES!AS16</f>
        <v>0</v>
      </c>
      <c r="AR8" s="200">
        <f>CLIENTES!AT16</f>
        <v>0</v>
      </c>
      <c r="AS8" s="200">
        <f>CLIENTES!AU16</f>
        <v>0</v>
      </c>
      <c r="AT8" s="200">
        <f>CLIENTES!AV16</f>
        <v>0</v>
      </c>
      <c r="AU8" s="200">
        <f>CLIENTES!AW16</f>
        <v>0</v>
      </c>
      <c r="AV8" s="200">
        <f>CLIENTES!AX16</f>
        <v>0</v>
      </c>
      <c r="AW8" s="200">
        <f>CLIENTES!AY16</f>
        <v>0</v>
      </c>
      <c r="AX8" s="200">
        <f>CLIENTES!AZ16</f>
        <v>0</v>
      </c>
      <c r="AY8" s="200">
        <f>CLIENTES!BA16</f>
        <v>0</v>
      </c>
      <c r="AZ8" s="215">
        <f>CLIENTES!BB16</f>
        <v>0</v>
      </c>
      <c r="BA8" s="200">
        <f>CLIENTES!BC16</f>
        <v>0</v>
      </c>
      <c r="BB8" s="200">
        <f>CLIENTES!BD16</f>
        <v>0</v>
      </c>
      <c r="BC8" s="200">
        <f>CLIENTES!BE16</f>
        <v>0</v>
      </c>
      <c r="BD8" s="200">
        <f>CLIENTES!BF16</f>
        <v>0</v>
      </c>
      <c r="BE8" s="200">
        <f>CLIENTES!BG16</f>
        <v>0</v>
      </c>
      <c r="BF8" s="200">
        <f>CLIENTES!BH16</f>
        <v>0</v>
      </c>
      <c r="BG8" s="200">
        <f>CLIENTES!BI16</f>
        <v>0</v>
      </c>
      <c r="BH8" s="200">
        <f>CLIENTES!BJ16</f>
        <v>0</v>
      </c>
      <c r="BI8" s="200">
        <f>CLIENTES!BK16</f>
        <v>0</v>
      </c>
      <c r="BJ8" s="200">
        <f>CLIENTES!BL16</f>
        <v>0</v>
      </c>
      <c r="BK8" s="200">
        <f>CLIENTES!BM16</f>
        <v>0</v>
      </c>
      <c r="BL8" s="200">
        <f>CLIENTES!BN16</f>
        <v>0</v>
      </c>
    </row>
    <row r="9" spans="1:64" x14ac:dyDescent="0.2">
      <c r="B9" s="326"/>
      <c r="C9" s="58" t="s">
        <v>23</v>
      </c>
      <c r="D9" s="27">
        <f>SUM(E9:AW9)</f>
        <v>0</v>
      </c>
      <c r="E9" s="132">
        <f t="shared" ref="E9:BL9" si="0">(E6-E7)*E8</f>
        <v>0</v>
      </c>
      <c r="F9" s="132">
        <f t="shared" si="0"/>
        <v>0</v>
      </c>
      <c r="G9" s="132">
        <f t="shared" si="0"/>
        <v>0</v>
      </c>
      <c r="H9" s="132">
        <f t="shared" si="0"/>
        <v>0</v>
      </c>
      <c r="I9" s="132">
        <f t="shared" si="0"/>
        <v>0</v>
      </c>
      <c r="J9" s="132">
        <f t="shared" si="0"/>
        <v>0</v>
      </c>
      <c r="K9" s="132">
        <f t="shared" si="0"/>
        <v>0</v>
      </c>
      <c r="L9" s="132">
        <f t="shared" si="0"/>
        <v>0</v>
      </c>
      <c r="M9" s="132">
        <f t="shared" si="0"/>
        <v>0</v>
      </c>
      <c r="N9" s="132">
        <f t="shared" si="0"/>
        <v>0</v>
      </c>
      <c r="O9" s="132">
        <f t="shared" si="0"/>
        <v>0</v>
      </c>
      <c r="P9" s="132">
        <f t="shared" si="0"/>
        <v>0</v>
      </c>
      <c r="Q9" s="132">
        <f t="shared" si="0"/>
        <v>0</v>
      </c>
      <c r="R9" s="132">
        <f t="shared" si="0"/>
        <v>0</v>
      </c>
      <c r="S9" s="132">
        <f t="shared" si="0"/>
        <v>0</v>
      </c>
      <c r="T9" s="132">
        <f t="shared" si="0"/>
        <v>0</v>
      </c>
      <c r="U9" s="132">
        <f t="shared" si="0"/>
        <v>0</v>
      </c>
      <c r="V9" s="132">
        <f t="shared" si="0"/>
        <v>0</v>
      </c>
      <c r="W9" s="132">
        <f t="shared" si="0"/>
        <v>0</v>
      </c>
      <c r="X9" s="132">
        <f t="shared" si="0"/>
        <v>0</v>
      </c>
      <c r="Y9" s="132">
        <f t="shared" si="0"/>
        <v>0</v>
      </c>
      <c r="Z9" s="132">
        <f t="shared" si="0"/>
        <v>0</v>
      </c>
      <c r="AA9" s="132">
        <f t="shared" si="0"/>
        <v>0</v>
      </c>
      <c r="AB9" s="132">
        <f t="shared" si="0"/>
        <v>0</v>
      </c>
      <c r="AC9" s="132">
        <f t="shared" si="0"/>
        <v>0</v>
      </c>
      <c r="AD9" s="132">
        <f t="shared" si="0"/>
        <v>0</v>
      </c>
      <c r="AE9" s="132">
        <f t="shared" si="0"/>
        <v>0</v>
      </c>
      <c r="AF9" s="132">
        <f t="shared" si="0"/>
        <v>0</v>
      </c>
      <c r="AG9" s="132">
        <f t="shared" si="0"/>
        <v>0</v>
      </c>
      <c r="AH9" s="132">
        <f t="shared" si="0"/>
        <v>0</v>
      </c>
      <c r="AI9" s="132">
        <f t="shared" si="0"/>
        <v>0</v>
      </c>
      <c r="AJ9" s="132">
        <f t="shared" si="0"/>
        <v>0</v>
      </c>
      <c r="AK9" s="132">
        <f t="shared" si="0"/>
        <v>0</v>
      </c>
      <c r="AL9" s="132">
        <f t="shared" si="0"/>
        <v>0</v>
      </c>
      <c r="AM9" s="132">
        <f t="shared" si="0"/>
        <v>0</v>
      </c>
      <c r="AN9" s="132">
        <f t="shared" si="0"/>
        <v>0</v>
      </c>
      <c r="AO9" s="132">
        <f t="shared" si="0"/>
        <v>0</v>
      </c>
      <c r="AP9" s="132">
        <f t="shared" si="0"/>
        <v>0</v>
      </c>
      <c r="AQ9" s="132">
        <f t="shared" si="0"/>
        <v>0</v>
      </c>
      <c r="AR9" s="132">
        <f t="shared" si="0"/>
        <v>0</v>
      </c>
      <c r="AS9" s="132">
        <f t="shared" si="0"/>
        <v>0</v>
      </c>
      <c r="AT9" s="132">
        <f t="shared" si="0"/>
        <v>0</v>
      </c>
      <c r="AU9" s="132">
        <f t="shared" si="0"/>
        <v>0</v>
      </c>
      <c r="AV9" s="132">
        <f t="shared" si="0"/>
        <v>0</v>
      </c>
      <c r="AW9" s="132">
        <f t="shared" si="0"/>
        <v>0</v>
      </c>
      <c r="AX9" s="132">
        <f t="shared" si="0"/>
        <v>0</v>
      </c>
      <c r="AY9" s="132">
        <f t="shared" si="0"/>
        <v>0</v>
      </c>
      <c r="AZ9" s="139">
        <f t="shared" si="0"/>
        <v>0</v>
      </c>
      <c r="BA9" s="132">
        <f t="shared" si="0"/>
        <v>0</v>
      </c>
      <c r="BB9" s="132">
        <f t="shared" si="0"/>
        <v>0</v>
      </c>
      <c r="BC9" s="132">
        <f t="shared" si="0"/>
        <v>0</v>
      </c>
      <c r="BD9" s="132">
        <f t="shared" si="0"/>
        <v>0</v>
      </c>
      <c r="BE9" s="132">
        <f t="shared" si="0"/>
        <v>0</v>
      </c>
      <c r="BF9" s="132">
        <f t="shared" si="0"/>
        <v>0</v>
      </c>
      <c r="BG9" s="132">
        <f t="shared" si="0"/>
        <v>0</v>
      </c>
      <c r="BH9" s="132">
        <f t="shared" si="0"/>
        <v>0</v>
      </c>
      <c r="BI9" s="132">
        <f t="shared" si="0"/>
        <v>0</v>
      </c>
      <c r="BJ9" s="132">
        <f t="shared" si="0"/>
        <v>0</v>
      </c>
      <c r="BK9" s="132">
        <f t="shared" si="0"/>
        <v>0</v>
      </c>
      <c r="BL9" s="132">
        <f t="shared" si="0"/>
        <v>0</v>
      </c>
    </row>
    <row r="10" spans="1:64" ht="13.5" thickBot="1" x14ac:dyDescent="0.25">
      <c r="B10" s="327"/>
      <c r="C10" s="25" t="s">
        <v>22</v>
      </c>
      <c r="D10" s="30">
        <f>SUM(E10:AW10)</f>
        <v>50000</v>
      </c>
      <c r="E10" s="201">
        <f t="shared" ref="E10:BL10" si="1">+E6-E7+E9</f>
        <v>0</v>
      </c>
      <c r="F10" s="201">
        <f t="shared" si="1"/>
        <v>50000</v>
      </c>
      <c r="G10" s="201">
        <f t="shared" si="1"/>
        <v>0</v>
      </c>
      <c r="H10" s="201">
        <f t="shared" si="1"/>
        <v>0</v>
      </c>
      <c r="I10" s="201">
        <f t="shared" si="1"/>
        <v>0</v>
      </c>
      <c r="J10" s="201">
        <f t="shared" si="1"/>
        <v>0</v>
      </c>
      <c r="K10" s="201">
        <f t="shared" si="1"/>
        <v>0</v>
      </c>
      <c r="L10" s="201">
        <f t="shared" si="1"/>
        <v>0</v>
      </c>
      <c r="M10" s="201">
        <f t="shared" si="1"/>
        <v>0</v>
      </c>
      <c r="N10" s="201">
        <f t="shared" si="1"/>
        <v>0</v>
      </c>
      <c r="O10" s="201">
        <f t="shared" si="1"/>
        <v>0</v>
      </c>
      <c r="P10" s="201">
        <f t="shared" si="1"/>
        <v>0</v>
      </c>
      <c r="Q10" s="201">
        <f t="shared" si="1"/>
        <v>0</v>
      </c>
      <c r="R10" s="201">
        <f t="shared" si="1"/>
        <v>0</v>
      </c>
      <c r="S10" s="201">
        <f t="shared" si="1"/>
        <v>0</v>
      </c>
      <c r="T10" s="201">
        <f t="shared" si="1"/>
        <v>0</v>
      </c>
      <c r="U10" s="201">
        <f t="shared" si="1"/>
        <v>0</v>
      </c>
      <c r="V10" s="201">
        <f t="shared" si="1"/>
        <v>0</v>
      </c>
      <c r="W10" s="201">
        <f t="shared" si="1"/>
        <v>0</v>
      </c>
      <c r="X10" s="201">
        <f t="shared" si="1"/>
        <v>0</v>
      </c>
      <c r="Y10" s="201">
        <f t="shared" si="1"/>
        <v>0</v>
      </c>
      <c r="Z10" s="201">
        <f t="shared" si="1"/>
        <v>0</v>
      </c>
      <c r="AA10" s="201">
        <f t="shared" si="1"/>
        <v>0</v>
      </c>
      <c r="AB10" s="201">
        <f t="shared" si="1"/>
        <v>0</v>
      </c>
      <c r="AC10" s="201">
        <f t="shared" si="1"/>
        <v>0</v>
      </c>
      <c r="AD10" s="201">
        <f t="shared" si="1"/>
        <v>0</v>
      </c>
      <c r="AE10" s="201">
        <f t="shared" si="1"/>
        <v>0</v>
      </c>
      <c r="AF10" s="201">
        <f t="shared" si="1"/>
        <v>0</v>
      </c>
      <c r="AG10" s="201">
        <f t="shared" si="1"/>
        <v>0</v>
      </c>
      <c r="AH10" s="201">
        <f t="shared" si="1"/>
        <v>0</v>
      </c>
      <c r="AI10" s="201">
        <f t="shared" si="1"/>
        <v>0</v>
      </c>
      <c r="AJ10" s="201">
        <f t="shared" si="1"/>
        <v>0</v>
      </c>
      <c r="AK10" s="201">
        <f t="shared" si="1"/>
        <v>0</v>
      </c>
      <c r="AL10" s="201">
        <f t="shared" si="1"/>
        <v>0</v>
      </c>
      <c r="AM10" s="201">
        <f t="shared" si="1"/>
        <v>0</v>
      </c>
      <c r="AN10" s="201">
        <f t="shared" si="1"/>
        <v>0</v>
      </c>
      <c r="AO10" s="201">
        <f t="shared" si="1"/>
        <v>0</v>
      </c>
      <c r="AP10" s="201">
        <f t="shared" si="1"/>
        <v>0</v>
      </c>
      <c r="AQ10" s="201">
        <f t="shared" si="1"/>
        <v>0</v>
      </c>
      <c r="AR10" s="201">
        <f t="shared" si="1"/>
        <v>0</v>
      </c>
      <c r="AS10" s="201">
        <f t="shared" si="1"/>
        <v>0</v>
      </c>
      <c r="AT10" s="201">
        <f t="shared" si="1"/>
        <v>0</v>
      </c>
      <c r="AU10" s="201">
        <f t="shared" si="1"/>
        <v>0</v>
      </c>
      <c r="AV10" s="201">
        <f t="shared" si="1"/>
        <v>0</v>
      </c>
      <c r="AW10" s="201">
        <f t="shared" si="1"/>
        <v>0</v>
      </c>
      <c r="AX10" s="201">
        <f t="shared" si="1"/>
        <v>0</v>
      </c>
      <c r="AY10" s="201">
        <f t="shared" si="1"/>
        <v>0</v>
      </c>
      <c r="AZ10" s="216">
        <f t="shared" si="1"/>
        <v>0</v>
      </c>
      <c r="BA10" s="201">
        <f t="shared" si="1"/>
        <v>0</v>
      </c>
      <c r="BB10" s="201">
        <f t="shared" si="1"/>
        <v>0</v>
      </c>
      <c r="BC10" s="201">
        <f t="shared" si="1"/>
        <v>0</v>
      </c>
      <c r="BD10" s="201">
        <f t="shared" si="1"/>
        <v>0</v>
      </c>
      <c r="BE10" s="201">
        <f t="shared" si="1"/>
        <v>0</v>
      </c>
      <c r="BF10" s="201">
        <f t="shared" si="1"/>
        <v>0</v>
      </c>
      <c r="BG10" s="201">
        <f t="shared" si="1"/>
        <v>0</v>
      </c>
      <c r="BH10" s="201">
        <f t="shared" si="1"/>
        <v>0</v>
      </c>
      <c r="BI10" s="201">
        <f t="shared" si="1"/>
        <v>0</v>
      </c>
      <c r="BJ10" s="201">
        <f t="shared" si="1"/>
        <v>0</v>
      </c>
      <c r="BK10" s="201">
        <f t="shared" si="1"/>
        <v>0</v>
      </c>
      <c r="BL10" s="201">
        <f t="shared" si="1"/>
        <v>0</v>
      </c>
    </row>
    <row r="11" spans="1:64" ht="13.5" thickBot="1" x14ac:dyDescent="0.25">
      <c r="B11" s="325">
        <v>43586</v>
      </c>
      <c r="C11" s="62" t="s">
        <v>6</v>
      </c>
      <c r="D11" s="31">
        <f>SUM(E11:AW11)</f>
        <v>95000</v>
      </c>
      <c r="E11" s="285" cm="1">
        <f t="array" ref="E11">_xlfn._xlws.FILTER(CLIENTES!$E21:$BO21,(CLIENTES!$E$5:$BO$5=E$5)*(CLIENTES!$E$9:$BO$9="VENDA"),0)</f>
        <v>45000</v>
      </c>
      <c r="F11" s="285" cm="1">
        <f t="array" ref="F11">_xlfn._xlws.FILTER(CLIENTES!$E21:$BO21,(CLIENTES!$E$5:$BO$5=F$5)*(CLIENTES!$E$9:$BO$9="VENDA"),0)</f>
        <v>50000</v>
      </c>
      <c r="G11" s="285" cm="1">
        <f t="array" ref="G11">_xlfn._xlws.FILTER(CLIENTES!$E21:$BO21,(CLIENTES!$E$5:$BO$5=G$5)*(CLIENTES!$E$9:$BO$9="VENDA"),0)</f>
        <v>0</v>
      </c>
      <c r="H11" s="285" cm="1">
        <f t="array" ref="H11">_xlfn._xlws.FILTER(CLIENTES!$E21:$BO21,(CLIENTES!$E$5:$BO$5=H$5)*(CLIENTES!$E$9:$BO$9="VENDA"),0)</f>
        <v>0</v>
      </c>
      <c r="I11" s="285" cm="1">
        <f t="array" ref="I11">_xlfn._xlws.FILTER(CLIENTES!$E21:$BO21,(CLIENTES!$E$5:$BO$5=I$5)*(CLIENTES!$E$9:$BO$9="VENDA"),0)</f>
        <v>0</v>
      </c>
      <c r="J11" s="285" cm="1">
        <f t="array" ref="J11">_xlfn._xlws.FILTER(CLIENTES!$E21:$BO21,(CLIENTES!$E$5:$BO$5=J$5)*(CLIENTES!$E$9:$BO$9="VENDA"),0)</f>
        <v>0</v>
      </c>
      <c r="K11" s="285" cm="1">
        <f t="array" ref="K11">_xlfn._xlws.FILTER(CLIENTES!$E21:$BO21,(CLIENTES!$E$5:$BO$5=K$5)*(CLIENTES!$E$9:$BO$9="VENDA"),0)</f>
        <v>0</v>
      </c>
      <c r="L11" s="285" cm="1">
        <f t="array" ref="L11">_xlfn._xlws.FILTER(CLIENTES!$E21:$BO21,(CLIENTES!$E$5:$BO$5=L$5)*(CLIENTES!$E$9:$BO$9="VENDA"),0)</f>
        <v>0</v>
      </c>
      <c r="M11" s="285" cm="1">
        <f t="array" ref="M11">_xlfn._xlws.FILTER(CLIENTES!$E21:$BO21,(CLIENTES!$E$5:$BO$5=M$5)*(CLIENTES!$E$9:$BO$9="VENDA"),0)</f>
        <v>0</v>
      </c>
      <c r="N11" s="285" cm="1">
        <f t="array" ref="N11">_xlfn._xlws.FILTER(CLIENTES!$E21:$BO21,(CLIENTES!$E$5:$BO$5=N$5)*(CLIENTES!$E$9:$BO$9="VENDA"),0)</f>
        <v>0</v>
      </c>
      <c r="O11" s="285" cm="1">
        <f t="array" ref="O11">_xlfn._xlws.FILTER(CLIENTES!$E21:$BO21,(CLIENTES!$E$5:$BO$5=O$5)*(CLIENTES!$E$9:$BO$9="VENDA"),0)</f>
        <v>0</v>
      </c>
      <c r="P11" s="285" cm="1">
        <f t="array" ref="P11">_xlfn._xlws.FILTER(CLIENTES!$E21:$BO21,(CLIENTES!$E$5:$BO$5=P$5)*(CLIENTES!$E$9:$BO$9="VENDA"),0)</f>
        <v>0</v>
      </c>
      <c r="Q11" s="285" cm="1">
        <f t="array" ref="Q11">_xlfn._xlws.FILTER(CLIENTES!$E21:$BO21,(CLIENTES!$E$5:$BO$5=Q$5)*(CLIENTES!$E$9:$BO$9="VENDA"),0)</f>
        <v>0</v>
      </c>
      <c r="R11" s="285" cm="1">
        <f t="array" ref="R11">_xlfn._xlws.FILTER(CLIENTES!$E21:$BO21,(CLIENTES!$E$5:$BO$5=R$5)*(CLIENTES!$E$9:$BO$9="VENDA"),0)</f>
        <v>0</v>
      </c>
      <c r="S11" s="285" cm="1">
        <f t="array" ref="S11">_xlfn._xlws.FILTER(CLIENTES!$E21:$BO21,(CLIENTES!$E$5:$BO$5=S$5)*(CLIENTES!$E$9:$BO$9="VENDA"),0)</f>
        <v>0</v>
      </c>
      <c r="T11" s="285" cm="1">
        <f t="array" ref="T11">_xlfn._xlws.FILTER(CLIENTES!$E21:$BO21,(CLIENTES!$E$5:$BO$5=T$5)*(CLIENTES!$E$9:$BO$9="VENDA"),0)</f>
        <v>0</v>
      </c>
      <c r="U11" s="285" cm="1">
        <f t="array" ref="U11">_xlfn._xlws.FILTER(CLIENTES!$E21:$BO21,(CLIENTES!$E$5:$BO$5=U$5)*(CLIENTES!$E$9:$BO$9="VENDA"),0)</f>
        <v>0</v>
      </c>
      <c r="V11" s="285" cm="1">
        <f t="array" ref="V11">_xlfn._xlws.FILTER(CLIENTES!$E21:$BO21,(CLIENTES!$E$5:$BO$5=V$5)*(CLIENTES!$E$9:$BO$9="VENDA"),0)</f>
        <v>0</v>
      </c>
      <c r="W11" s="285" cm="1">
        <f t="array" ref="W11">_xlfn._xlws.FILTER(CLIENTES!$E21:$BO21,(CLIENTES!$E$5:$BO$5=W$5)*(CLIENTES!$E$9:$BO$9="VENDA"),0)</f>
        <v>0</v>
      </c>
      <c r="X11" s="285" cm="1">
        <f t="array" ref="X11">_xlfn._xlws.FILTER(CLIENTES!$E21:$BO21,(CLIENTES!$E$5:$BO$5=X$5)*(CLIENTES!$E$9:$BO$9="VENDA"),0)</f>
        <v>0</v>
      </c>
      <c r="Y11" s="285" cm="1">
        <f t="array" ref="Y11">_xlfn._xlws.FILTER(CLIENTES!$E21:$BO21,(CLIENTES!$E$5:$BO$5=Y$5)*(CLIENTES!$E$9:$BO$9="VENDA"),0)</f>
        <v>0</v>
      </c>
      <c r="Z11" s="285" cm="1">
        <f t="array" ref="Z11">_xlfn._xlws.FILTER(CLIENTES!$E21:$BO21,(CLIENTES!$E$5:$BO$5=Z$5)*(CLIENTES!$E$9:$BO$9="VENDA"),0)</f>
        <v>0</v>
      </c>
      <c r="AA11" s="285" cm="1">
        <f t="array" ref="AA11">_xlfn._xlws.FILTER(CLIENTES!$E21:$BO21,(CLIENTES!$E$5:$BO$5=AA$5)*(CLIENTES!$E$9:$BO$9="VENDA"),0)</f>
        <v>0</v>
      </c>
      <c r="AB11" s="285" cm="1">
        <f t="array" ref="AB11">_xlfn._xlws.FILTER(CLIENTES!$E21:$BO21,(CLIENTES!$E$5:$BO$5=AB$5)*(CLIENTES!$E$9:$BO$9="VENDA"),0)</f>
        <v>0</v>
      </c>
      <c r="AC11" s="285" cm="1">
        <f t="array" ref="AC11">_xlfn._xlws.FILTER(CLIENTES!$E21:$BO21,(CLIENTES!$E$5:$BO$5=AC$5)*(CLIENTES!$E$9:$BO$9="VENDA"),0)</f>
        <v>0</v>
      </c>
      <c r="AD11" s="285" cm="1">
        <f t="array" ref="AD11">_xlfn._xlws.FILTER(CLIENTES!$E21:$BO21,(CLIENTES!$E$5:$BO$5=AD$5)*(CLIENTES!$E$9:$BO$9="VENDA"),0)</f>
        <v>0</v>
      </c>
      <c r="AE11" s="285" cm="1">
        <f t="array" ref="AE11">_xlfn._xlws.FILTER(CLIENTES!$E21:$BO21,(CLIENTES!$E$5:$BO$5=AE$5)*(CLIENTES!$E$9:$BO$9="VENDA"),0)</f>
        <v>0</v>
      </c>
      <c r="AF11" s="285" cm="1">
        <f t="array" ref="AF11">_xlfn._xlws.FILTER(CLIENTES!$E21:$BO21,(CLIENTES!$E$5:$BO$5=AF$5)*(CLIENTES!$E$9:$BO$9="VENDA"),0)</f>
        <v>0</v>
      </c>
      <c r="AG11" s="285" cm="1">
        <f t="array" ref="AG11">_xlfn._xlws.FILTER(CLIENTES!$E21:$BO21,(CLIENTES!$E$5:$BO$5=AG$5)*(CLIENTES!$E$9:$BO$9="VENDA"),0)</f>
        <v>0</v>
      </c>
      <c r="AH11" s="285" cm="1">
        <f t="array" ref="AH11">_xlfn._xlws.FILTER(CLIENTES!$E21:$BO21,(CLIENTES!$E$5:$BO$5=AH$5)*(CLIENTES!$E$9:$BO$9="VENDA"),0)</f>
        <v>0</v>
      </c>
      <c r="AI11" s="285" cm="1">
        <f t="array" ref="AI11">_xlfn._xlws.FILTER(CLIENTES!$E21:$BO21,(CLIENTES!$E$5:$BO$5=AI$5)*(CLIENTES!$E$9:$BO$9="VENDA"),0)</f>
        <v>0</v>
      </c>
      <c r="AJ11" s="285" cm="1">
        <f t="array" ref="AJ11">_xlfn._xlws.FILTER(CLIENTES!$E21:$BO21,(CLIENTES!$E$5:$BO$5=AJ$5)*(CLIENTES!$E$9:$BO$9="VENDA"),0)</f>
        <v>0</v>
      </c>
      <c r="AK11" s="285" cm="1">
        <f t="array" ref="AK11">_xlfn._xlws.FILTER(CLIENTES!$E21:$BO21,(CLIENTES!$E$5:$BO$5=AK$5)*(CLIENTES!$E$9:$BO$9="VENDA"),0)</f>
        <v>0</v>
      </c>
      <c r="AL11" s="285" cm="1">
        <f t="array" ref="AL11">_xlfn._xlws.FILTER(CLIENTES!$E21:$BO21,(CLIENTES!$E$5:$BO$5=AL$5)*(CLIENTES!$E$9:$BO$9="VENDA"),0)</f>
        <v>0</v>
      </c>
      <c r="AM11" s="285" cm="1">
        <f t="array" ref="AM11">_xlfn._xlws.FILTER(CLIENTES!$E21:$BO21,(CLIENTES!$E$5:$BO$5=AM$5)*(CLIENTES!$E$9:$BO$9="VENDA"),0)</f>
        <v>0</v>
      </c>
      <c r="AN11" s="285" cm="1">
        <f t="array" ref="AN11">_xlfn._xlws.FILTER(CLIENTES!$E21:$BO21,(CLIENTES!$E$5:$BO$5=AN$5)*(CLIENTES!$E$9:$BO$9="VENDA"),0)</f>
        <v>0</v>
      </c>
      <c r="AO11" s="285" cm="1">
        <f t="array" ref="AO11">_xlfn._xlws.FILTER(CLIENTES!$E21:$BO21,(CLIENTES!$E$5:$BO$5=AO$5)*(CLIENTES!$E$9:$BO$9="VENDA"),0)</f>
        <v>0</v>
      </c>
      <c r="AP11" s="285" cm="1">
        <f t="array" ref="AP11">_xlfn._xlws.FILTER(CLIENTES!$E21:$BO21,(CLIENTES!$E$5:$BO$5=AP$5)*(CLIENTES!$E$9:$BO$9="VENDA"),0)</f>
        <v>0</v>
      </c>
      <c r="AQ11" s="285" cm="1">
        <f t="array" ref="AQ11">_xlfn._xlws.FILTER(CLIENTES!$E21:$BO21,(CLIENTES!$E$5:$BO$5=AQ$5)*(CLIENTES!$E$9:$BO$9="VENDA"),0)</f>
        <v>0</v>
      </c>
      <c r="AR11" s="285" cm="1">
        <f t="array" ref="AR11">_xlfn._xlws.FILTER(CLIENTES!$E21:$BO21,(CLIENTES!$E$5:$BO$5=AR$5)*(CLIENTES!$E$9:$BO$9="VENDA"),0)</f>
        <v>0</v>
      </c>
      <c r="AS11" s="285" cm="1">
        <f t="array" ref="AS11">_xlfn._xlws.FILTER(CLIENTES!$E21:$BO21,(CLIENTES!$E$5:$BO$5=AS$5)*(CLIENTES!$E$9:$BO$9="VENDA"),0)</f>
        <v>0</v>
      </c>
      <c r="AT11" s="285" cm="1">
        <f t="array" ref="AT11">_xlfn._xlws.FILTER(CLIENTES!$E21:$BO21,(CLIENTES!$E$5:$BO$5=AT$5)*(CLIENTES!$E$9:$BO$9="VENDA"),0)</f>
        <v>0</v>
      </c>
      <c r="AU11" s="285" cm="1">
        <f t="array" ref="AU11">_xlfn._xlws.FILTER(CLIENTES!$E21:$BO21,(CLIENTES!$E$5:$BO$5=AU$5)*(CLIENTES!$E$9:$BO$9="VENDA"),0)</f>
        <v>0</v>
      </c>
      <c r="AV11" s="285" cm="1">
        <f t="array" ref="AV11">_xlfn._xlws.FILTER(CLIENTES!$E21:$BO21,(CLIENTES!$E$5:$BO$5=AV$5)*(CLIENTES!$E$9:$BO$9="VENDA"),0)</f>
        <v>0</v>
      </c>
      <c r="AW11" s="285" cm="1">
        <f t="array" ref="AW11">_xlfn._xlws.FILTER(CLIENTES!$E21:$BO21,(CLIENTES!$E$5:$BO$5=AW$5)*(CLIENTES!$E$9:$BO$9="VENDA"),0)</f>
        <v>0</v>
      </c>
      <c r="AX11" s="285" cm="1">
        <f t="array" ref="AX11">_xlfn._xlws.FILTER(CLIENTES!$E21:$BO21,(CLIENTES!$E$5:$BO$5=AX$5)*(CLIENTES!$E$9:$BO$9="VENDA"),0)</f>
        <v>0</v>
      </c>
      <c r="AY11" s="285" cm="1">
        <f t="array" ref="AY11">_xlfn._xlws.FILTER(CLIENTES!$E21:$BO21,(CLIENTES!$E$5:$BO$5=AY$5)*(CLIENTES!$E$9:$BO$9="VENDA"),0)</f>
        <v>0</v>
      </c>
      <c r="AZ11" s="285" cm="1">
        <f t="array" ref="AZ11">_xlfn._xlws.FILTER(CLIENTES!$E21:$BO21,(CLIENTES!$E$5:$BO$5=AZ$5)*(CLIENTES!$E$9:$BO$9="VENDA"),0)</f>
        <v>0</v>
      </c>
      <c r="BA11" s="285" cm="1">
        <f t="array" ref="BA11">_xlfn._xlws.FILTER(CLIENTES!$E21:$BO21,(CLIENTES!$E$5:$BO$5=BA$5)*(CLIENTES!$E$9:$BO$9="VENDA"),0)</f>
        <v>0</v>
      </c>
      <c r="BB11" s="285" cm="1">
        <f t="array" ref="BB11">_xlfn._xlws.FILTER(CLIENTES!$E21:$BO21,(CLIENTES!$E$5:$BO$5=BB$5)*(CLIENTES!$E$9:$BO$9="VENDA"),0)</f>
        <v>0</v>
      </c>
      <c r="BC11" s="285" cm="1">
        <f t="array" ref="BC11">_xlfn._xlws.FILTER(CLIENTES!$E21:$BO21,(CLIENTES!$E$5:$BO$5=BC$5)*(CLIENTES!$E$9:$BO$9="VENDA"),0)</f>
        <v>0</v>
      </c>
      <c r="BD11" s="285" cm="1">
        <f t="array" ref="BD11">_xlfn._xlws.FILTER(CLIENTES!$E21:$BO21,(CLIENTES!$E$5:$BO$5=BD$5)*(CLIENTES!$E$9:$BO$9="VENDA"),0)</f>
        <v>0</v>
      </c>
      <c r="BE11" s="285" cm="1">
        <f t="array" ref="BE11">_xlfn._xlws.FILTER(CLIENTES!$E21:$BO21,(CLIENTES!$E$5:$BO$5=BE$5)*(CLIENTES!$E$9:$BO$9="VENDA"),0)</f>
        <v>0</v>
      </c>
      <c r="BF11" s="285" cm="1">
        <f t="array" ref="BF11">_xlfn._xlws.FILTER(CLIENTES!$E21:$BO21,(CLIENTES!$E$5:$BO$5=BF$5)*(CLIENTES!$E$9:$BO$9="VENDA"),0)</f>
        <v>0</v>
      </c>
      <c r="BG11" s="285" cm="1">
        <f t="array" ref="BG11">_xlfn._xlws.FILTER(CLIENTES!$E21:$BO21,(CLIENTES!$E$5:$BO$5=BG$5)*(CLIENTES!$E$9:$BO$9="VENDA"),0)</f>
        <v>0</v>
      </c>
      <c r="BH11" s="285" cm="1">
        <f t="array" ref="BH11">_xlfn._xlws.FILTER(CLIENTES!$E21:$BO21,(CLIENTES!$E$5:$BO$5=BH$5)*(CLIENTES!$E$9:$BO$9="VENDA"),0)</f>
        <v>0</v>
      </c>
      <c r="BI11" s="285" cm="1">
        <f t="array" ref="BI11">_xlfn._xlws.FILTER(CLIENTES!$E21:$BO21,(CLIENTES!$E$5:$BO$5=BI$5)*(CLIENTES!$E$9:$BO$9="VENDA"),0)</f>
        <v>0</v>
      </c>
      <c r="BJ11" s="285" cm="1">
        <f t="array" ref="BJ11">_xlfn._xlws.FILTER(CLIENTES!$E21:$BO21,(CLIENTES!$E$5:$BO$5=BJ$5)*(CLIENTES!$E$9:$BO$9="VENDA"),0)</f>
        <v>0</v>
      </c>
      <c r="BK11" s="285" cm="1">
        <f t="array" ref="BK11">_xlfn._xlws.FILTER(CLIENTES!$E21:$BO21,(CLIENTES!$E$5:$BO$5=BK$5)*(CLIENTES!$E$9:$BO$9="VENDA"),0)</f>
        <v>0</v>
      </c>
      <c r="BL11" s="285" cm="1">
        <f t="array" ref="BL11">_xlfn._xlws.FILTER(CLIENTES!$E21:$BO21,(CLIENTES!$E$5:$BO$5=BL$5)*(CLIENTES!$E$9:$BO$9="VENDA"),0)</f>
        <v>0</v>
      </c>
    </row>
    <row r="12" spans="1:64" ht="13.5" thickBot="1" x14ac:dyDescent="0.25">
      <c r="B12" s="326"/>
      <c r="C12" s="23" t="s">
        <v>9</v>
      </c>
      <c r="D12" s="27">
        <f>SUM(E12:AW12)</f>
        <v>0</v>
      </c>
      <c r="E12" s="285" cm="1">
        <f t="array" ref="E12">_xlfn._xlws.FILTER(CLIENTES!$E$22:$BO$22,(CLIENTES!$E$5:$BO$5=E$5)*(CLIENTES!$E$8:$BO$8="VENDA"),0)</f>
        <v>0</v>
      </c>
      <c r="F12" s="285" cm="1">
        <f t="array" ref="F12">_xlfn._xlws.FILTER(CLIENTES!$E$22:$BO$22,(CLIENTES!$E$5:$BO$5=F$5)*(CLIENTES!$E$8:$BO$8="VENDA"),0)</f>
        <v>0</v>
      </c>
      <c r="G12" s="285" cm="1">
        <f t="array" ref="G12">_xlfn._xlws.FILTER(CLIENTES!$E$22:$BO$22,(CLIENTES!$E$5:$BO$5=G$5)*(CLIENTES!$E$8:$BO$8="VENDA"),0)</f>
        <v>0</v>
      </c>
      <c r="H12" s="285" cm="1">
        <f t="array" ref="H12">_xlfn._xlws.FILTER(CLIENTES!$E$22:$BO$22,(CLIENTES!$E$5:$BO$5=H$5)*(CLIENTES!$E$8:$BO$8="VENDA"),0)</f>
        <v>0</v>
      </c>
      <c r="I12" s="285" cm="1">
        <f t="array" ref="I12">_xlfn._xlws.FILTER(CLIENTES!$E$22:$BO$22,(CLIENTES!$E$5:$BO$5=I$5)*(CLIENTES!$E$8:$BO$8="VENDA"),0)</f>
        <v>0</v>
      </c>
      <c r="J12" s="285" cm="1">
        <f t="array" ref="J12">_xlfn._xlws.FILTER(CLIENTES!$E$22:$BO$22,(CLIENTES!$E$5:$BO$5=J$5)*(CLIENTES!$E$8:$BO$8="VENDA"),0)</f>
        <v>0</v>
      </c>
      <c r="K12" s="285" cm="1">
        <f t="array" ref="K12">_xlfn._xlws.FILTER(CLIENTES!$E$22:$BO$22,(CLIENTES!$E$5:$BO$5=K$5)*(CLIENTES!$E$8:$BO$8="VENDA"),0)</f>
        <v>0</v>
      </c>
      <c r="L12" s="285" cm="1">
        <f t="array" ref="L12">_xlfn._xlws.FILTER(CLIENTES!$E$22:$BO$22,(CLIENTES!$E$5:$BO$5=L$5)*(CLIENTES!$E$8:$BO$8="VENDA"),0)</f>
        <v>0</v>
      </c>
      <c r="M12" s="285" cm="1">
        <f t="array" ref="M12">_xlfn._xlws.FILTER(CLIENTES!$E$22:$BO$22,(CLIENTES!$E$5:$BO$5=M$5)*(CLIENTES!$E$8:$BO$8="VENDA"),0)</f>
        <v>0</v>
      </c>
      <c r="N12" s="285" cm="1">
        <f t="array" ref="N12">_xlfn._xlws.FILTER(CLIENTES!$E$22:$BO$22,(CLIENTES!$E$5:$BO$5=N$5)*(CLIENTES!$E$8:$BO$8="VENDA"),0)</f>
        <v>0</v>
      </c>
      <c r="O12" s="285" cm="1">
        <f t="array" ref="O12">_xlfn._xlws.FILTER(CLIENTES!$E$22:$BO$22,(CLIENTES!$E$5:$BO$5=O$5)*(CLIENTES!$E$8:$BO$8="VENDA"),0)</f>
        <v>0</v>
      </c>
      <c r="P12" s="285" cm="1">
        <f t="array" ref="P12">_xlfn._xlws.FILTER(CLIENTES!$E$22:$BO$22,(CLIENTES!$E$5:$BO$5=P$5)*(CLIENTES!$E$8:$BO$8="VENDA"),0)</f>
        <v>0</v>
      </c>
      <c r="Q12" s="285" cm="1">
        <f t="array" ref="Q12">_xlfn._xlws.FILTER(CLIENTES!$E$22:$BO$22,(CLIENTES!$E$5:$BO$5=Q$5)*(CLIENTES!$E$8:$BO$8="VENDA"),0)</f>
        <v>0</v>
      </c>
      <c r="R12" s="285" cm="1">
        <f t="array" ref="R12">_xlfn._xlws.FILTER(CLIENTES!$E$22:$BO$22,(CLIENTES!$E$5:$BO$5=R$5)*(CLIENTES!$E$8:$BO$8="VENDA"),0)</f>
        <v>0</v>
      </c>
      <c r="S12" s="285" cm="1">
        <f t="array" ref="S12">_xlfn._xlws.FILTER(CLIENTES!$E$22:$BO$22,(CLIENTES!$E$5:$BO$5=S$5)*(CLIENTES!$E$8:$BO$8="VENDA"),0)</f>
        <v>0</v>
      </c>
      <c r="T12" s="285" cm="1">
        <f t="array" ref="T12">_xlfn._xlws.FILTER(CLIENTES!$E$22:$BO$22,(CLIENTES!$E$5:$BO$5=T$5)*(CLIENTES!$E$8:$BO$8="VENDA"),0)</f>
        <v>0</v>
      </c>
      <c r="U12" s="285" cm="1">
        <f t="array" ref="U12">_xlfn._xlws.FILTER(CLIENTES!$E$22:$BO$22,(CLIENTES!$E$5:$BO$5=U$5)*(CLIENTES!$E$8:$BO$8="VENDA"),0)</f>
        <v>0</v>
      </c>
      <c r="V12" s="285" cm="1">
        <f t="array" ref="V12">_xlfn._xlws.FILTER(CLIENTES!$E$22:$BO$22,(CLIENTES!$E$5:$BO$5=V$5)*(CLIENTES!$E$8:$BO$8="VENDA"),0)</f>
        <v>0</v>
      </c>
      <c r="W12" s="285" cm="1">
        <f t="array" ref="W12">_xlfn._xlws.FILTER(CLIENTES!$E$22:$BO$22,(CLIENTES!$E$5:$BO$5=W$5)*(CLIENTES!$E$8:$BO$8="VENDA"),0)</f>
        <v>0</v>
      </c>
      <c r="X12" s="285" cm="1">
        <f t="array" ref="X12">_xlfn._xlws.FILTER(CLIENTES!$E$22:$BO$22,(CLIENTES!$E$5:$BO$5=X$5)*(CLIENTES!$E$8:$BO$8="VENDA"),0)</f>
        <v>0</v>
      </c>
      <c r="Y12" s="285" cm="1">
        <f t="array" ref="Y12">_xlfn._xlws.FILTER(CLIENTES!$E$22:$BO$22,(CLIENTES!$E$5:$BO$5=Y$5)*(CLIENTES!$E$8:$BO$8="VENDA"),0)</f>
        <v>0</v>
      </c>
      <c r="Z12" s="285" cm="1">
        <f t="array" ref="Z12">_xlfn._xlws.FILTER(CLIENTES!$E$22:$BO$22,(CLIENTES!$E$5:$BO$5=Z$5)*(CLIENTES!$E$8:$BO$8="VENDA"),0)</f>
        <v>0</v>
      </c>
      <c r="AA12" s="285" cm="1">
        <f t="array" ref="AA12">_xlfn._xlws.FILTER(CLIENTES!$E$22:$BO$22,(CLIENTES!$E$5:$BO$5=AA$5)*(CLIENTES!$E$8:$BO$8="VENDA"),0)</f>
        <v>0</v>
      </c>
      <c r="AB12" s="285" cm="1">
        <f t="array" ref="AB12">_xlfn._xlws.FILTER(CLIENTES!$E$22:$BO$22,(CLIENTES!$E$5:$BO$5=AB$5)*(CLIENTES!$E$8:$BO$8="VENDA"),0)</f>
        <v>0</v>
      </c>
      <c r="AC12" s="285" cm="1">
        <f t="array" ref="AC12">_xlfn._xlws.FILTER(CLIENTES!$E$22:$BO$22,(CLIENTES!$E$5:$BO$5=AC$5)*(CLIENTES!$E$8:$BO$8="VENDA"),0)</f>
        <v>0</v>
      </c>
      <c r="AD12" s="285" cm="1">
        <f t="array" ref="AD12">_xlfn._xlws.FILTER(CLIENTES!$E$22:$BO$22,(CLIENTES!$E$5:$BO$5=AD$5)*(CLIENTES!$E$8:$BO$8="VENDA"),0)</f>
        <v>0</v>
      </c>
      <c r="AE12" s="285" cm="1">
        <f t="array" ref="AE12">_xlfn._xlws.FILTER(CLIENTES!$E$22:$BO$22,(CLIENTES!$E$5:$BO$5=AE$5)*(CLIENTES!$E$8:$BO$8="VENDA"),0)</f>
        <v>0</v>
      </c>
      <c r="AF12" s="285" cm="1">
        <f t="array" ref="AF12">_xlfn._xlws.FILTER(CLIENTES!$E$22:$BO$22,(CLIENTES!$E$5:$BO$5=AF$5)*(CLIENTES!$E$8:$BO$8="VENDA"),0)</f>
        <v>0</v>
      </c>
      <c r="AG12" s="285" cm="1">
        <f t="array" ref="AG12">_xlfn._xlws.FILTER(CLIENTES!$E$22:$BO$22,(CLIENTES!$E$5:$BO$5=AG$5)*(CLIENTES!$E$8:$BO$8="VENDA"),0)</f>
        <v>0</v>
      </c>
      <c r="AH12" s="285" cm="1">
        <f t="array" ref="AH12">_xlfn._xlws.FILTER(CLIENTES!$E$22:$BO$22,(CLIENTES!$E$5:$BO$5=AH$5)*(CLIENTES!$E$8:$BO$8="VENDA"),0)</f>
        <v>0</v>
      </c>
      <c r="AI12" s="285" cm="1">
        <f t="array" ref="AI12">_xlfn._xlws.FILTER(CLIENTES!$E$22:$BO$22,(CLIENTES!$E$5:$BO$5=AI$5)*(CLIENTES!$E$8:$BO$8="VENDA"),0)</f>
        <v>0</v>
      </c>
      <c r="AJ12" s="285" cm="1">
        <f t="array" ref="AJ12">_xlfn._xlws.FILTER(CLIENTES!$E$22:$BO$22,(CLIENTES!$E$5:$BO$5=AJ$5)*(CLIENTES!$E$8:$BO$8="VENDA"),0)</f>
        <v>0</v>
      </c>
      <c r="AK12" s="285" cm="1">
        <f t="array" ref="AK12">_xlfn._xlws.FILTER(CLIENTES!$E$22:$BO$22,(CLIENTES!$E$5:$BO$5=AK$5)*(CLIENTES!$E$8:$BO$8="VENDA"),0)</f>
        <v>0</v>
      </c>
      <c r="AL12" s="285" cm="1">
        <f t="array" ref="AL12">_xlfn._xlws.FILTER(CLIENTES!$E$22:$BO$22,(CLIENTES!$E$5:$BO$5=AL$5)*(CLIENTES!$E$8:$BO$8="VENDA"),0)</f>
        <v>0</v>
      </c>
      <c r="AM12" s="285" cm="1">
        <f t="array" ref="AM12">_xlfn._xlws.FILTER(CLIENTES!$E$22:$BO$22,(CLIENTES!$E$5:$BO$5=AM$5)*(CLIENTES!$E$8:$BO$8="VENDA"),0)</f>
        <v>0</v>
      </c>
      <c r="AN12" s="285" cm="1">
        <f t="array" ref="AN12">_xlfn._xlws.FILTER(CLIENTES!$E$22:$BO$22,(CLIENTES!$E$5:$BO$5=AN$5)*(CLIENTES!$E$8:$BO$8="VENDA"),0)</f>
        <v>0</v>
      </c>
      <c r="AO12" s="285" cm="1">
        <f t="array" ref="AO12">_xlfn._xlws.FILTER(CLIENTES!$E$22:$BO$22,(CLIENTES!$E$5:$BO$5=AO$5)*(CLIENTES!$E$8:$BO$8="VENDA"),0)</f>
        <v>0</v>
      </c>
      <c r="AP12" s="285" cm="1">
        <f t="array" ref="AP12">_xlfn._xlws.FILTER(CLIENTES!$E$22:$BO$22,(CLIENTES!$E$5:$BO$5=AP$5)*(CLIENTES!$E$8:$BO$8="VENDA"),0)</f>
        <v>0</v>
      </c>
      <c r="AQ12" s="285" cm="1">
        <f t="array" ref="AQ12">_xlfn._xlws.FILTER(CLIENTES!$E$22:$BO$22,(CLIENTES!$E$5:$BO$5=AQ$5)*(CLIENTES!$E$8:$BO$8="VENDA"),0)</f>
        <v>0</v>
      </c>
      <c r="AR12" s="285" cm="1">
        <f t="array" ref="AR12">_xlfn._xlws.FILTER(CLIENTES!$E$22:$BO$22,(CLIENTES!$E$5:$BO$5=AR$5)*(CLIENTES!$E$8:$BO$8="VENDA"),0)</f>
        <v>0</v>
      </c>
      <c r="AS12" s="285" cm="1">
        <f t="array" ref="AS12">_xlfn._xlws.FILTER(CLIENTES!$E$22:$BO$22,(CLIENTES!$E$5:$BO$5=AS$5)*(CLIENTES!$E$8:$BO$8="VENDA"),0)</f>
        <v>0</v>
      </c>
      <c r="AT12" s="285" cm="1">
        <f t="array" ref="AT12">_xlfn._xlws.FILTER(CLIENTES!$E$22:$BO$22,(CLIENTES!$E$5:$BO$5=AT$5)*(CLIENTES!$E$8:$BO$8="VENDA"),0)</f>
        <v>0</v>
      </c>
      <c r="AU12" s="285" cm="1">
        <f t="array" ref="AU12">_xlfn._xlws.FILTER(CLIENTES!$E$22:$BO$22,(CLIENTES!$E$5:$BO$5=AU$5)*(CLIENTES!$E$8:$BO$8="VENDA"),0)</f>
        <v>0</v>
      </c>
      <c r="AV12" s="285" cm="1">
        <f t="array" ref="AV12">_xlfn._xlws.FILTER(CLIENTES!$E$22:$BO$22,(CLIENTES!$E$5:$BO$5=AV$5)*(CLIENTES!$E$8:$BO$8="VENDA"),0)</f>
        <v>0</v>
      </c>
      <c r="AW12" s="285" cm="1">
        <f t="array" ref="AW12">_xlfn._xlws.FILTER(CLIENTES!$E$22:$BO$22,(CLIENTES!$E$5:$BO$5=AW$5)*(CLIENTES!$E$8:$BO$8="VENDA"),0)</f>
        <v>0</v>
      </c>
      <c r="AX12" s="285" cm="1">
        <f t="array" ref="AX12">_xlfn._xlws.FILTER(CLIENTES!$E$22:$BO$22,(CLIENTES!$E$5:$BO$5=AX$5)*(CLIENTES!$E$8:$BO$8="VENDA"),0)</f>
        <v>0</v>
      </c>
      <c r="AY12" s="285" cm="1">
        <f t="array" ref="AY12">_xlfn._xlws.FILTER(CLIENTES!$E$22:$BO$22,(CLIENTES!$E$5:$BO$5=AY$5)*(CLIENTES!$E$8:$BO$8="VENDA"),0)</f>
        <v>0</v>
      </c>
      <c r="AZ12" s="285" cm="1">
        <f t="array" ref="AZ12">_xlfn._xlws.FILTER(CLIENTES!$E$22:$BO$22,(CLIENTES!$E$5:$BO$5=AZ$5)*(CLIENTES!$E$8:$BO$8="VENDA"),0)</f>
        <v>0</v>
      </c>
      <c r="BA12" s="285" cm="1">
        <f t="array" ref="BA12">_xlfn._xlws.FILTER(CLIENTES!$E$22:$BO$22,(CLIENTES!$E$5:$BO$5=BA$5)*(CLIENTES!$E$8:$BO$8="VENDA"),0)</f>
        <v>0</v>
      </c>
      <c r="BB12" s="285" cm="1">
        <f t="array" ref="BB12">_xlfn._xlws.FILTER(CLIENTES!$E$22:$BO$22,(CLIENTES!$E$5:$BO$5=BB$5)*(CLIENTES!$E$8:$BO$8="VENDA"),0)</f>
        <v>0</v>
      </c>
      <c r="BC12" s="285" cm="1">
        <f t="array" ref="BC12">_xlfn._xlws.FILTER(CLIENTES!$E$22:$BO$22,(CLIENTES!$E$5:$BO$5=BC$5)*(CLIENTES!$E$8:$BO$8="VENDA"),0)</f>
        <v>0</v>
      </c>
      <c r="BD12" s="285" cm="1">
        <f t="array" ref="BD12">_xlfn._xlws.FILTER(CLIENTES!$E$22:$BO$22,(CLIENTES!$E$5:$BO$5=BD$5)*(CLIENTES!$E$8:$BO$8="VENDA"),0)</f>
        <v>0</v>
      </c>
      <c r="BE12" s="285" cm="1">
        <f t="array" ref="BE12">_xlfn._xlws.FILTER(CLIENTES!$E$22:$BO$22,(CLIENTES!$E$5:$BO$5=BE$5)*(CLIENTES!$E$8:$BO$8="VENDA"),0)</f>
        <v>0</v>
      </c>
      <c r="BF12" s="285" cm="1">
        <f t="array" ref="BF12">_xlfn._xlws.FILTER(CLIENTES!$E$22:$BO$22,(CLIENTES!$E$5:$BO$5=BF$5)*(CLIENTES!$E$8:$BO$8="VENDA"),0)</f>
        <v>0</v>
      </c>
      <c r="BG12" s="285" cm="1">
        <f t="array" ref="BG12">_xlfn._xlws.FILTER(CLIENTES!$E$22:$BO$22,(CLIENTES!$E$5:$BO$5=BG$5)*(CLIENTES!$E$8:$BO$8="VENDA"),0)</f>
        <v>0</v>
      </c>
      <c r="BH12" s="285" cm="1">
        <f t="array" ref="BH12">_xlfn._xlws.FILTER(CLIENTES!$E$22:$BO$22,(CLIENTES!$E$5:$BO$5=BH$5)*(CLIENTES!$E$8:$BO$8="VENDA"),0)</f>
        <v>0</v>
      </c>
      <c r="BI12" s="285" cm="1">
        <f t="array" ref="BI12">_xlfn._xlws.FILTER(CLIENTES!$E$22:$BO$22,(CLIENTES!$E$5:$BO$5=BI$5)*(CLIENTES!$E$8:$BO$8="VENDA"),0)</f>
        <v>0</v>
      </c>
      <c r="BJ12" s="285" cm="1">
        <f t="array" ref="BJ12">_xlfn._xlws.FILTER(CLIENTES!$E$22:$BO$22,(CLIENTES!$E$5:$BO$5=BJ$5)*(CLIENTES!$E$8:$BO$8="VENDA"),0)</f>
        <v>0</v>
      </c>
      <c r="BK12" s="285" cm="1">
        <f t="array" ref="BK12">_xlfn._xlws.FILTER(CLIENTES!$E$22:$BO$22,(CLIENTES!$E$5:$BO$5=BK$5)*(CLIENTES!$E$8:$BO$8="VENDA"),0)</f>
        <v>0</v>
      </c>
      <c r="BL12" s="285" cm="1">
        <f t="array" ref="BL12">_xlfn._xlws.FILTER(CLIENTES!$E$22:$BO$22,(CLIENTES!$E$5:$BO$5=BL$5)*(CLIENTES!$E$8:$BO$8="VENDA"),0)</f>
        <v>0</v>
      </c>
    </row>
    <row r="13" spans="1:64" x14ac:dyDescent="0.2">
      <c r="B13" s="326"/>
      <c r="C13" s="23" t="s">
        <v>10</v>
      </c>
      <c r="D13" s="72">
        <v>0</v>
      </c>
      <c r="E13" s="200">
        <f>CLIENTES!F24</f>
        <v>0</v>
      </c>
      <c r="F13" s="200">
        <f>CLIENTES!H24</f>
        <v>0</v>
      </c>
      <c r="G13" s="200">
        <f>CLIENTES!I24</f>
        <v>0</v>
      </c>
      <c r="H13" s="200">
        <f>CLIENTES!J24</f>
        <v>0</v>
      </c>
      <c r="I13" s="200">
        <f>CLIENTES!K24</f>
        <v>0</v>
      </c>
      <c r="J13" s="200">
        <f>CLIENTES!L24</f>
        <v>0</v>
      </c>
      <c r="K13" s="200">
        <f>CLIENTES!M24</f>
        <v>0</v>
      </c>
      <c r="L13" s="200">
        <f>CLIENTES!N24</f>
        <v>0</v>
      </c>
      <c r="M13" s="200">
        <f>CLIENTES!O24</f>
        <v>0</v>
      </c>
      <c r="N13" s="200">
        <f>CLIENTES!P24</f>
        <v>0</v>
      </c>
      <c r="O13" s="200">
        <f>CLIENTES!Q24</f>
        <v>0</v>
      </c>
      <c r="P13" s="200">
        <f>CLIENTES!R24</f>
        <v>0</v>
      </c>
      <c r="Q13" s="200">
        <f>CLIENTES!S24</f>
        <v>0</v>
      </c>
      <c r="R13" s="200">
        <f>CLIENTES!T24</f>
        <v>0</v>
      </c>
      <c r="S13" s="200">
        <f>CLIENTES!U24</f>
        <v>0</v>
      </c>
      <c r="T13" s="200">
        <f>CLIENTES!V24</f>
        <v>0</v>
      </c>
      <c r="U13" s="200">
        <f>CLIENTES!W24</f>
        <v>0</v>
      </c>
      <c r="V13" s="200">
        <f>CLIENTES!X24</f>
        <v>0</v>
      </c>
      <c r="W13" s="200">
        <f>CLIENTES!Y24</f>
        <v>0</v>
      </c>
      <c r="X13" s="200">
        <f>CLIENTES!Z24</f>
        <v>0</v>
      </c>
      <c r="Y13" s="200">
        <f>CLIENTES!AA24</f>
        <v>0</v>
      </c>
      <c r="Z13" s="200">
        <f>CLIENTES!AB24</f>
        <v>0</v>
      </c>
      <c r="AA13" s="200">
        <f>CLIENTES!AC24</f>
        <v>0</v>
      </c>
      <c r="AB13" s="200">
        <f>CLIENTES!AD24</f>
        <v>0</v>
      </c>
      <c r="AC13" s="200">
        <f>CLIENTES!AE24</f>
        <v>0</v>
      </c>
      <c r="AD13" s="200">
        <f>CLIENTES!AF24</f>
        <v>0</v>
      </c>
      <c r="AE13" s="200">
        <f>CLIENTES!AG24</f>
        <v>0</v>
      </c>
      <c r="AF13" s="200">
        <f>CLIENTES!AH24</f>
        <v>0</v>
      </c>
      <c r="AG13" s="200">
        <f>CLIENTES!AI24</f>
        <v>0</v>
      </c>
      <c r="AH13" s="200">
        <f>CLIENTES!AJ24</f>
        <v>0</v>
      </c>
      <c r="AI13" s="200">
        <f>CLIENTES!AK24</f>
        <v>0</v>
      </c>
      <c r="AJ13" s="200">
        <f>CLIENTES!AL24</f>
        <v>0</v>
      </c>
      <c r="AK13" s="200">
        <f>CLIENTES!AM24</f>
        <v>0</v>
      </c>
      <c r="AL13" s="200">
        <f>CLIENTES!AN24</f>
        <v>0</v>
      </c>
      <c r="AM13" s="200">
        <f>CLIENTES!AO24</f>
        <v>0</v>
      </c>
      <c r="AN13" s="200">
        <f>CLIENTES!AP24</f>
        <v>0</v>
      </c>
      <c r="AO13" s="200">
        <f>CLIENTES!AQ24</f>
        <v>0</v>
      </c>
      <c r="AP13" s="200">
        <f>CLIENTES!AR24</f>
        <v>0</v>
      </c>
      <c r="AQ13" s="200">
        <f>CLIENTES!AS24</f>
        <v>0</v>
      </c>
      <c r="AR13" s="200">
        <f>CLIENTES!AT24</f>
        <v>0</v>
      </c>
      <c r="AS13" s="200">
        <f>CLIENTES!AU24</f>
        <v>0</v>
      </c>
      <c r="AT13" s="200">
        <f>CLIENTES!AV24</f>
        <v>0</v>
      </c>
      <c r="AU13" s="200">
        <f>CLIENTES!AW24</f>
        <v>0</v>
      </c>
      <c r="AV13" s="200">
        <f>CLIENTES!AX24</f>
        <v>0</v>
      </c>
      <c r="AW13" s="200">
        <f>CLIENTES!AY24</f>
        <v>0</v>
      </c>
      <c r="AX13" s="200">
        <f>CLIENTES!AZ24</f>
        <v>0</v>
      </c>
      <c r="AY13" s="200">
        <f>CLIENTES!BA24</f>
        <v>0</v>
      </c>
      <c r="AZ13" s="215">
        <f>CLIENTES!BB24</f>
        <v>0</v>
      </c>
      <c r="BA13" s="200">
        <f>CLIENTES!BC24</f>
        <v>0</v>
      </c>
      <c r="BB13" s="200">
        <f>CLIENTES!BD24</f>
        <v>0</v>
      </c>
      <c r="BC13" s="200">
        <f>CLIENTES!BE24</f>
        <v>0</v>
      </c>
      <c r="BD13" s="200">
        <f>CLIENTES!BF24</f>
        <v>0</v>
      </c>
      <c r="BE13" s="200">
        <f>CLIENTES!BG24</f>
        <v>0</v>
      </c>
      <c r="BF13" s="200">
        <f>CLIENTES!BH24</f>
        <v>0</v>
      </c>
      <c r="BG13" s="200">
        <f>CLIENTES!BI24</f>
        <v>0</v>
      </c>
      <c r="BH13" s="200">
        <f>CLIENTES!BJ24</f>
        <v>0</v>
      </c>
      <c r="BI13" s="200">
        <f>CLIENTES!BK24</f>
        <v>0</v>
      </c>
      <c r="BJ13" s="200">
        <f>CLIENTES!BL24</f>
        <v>0</v>
      </c>
      <c r="BK13" s="200">
        <f>CLIENTES!BM24</f>
        <v>0</v>
      </c>
      <c r="BL13" s="200">
        <f>CLIENTES!BN24</f>
        <v>0</v>
      </c>
    </row>
    <row r="14" spans="1:64" x14ac:dyDescent="0.2">
      <c r="B14" s="326"/>
      <c r="C14" s="58" t="s">
        <v>23</v>
      </c>
      <c r="D14" s="27">
        <f>SUM(E14:AW14)</f>
        <v>0</v>
      </c>
      <c r="E14" s="132">
        <f>(E10+E11-E12)*E13</f>
        <v>0</v>
      </c>
      <c r="F14" s="132">
        <f t="shared" ref="F14:BL14" si="2">(F11-F12)*F13</f>
        <v>0</v>
      </c>
      <c r="G14" s="132">
        <f t="shared" si="2"/>
        <v>0</v>
      </c>
      <c r="H14" s="132">
        <f t="shared" si="2"/>
        <v>0</v>
      </c>
      <c r="I14" s="132">
        <f t="shared" si="2"/>
        <v>0</v>
      </c>
      <c r="J14" s="132">
        <f t="shared" si="2"/>
        <v>0</v>
      </c>
      <c r="K14" s="132">
        <f t="shared" si="2"/>
        <v>0</v>
      </c>
      <c r="L14" s="132">
        <f t="shared" si="2"/>
        <v>0</v>
      </c>
      <c r="M14" s="132">
        <f t="shared" si="2"/>
        <v>0</v>
      </c>
      <c r="N14" s="132">
        <f t="shared" si="2"/>
        <v>0</v>
      </c>
      <c r="O14" s="132">
        <f t="shared" si="2"/>
        <v>0</v>
      </c>
      <c r="P14" s="132">
        <f t="shared" si="2"/>
        <v>0</v>
      </c>
      <c r="Q14" s="132">
        <f t="shared" si="2"/>
        <v>0</v>
      </c>
      <c r="R14" s="132">
        <f t="shared" si="2"/>
        <v>0</v>
      </c>
      <c r="S14" s="132">
        <f t="shared" si="2"/>
        <v>0</v>
      </c>
      <c r="T14" s="132">
        <f t="shared" si="2"/>
        <v>0</v>
      </c>
      <c r="U14" s="132">
        <f t="shared" si="2"/>
        <v>0</v>
      </c>
      <c r="V14" s="132">
        <f t="shared" si="2"/>
        <v>0</v>
      </c>
      <c r="W14" s="132">
        <f t="shared" si="2"/>
        <v>0</v>
      </c>
      <c r="X14" s="132">
        <f t="shared" si="2"/>
        <v>0</v>
      </c>
      <c r="Y14" s="132">
        <f t="shared" si="2"/>
        <v>0</v>
      </c>
      <c r="Z14" s="132">
        <f t="shared" si="2"/>
        <v>0</v>
      </c>
      <c r="AA14" s="132">
        <f t="shared" si="2"/>
        <v>0</v>
      </c>
      <c r="AB14" s="132">
        <f t="shared" si="2"/>
        <v>0</v>
      </c>
      <c r="AC14" s="132">
        <f t="shared" si="2"/>
        <v>0</v>
      </c>
      <c r="AD14" s="132">
        <f t="shared" si="2"/>
        <v>0</v>
      </c>
      <c r="AE14" s="132">
        <f t="shared" si="2"/>
        <v>0</v>
      </c>
      <c r="AF14" s="132">
        <f t="shared" si="2"/>
        <v>0</v>
      </c>
      <c r="AG14" s="132">
        <f t="shared" si="2"/>
        <v>0</v>
      </c>
      <c r="AH14" s="132">
        <f t="shared" si="2"/>
        <v>0</v>
      </c>
      <c r="AI14" s="132">
        <f t="shared" si="2"/>
        <v>0</v>
      </c>
      <c r="AJ14" s="132">
        <f t="shared" si="2"/>
        <v>0</v>
      </c>
      <c r="AK14" s="132">
        <f t="shared" si="2"/>
        <v>0</v>
      </c>
      <c r="AL14" s="132">
        <f t="shared" si="2"/>
        <v>0</v>
      </c>
      <c r="AM14" s="132">
        <f t="shared" si="2"/>
        <v>0</v>
      </c>
      <c r="AN14" s="132">
        <f t="shared" si="2"/>
        <v>0</v>
      </c>
      <c r="AO14" s="132">
        <f t="shared" si="2"/>
        <v>0</v>
      </c>
      <c r="AP14" s="132">
        <f t="shared" si="2"/>
        <v>0</v>
      </c>
      <c r="AQ14" s="132">
        <f t="shared" si="2"/>
        <v>0</v>
      </c>
      <c r="AR14" s="132">
        <f t="shared" si="2"/>
        <v>0</v>
      </c>
      <c r="AS14" s="132">
        <f t="shared" si="2"/>
        <v>0</v>
      </c>
      <c r="AT14" s="132">
        <f t="shared" si="2"/>
        <v>0</v>
      </c>
      <c r="AU14" s="132">
        <f t="shared" si="2"/>
        <v>0</v>
      </c>
      <c r="AV14" s="132">
        <f t="shared" si="2"/>
        <v>0</v>
      </c>
      <c r="AW14" s="132">
        <f t="shared" si="2"/>
        <v>0</v>
      </c>
      <c r="AX14" s="132">
        <f t="shared" si="2"/>
        <v>0</v>
      </c>
      <c r="AY14" s="132">
        <f t="shared" si="2"/>
        <v>0</v>
      </c>
      <c r="AZ14" s="139">
        <f t="shared" si="2"/>
        <v>0</v>
      </c>
      <c r="BA14" s="132">
        <f t="shared" si="2"/>
        <v>0</v>
      </c>
      <c r="BB14" s="132">
        <f t="shared" si="2"/>
        <v>0</v>
      </c>
      <c r="BC14" s="132">
        <f t="shared" si="2"/>
        <v>0</v>
      </c>
      <c r="BD14" s="132">
        <f t="shared" si="2"/>
        <v>0</v>
      </c>
      <c r="BE14" s="132">
        <f t="shared" si="2"/>
        <v>0</v>
      </c>
      <c r="BF14" s="132">
        <f t="shared" si="2"/>
        <v>0</v>
      </c>
      <c r="BG14" s="132">
        <f t="shared" si="2"/>
        <v>0</v>
      </c>
      <c r="BH14" s="132">
        <f t="shared" si="2"/>
        <v>0</v>
      </c>
      <c r="BI14" s="132">
        <f t="shared" si="2"/>
        <v>0</v>
      </c>
      <c r="BJ14" s="132">
        <f t="shared" si="2"/>
        <v>0</v>
      </c>
      <c r="BK14" s="132">
        <f t="shared" si="2"/>
        <v>0</v>
      </c>
      <c r="BL14" s="132">
        <f t="shared" si="2"/>
        <v>0</v>
      </c>
    </row>
    <row r="15" spans="1:64" ht="13.5" thickBot="1" x14ac:dyDescent="0.25">
      <c r="B15" s="327"/>
      <c r="C15" s="25" t="s">
        <v>22</v>
      </c>
      <c r="D15" s="30">
        <f>SUM(E15:AW15)</f>
        <v>95000</v>
      </c>
      <c r="E15" s="146">
        <f>+E10-E12+E11+E14</f>
        <v>45000</v>
      </c>
      <c r="F15" s="201">
        <f t="shared" ref="F15:BL15" si="3">+F11-F12+F14</f>
        <v>50000</v>
      </c>
      <c r="G15" s="201">
        <f t="shared" si="3"/>
        <v>0</v>
      </c>
      <c r="H15" s="201">
        <f t="shared" si="3"/>
        <v>0</v>
      </c>
      <c r="I15" s="201">
        <f t="shared" si="3"/>
        <v>0</v>
      </c>
      <c r="J15" s="201">
        <f t="shared" si="3"/>
        <v>0</v>
      </c>
      <c r="K15" s="201">
        <f t="shared" si="3"/>
        <v>0</v>
      </c>
      <c r="L15" s="201">
        <f t="shared" si="3"/>
        <v>0</v>
      </c>
      <c r="M15" s="201">
        <f t="shared" si="3"/>
        <v>0</v>
      </c>
      <c r="N15" s="201">
        <f t="shared" si="3"/>
        <v>0</v>
      </c>
      <c r="O15" s="201">
        <f t="shared" si="3"/>
        <v>0</v>
      </c>
      <c r="P15" s="201">
        <f t="shared" si="3"/>
        <v>0</v>
      </c>
      <c r="Q15" s="146">
        <f t="shared" ref="Q15:R15" si="4">+Q10-Q12+Q11+Q14</f>
        <v>0</v>
      </c>
      <c r="R15" s="146">
        <f t="shared" si="4"/>
        <v>0</v>
      </c>
      <c r="S15" s="201">
        <f t="shared" si="3"/>
        <v>0</v>
      </c>
      <c r="T15" s="201">
        <f t="shared" si="3"/>
        <v>0</v>
      </c>
      <c r="U15" s="201">
        <f t="shared" si="3"/>
        <v>0</v>
      </c>
      <c r="V15" s="201">
        <f t="shared" si="3"/>
        <v>0</v>
      </c>
      <c r="W15" s="201">
        <f t="shared" si="3"/>
        <v>0</v>
      </c>
      <c r="X15" s="201">
        <f t="shared" si="3"/>
        <v>0</v>
      </c>
      <c r="Y15" s="201">
        <f t="shared" si="3"/>
        <v>0</v>
      </c>
      <c r="Z15" s="201">
        <f t="shared" si="3"/>
        <v>0</v>
      </c>
      <c r="AA15" s="201">
        <f t="shared" si="3"/>
        <v>0</v>
      </c>
      <c r="AB15" s="201">
        <f t="shared" si="3"/>
        <v>0</v>
      </c>
      <c r="AC15" s="201">
        <f t="shared" si="3"/>
        <v>0</v>
      </c>
      <c r="AD15" s="201">
        <f t="shared" si="3"/>
        <v>0</v>
      </c>
      <c r="AE15" s="201">
        <f t="shared" si="3"/>
        <v>0</v>
      </c>
      <c r="AF15" s="201">
        <f t="shared" si="3"/>
        <v>0</v>
      </c>
      <c r="AG15" s="201">
        <f t="shared" si="3"/>
        <v>0</v>
      </c>
      <c r="AH15" s="201">
        <f t="shared" si="3"/>
        <v>0</v>
      </c>
      <c r="AI15" s="201">
        <f t="shared" si="3"/>
        <v>0</v>
      </c>
      <c r="AJ15" s="201">
        <f t="shared" si="3"/>
        <v>0</v>
      </c>
      <c r="AK15" s="201">
        <f t="shared" si="3"/>
        <v>0</v>
      </c>
      <c r="AL15" s="201">
        <f t="shared" si="3"/>
        <v>0</v>
      </c>
      <c r="AM15" s="201">
        <f t="shared" si="3"/>
        <v>0</v>
      </c>
      <c r="AN15" s="201">
        <f t="shared" si="3"/>
        <v>0</v>
      </c>
      <c r="AO15" s="201">
        <f t="shared" si="3"/>
        <v>0</v>
      </c>
      <c r="AP15" s="201">
        <f t="shared" si="3"/>
        <v>0</v>
      </c>
      <c r="AQ15" s="201">
        <f t="shared" si="3"/>
        <v>0</v>
      </c>
      <c r="AR15" s="201">
        <f t="shared" si="3"/>
        <v>0</v>
      </c>
      <c r="AS15" s="201">
        <f t="shared" si="3"/>
        <v>0</v>
      </c>
      <c r="AT15" s="201">
        <f t="shared" si="3"/>
        <v>0</v>
      </c>
      <c r="AU15" s="201">
        <f t="shared" si="3"/>
        <v>0</v>
      </c>
      <c r="AV15" s="201">
        <f t="shared" si="3"/>
        <v>0</v>
      </c>
      <c r="AW15" s="201">
        <f t="shared" si="3"/>
        <v>0</v>
      </c>
      <c r="AX15" s="201">
        <f t="shared" si="3"/>
        <v>0</v>
      </c>
      <c r="AY15" s="201">
        <f t="shared" si="3"/>
        <v>0</v>
      </c>
      <c r="AZ15" s="216">
        <f t="shared" si="3"/>
        <v>0</v>
      </c>
      <c r="BA15" s="201">
        <f t="shared" si="3"/>
        <v>0</v>
      </c>
      <c r="BB15" s="201">
        <f t="shared" si="3"/>
        <v>0</v>
      </c>
      <c r="BC15" s="201">
        <f t="shared" si="3"/>
        <v>0</v>
      </c>
      <c r="BD15" s="201">
        <f t="shared" si="3"/>
        <v>0</v>
      </c>
      <c r="BE15" s="201">
        <f t="shared" si="3"/>
        <v>0</v>
      </c>
      <c r="BF15" s="201">
        <f t="shared" si="3"/>
        <v>0</v>
      </c>
      <c r="BG15" s="201">
        <f t="shared" si="3"/>
        <v>0</v>
      </c>
      <c r="BH15" s="201">
        <f t="shared" si="3"/>
        <v>0</v>
      </c>
      <c r="BI15" s="201">
        <f t="shared" si="3"/>
        <v>0</v>
      </c>
      <c r="BJ15" s="201">
        <f t="shared" si="3"/>
        <v>0</v>
      </c>
      <c r="BK15" s="201">
        <f t="shared" si="3"/>
        <v>0</v>
      </c>
      <c r="BL15" s="201">
        <f t="shared" si="3"/>
        <v>0</v>
      </c>
    </row>
    <row r="16" spans="1:64" ht="13.5" thickBot="1" x14ac:dyDescent="0.25">
      <c r="B16" s="325">
        <v>43617</v>
      </c>
      <c r="C16" s="62" t="s">
        <v>6</v>
      </c>
      <c r="D16" s="31">
        <f>SUM(E16:AW16)</f>
        <v>95000</v>
      </c>
      <c r="E16" s="285" cm="1">
        <f t="array" ref="E16">_xlfn._xlws.FILTER(CLIENTES!$E29:$BO29,(CLIENTES!$E$5:$BO$5=E$5)*(CLIENTES!$E$9:$BO$9="VENDA"),0)</f>
        <v>45000</v>
      </c>
      <c r="F16" s="285" cm="1">
        <f t="array" ref="F16">_xlfn._xlws.FILTER(CLIENTES!$E29:$BO29,(CLIENTES!$E$5:$BO$5=F$5)*(CLIENTES!$E$9:$BO$9="VENDA"),0)</f>
        <v>50000</v>
      </c>
      <c r="G16" s="285" cm="1">
        <f t="array" ref="G16">_xlfn._xlws.FILTER(CLIENTES!$E29:$BO29,(CLIENTES!$E$5:$BO$5=G$5)*(CLIENTES!$E$9:$BO$9="VENDA"),0)</f>
        <v>0</v>
      </c>
      <c r="H16" s="285" cm="1">
        <f t="array" ref="H16">_xlfn._xlws.FILTER(CLIENTES!$E29:$BO29,(CLIENTES!$E$5:$BO$5=H$5)*(CLIENTES!$E$9:$BO$9="VENDA"),0)</f>
        <v>0</v>
      </c>
      <c r="I16" s="285" cm="1">
        <f t="array" ref="I16">_xlfn._xlws.FILTER(CLIENTES!$E29:$BO29,(CLIENTES!$E$5:$BO$5=I$5)*(CLIENTES!$E$9:$BO$9="VENDA"),0)</f>
        <v>0</v>
      </c>
      <c r="J16" s="285" cm="1">
        <f t="array" ref="J16">_xlfn._xlws.FILTER(CLIENTES!$E29:$BO29,(CLIENTES!$E$5:$BO$5=J$5)*(CLIENTES!$E$9:$BO$9="VENDA"),0)</f>
        <v>0</v>
      </c>
      <c r="K16" s="285" cm="1">
        <f t="array" ref="K16">_xlfn._xlws.FILTER(CLIENTES!$E29:$BO29,(CLIENTES!$E$5:$BO$5=K$5)*(CLIENTES!$E$9:$BO$9="VENDA"),0)</f>
        <v>0</v>
      </c>
      <c r="L16" s="285" cm="1">
        <f t="array" ref="L16">_xlfn._xlws.FILTER(CLIENTES!$E29:$BO29,(CLIENTES!$E$5:$BO$5=L$5)*(CLIENTES!$E$9:$BO$9="VENDA"),0)</f>
        <v>0</v>
      </c>
      <c r="M16" s="285" cm="1">
        <f t="array" ref="M16">_xlfn._xlws.FILTER(CLIENTES!$E29:$BO29,(CLIENTES!$E$5:$BO$5=M$5)*(CLIENTES!$E$9:$BO$9="VENDA"),0)</f>
        <v>0</v>
      </c>
      <c r="N16" s="285" cm="1">
        <f t="array" ref="N16">_xlfn._xlws.FILTER(CLIENTES!$E29:$BO29,(CLIENTES!$E$5:$BO$5=N$5)*(CLIENTES!$E$9:$BO$9="VENDA"),0)</f>
        <v>0</v>
      </c>
      <c r="O16" s="285" cm="1">
        <f t="array" ref="O16">_xlfn._xlws.FILTER(CLIENTES!$E29:$BO29,(CLIENTES!$E$5:$BO$5=O$5)*(CLIENTES!$E$9:$BO$9="VENDA"),0)</f>
        <v>0</v>
      </c>
      <c r="P16" s="285" cm="1">
        <f t="array" ref="P16">_xlfn._xlws.FILTER(CLIENTES!$E29:$BO29,(CLIENTES!$E$5:$BO$5=P$5)*(CLIENTES!$E$9:$BO$9="VENDA"),0)</f>
        <v>0</v>
      </c>
      <c r="Q16" s="285" cm="1">
        <f t="array" ref="Q16">_xlfn._xlws.FILTER(CLIENTES!$E29:$BO29,(CLIENTES!$E$5:$BO$5=Q$5)*(CLIENTES!$E$9:$BO$9="VENDA"),0)</f>
        <v>0</v>
      </c>
      <c r="R16" s="285" cm="1">
        <f t="array" ref="R16">_xlfn._xlws.FILTER(CLIENTES!$E29:$BO29,(CLIENTES!$E$5:$BO$5=R$5)*(CLIENTES!$E$9:$BO$9="VENDA"),0)</f>
        <v>0</v>
      </c>
      <c r="S16" s="285" cm="1">
        <f t="array" ref="S16">_xlfn._xlws.FILTER(CLIENTES!$E29:$BO29,(CLIENTES!$E$5:$BO$5=S$5)*(CLIENTES!$E$9:$BO$9="VENDA"),0)</f>
        <v>0</v>
      </c>
      <c r="T16" s="285" cm="1">
        <f t="array" ref="T16">_xlfn._xlws.FILTER(CLIENTES!$E29:$BO29,(CLIENTES!$E$5:$BO$5=T$5)*(CLIENTES!$E$9:$BO$9="VENDA"),0)</f>
        <v>0</v>
      </c>
      <c r="U16" s="285" cm="1">
        <f t="array" ref="U16">_xlfn._xlws.FILTER(CLIENTES!$E29:$BO29,(CLIENTES!$E$5:$BO$5=U$5)*(CLIENTES!$E$9:$BO$9="VENDA"),0)</f>
        <v>0</v>
      </c>
      <c r="V16" s="285" cm="1">
        <f t="array" ref="V16">_xlfn._xlws.FILTER(CLIENTES!$E29:$BO29,(CLIENTES!$E$5:$BO$5=V$5)*(CLIENTES!$E$9:$BO$9="VENDA"),0)</f>
        <v>0</v>
      </c>
      <c r="W16" s="285" cm="1">
        <f t="array" ref="W16">_xlfn._xlws.FILTER(CLIENTES!$E29:$BO29,(CLIENTES!$E$5:$BO$5=W$5)*(CLIENTES!$E$9:$BO$9="VENDA"),0)</f>
        <v>0</v>
      </c>
      <c r="X16" s="285" cm="1">
        <f t="array" ref="X16">_xlfn._xlws.FILTER(CLIENTES!$E29:$BO29,(CLIENTES!$E$5:$BO$5=X$5)*(CLIENTES!$E$9:$BO$9="VENDA"),0)</f>
        <v>0</v>
      </c>
      <c r="Y16" s="285" cm="1">
        <f t="array" ref="Y16">_xlfn._xlws.FILTER(CLIENTES!$E29:$BO29,(CLIENTES!$E$5:$BO$5=Y$5)*(CLIENTES!$E$9:$BO$9="VENDA"),0)</f>
        <v>0</v>
      </c>
      <c r="Z16" s="285" cm="1">
        <f t="array" ref="Z16">_xlfn._xlws.FILTER(CLIENTES!$E29:$BO29,(CLIENTES!$E$5:$BO$5=Z$5)*(CLIENTES!$E$9:$BO$9="VENDA"),0)</f>
        <v>0</v>
      </c>
      <c r="AA16" s="285" cm="1">
        <f t="array" ref="AA16">_xlfn._xlws.FILTER(CLIENTES!$E29:$BO29,(CLIENTES!$E$5:$BO$5=AA$5)*(CLIENTES!$E$9:$BO$9="VENDA"),0)</f>
        <v>0</v>
      </c>
      <c r="AB16" s="285" cm="1">
        <f t="array" ref="AB16">_xlfn._xlws.FILTER(CLIENTES!$E29:$BO29,(CLIENTES!$E$5:$BO$5=AB$5)*(CLIENTES!$E$9:$BO$9="VENDA"),0)</f>
        <v>0</v>
      </c>
      <c r="AC16" s="285" cm="1">
        <f t="array" ref="AC16">_xlfn._xlws.FILTER(CLIENTES!$E29:$BO29,(CLIENTES!$E$5:$BO$5=AC$5)*(CLIENTES!$E$9:$BO$9="VENDA"),0)</f>
        <v>0</v>
      </c>
      <c r="AD16" s="285" cm="1">
        <f t="array" ref="AD16">_xlfn._xlws.FILTER(CLIENTES!$E29:$BO29,(CLIENTES!$E$5:$BO$5=AD$5)*(CLIENTES!$E$9:$BO$9="VENDA"),0)</f>
        <v>0</v>
      </c>
      <c r="AE16" s="285" cm="1">
        <f t="array" ref="AE16">_xlfn._xlws.FILTER(CLIENTES!$E29:$BO29,(CLIENTES!$E$5:$BO$5=AE$5)*(CLIENTES!$E$9:$BO$9="VENDA"),0)</f>
        <v>0</v>
      </c>
      <c r="AF16" s="285" cm="1">
        <f t="array" ref="AF16">_xlfn._xlws.FILTER(CLIENTES!$E29:$BO29,(CLIENTES!$E$5:$BO$5=AF$5)*(CLIENTES!$E$9:$BO$9="VENDA"),0)</f>
        <v>0</v>
      </c>
      <c r="AG16" s="285" cm="1">
        <f t="array" ref="AG16">_xlfn._xlws.FILTER(CLIENTES!$E29:$BO29,(CLIENTES!$E$5:$BO$5=AG$5)*(CLIENTES!$E$9:$BO$9="VENDA"),0)</f>
        <v>0</v>
      </c>
      <c r="AH16" s="285" cm="1">
        <f t="array" ref="AH16">_xlfn._xlws.FILTER(CLIENTES!$E29:$BO29,(CLIENTES!$E$5:$BO$5=AH$5)*(CLIENTES!$E$9:$BO$9="VENDA"),0)</f>
        <v>0</v>
      </c>
      <c r="AI16" s="285" cm="1">
        <f t="array" ref="AI16">_xlfn._xlws.FILTER(CLIENTES!$E29:$BO29,(CLIENTES!$E$5:$BO$5=AI$5)*(CLIENTES!$E$9:$BO$9="VENDA"),0)</f>
        <v>0</v>
      </c>
      <c r="AJ16" s="285" cm="1">
        <f t="array" ref="AJ16">_xlfn._xlws.FILTER(CLIENTES!$E29:$BO29,(CLIENTES!$E$5:$BO$5=AJ$5)*(CLIENTES!$E$9:$BO$9="VENDA"),0)</f>
        <v>0</v>
      </c>
      <c r="AK16" s="285" cm="1">
        <f t="array" ref="AK16">_xlfn._xlws.FILTER(CLIENTES!$E29:$BO29,(CLIENTES!$E$5:$BO$5=AK$5)*(CLIENTES!$E$9:$BO$9="VENDA"),0)</f>
        <v>0</v>
      </c>
      <c r="AL16" s="285" cm="1">
        <f t="array" ref="AL16">_xlfn._xlws.FILTER(CLIENTES!$E29:$BO29,(CLIENTES!$E$5:$BO$5=AL$5)*(CLIENTES!$E$9:$BO$9="VENDA"),0)</f>
        <v>0</v>
      </c>
      <c r="AM16" s="285" cm="1">
        <f t="array" ref="AM16">_xlfn._xlws.FILTER(CLIENTES!$E29:$BO29,(CLIENTES!$E$5:$BO$5=AM$5)*(CLIENTES!$E$9:$BO$9="VENDA"),0)</f>
        <v>0</v>
      </c>
      <c r="AN16" s="285" cm="1">
        <f t="array" ref="AN16">_xlfn._xlws.FILTER(CLIENTES!$E29:$BO29,(CLIENTES!$E$5:$BO$5=AN$5)*(CLIENTES!$E$9:$BO$9="VENDA"),0)</f>
        <v>0</v>
      </c>
      <c r="AO16" s="285" cm="1">
        <f t="array" ref="AO16">_xlfn._xlws.FILTER(CLIENTES!$E29:$BO29,(CLIENTES!$E$5:$BO$5=AO$5)*(CLIENTES!$E$9:$BO$9="VENDA"),0)</f>
        <v>0</v>
      </c>
      <c r="AP16" s="285" cm="1">
        <f t="array" ref="AP16">_xlfn._xlws.FILTER(CLIENTES!$E29:$BO29,(CLIENTES!$E$5:$BO$5=AP$5)*(CLIENTES!$E$9:$BO$9="VENDA"),0)</f>
        <v>0</v>
      </c>
      <c r="AQ16" s="285" cm="1">
        <f t="array" ref="AQ16">_xlfn._xlws.FILTER(CLIENTES!$E29:$BO29,(CLIENTES!$E$5:$BO$5=AQ$5)*(CLIENTES!$E$9:$BO$9="VENDA"),0)</f>
        <v>0</v>
      </c>
      <c r="AR16" s="285" cm="1">
        <f t="array" ref="AR16">_xlfn._xlws.FILTER(CLIENTES!$E29:$BO29,(CLIENTES!$E$5:$BO$5=AR$5)*(CLIENTES!$E$9:$BO$9="VENDA"),0)</f>
        <v>0</v>
      </c>
      <c r="AS16" s="285" cm="1">
        <f t="array" ref="AS16">_xlfn._xlws.FILTER(CLIENTES!$E29:$BO29,(CLIENTES!$E$5:$BO$5=AS$5)*(CLIENTES!$E$9:$BO$9="VENDA"),0)</f>
        <v>0</v>
      </c>
      <c r="AT16" s="285" cm="1">
        <f t="array" ref="AT16">_xlfn._xlws.FILTER(CLIENTES!$E29:$BO29,(CLIENTES!$E$5:$BO$5=AT$5)*(CLIENTES!$E$9:$BO$9="VENDA"),0)</f>
        <v>0</v>
      </c>
      <c r="AU16" s="285" cm="1">
        <f t="array" ref="AU16">_xlfn._xlws.FILTER(CLIENTES!$E29:$BO29,(CLIENTES!$E$5:$BO$5=AU$5)*(CLIENTES!$E$9:$BO$9="VENDA"),0)</f>
        <v>0</v>
      </c>
      <c r="AV16" s="285" cm="1">
        <f t="array" ref="AV16">_xlfn._xlws.FILTER(CLIENTES!$E29:$BO29,(CLIENTES!$E$5:$BO$5=AV$5)*(CLIENTES!$E$9:$BO$9="VENDA"),0)</f>
        <v>0</v>
      </c>
      <c r="AW16" s="285" cm="1">
        <f t="array" ref="AW16">_xlfn._xlws.FILTER(CLIENTES!$E29:$BO29,(CLIENTES!$E$5:$BO$5=AW$5)*(CLIENTES!$E$9:$BO$9="VENDA"),0)</f>
        <v>0</v>
      </c>
      <c r="AX16" s="285" cm="1">
        <f t="array" ref="AX16">_xlfn._xlws.FILTER(CLIENTES!$E29:$BO29,(CLIENTES!$E$5:$BO$5=AX$5)*(CLIENTES!$E$9:$BO$9="VENDA"),0)</f>
        <v>0</v>
      </c>
      <c r="AY16" s="285" cm="1">
        <f t="array" ref="AY16">_xlfn._xlws.FILTER(CLIENTES!$E29:$BO29,(CLIENTES!$E$5:$BO$5=AY$5)*(CLIENTES!$E$9:$BO$9="VENDA"),0)</f>
        <v>0</v>
      </c>
      <c r="AZ16" s="285" cm="1">
        <f t="array" ref="AZ16">_xlfn._xlws.FILTER(CLIENTES!$E29:$BO29,(CLIENTES!$E$5:$BO$5=AZ$5)*(CLIENTES!$E$9:$BO$9="VENDA"),0)</f>
        <v>0</v>
      </c>
      <c r="BA16" s="285" cm="1">
        <f t="array" ref="BA16">_xlfn._xlws.FILTER(CLIENTES!$E29:$BO29,(CLIENTES!$E$5:$BO$5=BA$5)*(CLIENTES!$E$9:$BO$9="VENDA"),0)</f>
        <v>0</v>
      </c>
      <c r="BB16" s="285" cm="1">
        <f t="array" ref="BB16">_xlfn._xlws.FILTER(CLIENTES!$E29:$BO29,(CLIENTES!$E$5:$BO$5=BB$5)*(CLIENTES!$E$9:$BO$9="VENDA"),0)</f>
        <v>0</v>
      </c>
      <c r="BC16" s="285" cm="1">
        <f t="array" ref="BC16">_xlfn._xlws.FILTER(CLIENTES!$E29:$BO29,(CLIENTES!$E$5:$BO$5=BC$5)*(CLIENTES!$E$9:$BO$9="VENDA"),0)</f>
        <v>0</v>
      </c>
      <c r="BD16" s="285" cm="1">
        <f t="array" ref="BD16">_xlfn._xlws.FILTER(CLIENTES!$E29:$BO29,(CLIENTES!$E$5:$BO$5=BD$5)*(CLIENTES!$E$9:$BO$9="VENDA"),0)</f>
        <v>0</v>
      </c>
      <c r="BE16" s="285" cm="1">
        <f t="array" ref="BE16">_xlfn._xlws.FILTER(CLIENTES!$E29:$BO29,(CLIENTES!$E$5:$BO$5=BE$5)*(CLIENTES!$E$9:$BO$9="VENDA"),0)</f>
        <v>0</v>
      </c>
      <c r="BF16" s="285" cm="1">
        <f t="array" ref="BF16">_xlfn._xlws.FILTER(CLIENTES!$E29:$BO29,(CLIENTES!$E$5:$BO$5=BF$5)*(CLIENTES!$E$9:$BO$9="VENDA"),0)</f>
        <v>0</v>
      </c>
      <c r="BG16" s="285" cm="1">
        <f t="array" ref="BG16">_xlfn._xlws.FILTER(CLIENTES!$E29:$BO29,(CLIENTES!$E$5:$BO$5=BG$5)*(CLIENTES!$E$9:$BO$9="VENDA"),0)</f>
        <v>0</v>
      </c>
      <c r="BH16" s="285" cm="1">
        <f t="array" ref="BH16">_xlfn._xlws.FILTER(CLIENTES!$E29:$BO29,(CLIENTES!$E$5:$BO$5=BH$5)*(CLIENTES!$E$9:$BO$9="VENDA"),0)</f>
        <v>0</v>
      </c>
      <c r="BI16" s="285" cm="1">
        <f t="array" ref="BI16">_xlfn._xlws.FILTER(CLIENTES!$E29:$BO29,(CLIENTES!$E$5:$BO$5=BI$5)*(CLIENTES!$E$9:$BO$9="VENDA"),0)</f>
        <v>0</v>
      </c>
      <c r="BJ16" s="285" cm="1">
        <f t="array" ref="BJ16">_xlfn._xlws.FILTER(CLIENTES!$E29:$BO29,(CLIENTES!$E$5:$BO$5=BJ$5)*(CLIENTES!$E$9:$BO$9="VENDA"),0)</f>
        <v>0</v>
      </c>
      <c r="BK16" s="285" cm="1">
        <f t="array" ref="BK16">_xlfn._xlws.FILTER(CLIENTES!$E29:$BO29,(CLIENTES!$E$5:$BO$5=BK$5)*(CLIENTES!$E$9:$BO$9="VENDA"),0)</f>
        <v>0</v>
      </c>
      <c r="BL16" s="285" cm="1">
        <f t="array" ref="BL16">_xlfn._xlws.FILTER(CLIENTES!$E29:$BO29,(CLIENTES!$E$5:$BO$5=BL$5)*(CLIENTES!$E$9:$BO$9="VENDA"),0)</f>
        <v>0</v>
      </c>
    </row>
    <row r="17" spans="2:64" ht="13.5" thickBot="1" x14ac:dyDescent="0.25">
      <c r="B17" s="326"/>
      <c r="C17" s="23" t="s">
        <v>9</v>
      </c>
      <c r="D17" s="27">
        <f>SUM(E17:AW17)</f>
        <v>0</v>
      </c>
      <c r="E17" s="285" cm="1">
        <f t="array" ref="E17">_xlfn._xlws.FILTER(CLIENTES!$E30:$BO30,(CLIENTES!$E$5:$BO$5=E$5)*(CLIENTES!$E$9:$BO$9="VENDA"),0)</f>
        <v>0</v>
      </c>
      <c r="F17" s="285" cm="1">
        <f t="array" ref="F17">_xlfn._xlws.FILTER(CLIENTES!$E30:$BO30,(CLIENTES!$E$5:$BO$5=F$5)*(CLIENTES!$E$9:$BO$9="VENDA"),0)</f>
        <v>0</v>
      </c>
      <c r="G17" s="285" cm="1">
        <f t="array" ref="G17">_xlfn._xlws.FILTER(CLIENTES!$E30:$BO30,(CLIENTES!$E$5:$BO$5=G$5)*(CLIENTES!$E$9:$BO$9="VENDA"),0)</f>
        <v>0</v>
      </c>
      <c r="H17" s="285" cm="1">
        <f t="array" ref="H17">_xlfn._xlws.FILTER(CLIENTES!$E30:$BO30,(CLIENTES!$E$5:$BO$5=H$5)*(CLIENTES!$E$9:$BO$9="VENDA"),0)</f>
        <v>0</v>
      </c>
      <c r="I17" s="285" cm="1">
        <f t="array" ref="I17">_xlfn._xlws.FILTER(CLIENTES!$E30:$BO30,(CLIENTES!$E$5:$BO$5=I$5)*(CLIENTES!$E$9:$BO$9="VENDA"),0)</f>
        <v>0</v>
      </c>
      <c r="J17" s="285" cm="1">
        <f t="array" ref="J17">_xlfn._xlws.FILTER(CLIENTES!$E30:$BO30,(CLIENTES!$E$5:$BO$5=J$5)*(CLIENTES!$E$9:$BO$9="VENDA"),0)</f>
        <v>0</v>
      </c>
      <c r="K17" s="285" cm="1">
        <f t="array" ref="K17">_xlfn._xlws.FILTER(CLIENTES!$E30:$BO30,(CLIENTES!$E$5:$BO$5=K$5)*(CLIENTES!$E$9:$BO$9="VENDA"),0)</f>
        <v>0</v>
      </c>
      <c r="L17" s="285" cm="1">
        <f t="array" ref="L17">_xlfn._xlws.FILTER(CLIENTES!$E30:$BO30,(CLIENTES!$E$5:$BO$5=L$5)*(CLIENTES!$E$9:$BO$9="VENDA"),0)</f>
        <v>0</v>
      </c>
      <c r="M17" s="285" cm="1">
        <f t="array" ref="M17">_xlfn._xlws.FILTER(CLIENTES!$E30:$BO30,(CLIENTES!$E$5:$BO$5=M$5)*(CLIENTES!$E$9:$BO$9="VENDA"),0)</f>
        <v>0</v>
      </c>
      <c r="N17" s="285" cm="1">
        <f t="array" ref="N17">_xlfn._xlws.FILTER(CLIENTES!$E30:$BO30,(CLIENTES!$E$5:$BO$5=N$5)*(CLIENTES!$E$9:$BO$9="VENDA"),0)</f>
        <v>0</v>
      </c>
      <c r="O17" s="285" cm="1">
        <f t="array" ref="O17">_xlfn._xlws.FILTER(CLIENTES!$E30:$BO30,(CLIENTES!$E$5:$BO$5=O$5)*(CLIENTES!$E$9:$BO$9="VENDA"),0)</f>
        <v>0</v>
      </c>
      <c r="P17" s="285" cm="1">
        <f t="array" ref="P17">_xlfn._xlws.FILTER(CLIENTES!$E30:$BO30,(CLIENTES!$E$5:$BO$5=P$5)*(CLIENTES!$E$9:$BO$9="VENDA"),0)</f>
        <v>0</v>
      </c>
      <c r="Q17" s="285" cm="1">
        <f t="array" ref="Q17">_xlfn._xlws.FILTER(CLIENTES!$E30:$BO30,(CLIENTES!$E$5:$BO$5=Q$5)*(CLIENTES!$E$9:$BO$9="VENDA"),0)</f>
        <v>0</v>
      </c>
      <c r="R17" s="285" cm="1">
        <f t="array" ref="R17">_xlfn._xlws.FILTER(CLIENTES!$E30:$BO30,(CLIENTES!$E$5:$BO$5=R$5)*(CLIENTES!$E$9:$BO$9="VENDA"),0)</f>
        <v>0</v>
      </c>
      <c r="S17" s="285" cm="1">
        <f t="array" ref="S17">_xlfn._xlws.FILTER(CLIENTES!$E30:$BO30,(CLIENTES!$E$5:$BO$5=S$5)*(CLIENTES!$E$9:$BO$9="VENDA"),0)</f>
        <v>0</v>
      </c>
      <c r="T17" s="285" cm="1">
        <f t="array" ref="T17">_xlfn._xlws.FILTER(CLIENTES!$E30:$BO30,(CLIENTES!$E$5:$BO$5=T$5)*(CLIENTES!$E$9:$BO$9="VENDA"),0)</f>
        <v>0</v>
      </c>
      <c r="U17" s="285" cm="1">
        <f t="array" ref="U17">_xlfn._xlws.FILTER(CLIENTES!$E30:$BO30,(CLIENTES!$E$5:$BO$5=U$5)*(CLIENTES!$E$9:$BO$9="VENDA"),0)</f>
        <v>0</v>
      </c>
      <c r="V17" s="285" cm="1">
        <f t="array" ref="V17">_xlfn._xlws.FILTER(CLIENTES!$E30:$BO30,(CLIENTES!$E$5:$BO$5=V$5)*(CLIENTES!$E$9:$BO$9="VENDA"),0)</f>
        <v>0</v>
      </c>
      <c r="W17" s="285" cm="1">
        <f t="array" ref="W17">_xlfn._xlws.FILTER(CLIENTES!$E30:$BO30,(CLIENTES!$E$5:$BO$5=W$5)*(CLIENTES!$E$9:$BO$9="VENDA"),0)</f>
        <v>0</v>
      </c>
      <c r="X17" s="285" cm="1">
        <f t="array" ref="X17">_xlfn._xlws.FILTER(CLIENTES!$E30:$BO30,(CLIENTES!$E$5:$BO$5=X$5)*(CLIENTES!$E$9:$BO$9="VENDA"),0)</f>
        <v>0</v>
      </c>
      <c r="Y17" s="285" cm="1">
        <f t="array" ref="Y17">_xlfn._xlws.FILTER(CLIENTES!$E30:$BO30,(CLIENTES!$E$5:$BO$5=Y$5)*(CLIENTES!$E$9:$BO$9="VENDA"),0)</f>
        <v>0</v>
      </c>
      <c r="Z17" s="285" cm="1">
        <f t="array" ref="Z17">_xlfn._xlws.FILTER(CLIENTES!$E30:$BO30,(CLIENTES!$E$5:$BO$5=Z$5)*(CLIENTES!$E$9:$BO$9="VENDA"),0)</f>
        <v>0</v>
      </c>
      <c r="AA17" s="285" cm="1">
        <f t="array" ref="AA17">_xlfn._xlws.FILTER(CLIENTES!$E30:$BO30,(CLIENTES!$E$5:$BO$5=AA$5)*(CLIENTES!$E$9:$BO$9="VENDA"),0)</f>
        <v>0</v>
      </c>
      <c r="AB17" s="285" cm="1">
        <f t="array" ref="AB17">_xlfn._xlws.FILTER(CLIENTES!$E30:$BO30,(CLIENTES!$E$5:$BO$5=AB$5)*(CLIENTES!$E$9:$BO$9="VENDA"),0)</f>
        <v>0</v>
      </c>
      <c r="AC17" s="285" cm="1">
        <f t="array" ref="AC17">_xlfn._xlws.FILTER(CLIENTES!$E30:$BO30,(CLIENTES!$E$5:$BO$5=AC$5)*(CLIENTES!$E$9:$BO$9="VENDA"),0)</f>
        <v>0</v>
      </c>
      <c r="AD17" s="285" cm="1">
        <f t="array" ref="AD17">_xlfn._xlws.FILTER(CLIENTES!$E30:$BO30,(CLIENTES!$E$5:$BO$5=AD$5)*(CLIENTES!$E$9:$BO$9="VENDA"),0)</f>
        <v>0</v>
      </c>
      <c r="AE17" s="285" cm="1">
        <f t="array" ref="AE17">_xlfn._xlws.FILTER(CLIENTES!$E30:$BO30,(CLIENTES!$E$5:$BO$5=AE$5)*(CLIENTES!$E$9:$BO$9="VENDA"),0)</f>
        <v>0</v>
      </c>
      <c r="AF17" s="285" cm="1">
        <f t="array" ref="AF17">_xlfn._xlws.FILTER(CLIENTES!$E30:$BO30,(CLIENTES!$E$5:$BO$5=AF$5)*(CLIENTES!$E$9:$BO$9="VENDA"),0)</f>
        <v>0</v>
      </c>
      <c r="AG17" s="285" cm="1">
        <f t="array" ref="AG17">_xlfn._xlws.FILTER(CLIENTES!$E30:$BO30,(CLIENTES!$E$5:$BO$5=AG$5)*(CLIENTES!$E$9:$BO$9="VENDA"),0)</f>
        <v>0</v>
      </c>
      <c r="AH17" s="285" cm="1">
        <f t="array" ref="AH17">_xlfn._xlws.FILTER(CLIENTES!$E30:$BO30,(CLIENTES!$E$5:$BO$5=AH$5)*(CLIENTES!$E$9:$BO$9="VENDA"),0)</f>
        <v>0</v>
      </c>
      <c r="AI17" s="285" cm="1">
        <f t="array" ref="AI17">_xlfn._xlws.FILTER(CLIENTES!$E30:$BO30,(CLIENTES!$E$5:$BO$5=AI$5)*(CLIENTES!$E$9:$BO$9="VENDA"),0)</f>
        <v>0</v>
      </c>
      <c r="AJ17" s="285" cm="1">
        <f t="array" ref="AJ17">_xlfn._xlws.FILTER(CLIENTES!$E30:$BO30,(CLIENTES!$E$5:$BO$5=AJ$5)*(CLIENTES!$E$9:$BO$9="VENDA"),0)</f>
        <v>0</v>
      </c>
      <c r="AK17" s="285" cm="1">
        <f t="array" ref="AK17">_xlfn._xlws.FILTER(CLIENTES!$E30:$BO30,(CLIENTES!$E$5:$BO$5=AK$5)*(CLIENTES!$E$9:$BO$9="VENDA"),0)</f>
        <v>0</v>
      </c>
      <c r="AL17" s="285" cm="1">
        <f t="array" ref="AL17">_xlfn._xlws.FILTER(CLIENTES!$E30:$BO30,(CLIENTES!$E$5:$BO$5=AL$5)*(CLIENTES!$E$9:$BO$9="VENDA"),0)</f>
        <v>0</v>
      </c>
      <c r="AM17" s="285" cm="1">
        <f t="array" ref="AM17">_xlfn._xlws.FILTER(CLIENTES!$E30:$BO30,(CLIENTES!$E$5:$BO$5=AM$5)*(CLIENTES!$E$9:$BO$9="VENDA"),0)</f>
        <v>0</v>
      </c>
      <c r="AN17" s="285" cm="1">
        <f t="array" ref="AN17">_xlfn._xlws.FILTER(CLIENTES!$E30:$BO30,(CLIENTES!$E$5:$BO$5=AN$5)*(CLIENTES!$E$9:$BO$9="VENDA"),0)</f>
        <v>0</v>
      </c>
      <c r="AO17" s="285" cm="1">
        <f t="array" ref="AO17">_xlfn._xlws.FILTER(CLIENTES!$E30:$BO30,(CLIENTES!$E$5:$BO$5=AO$5)*(CLIENTES!$E$9:$BO$9="VENDA"),0)</f>
        <v>0</v>
      </c>
      <c r="AP17" s="285" cm="1">
        <f t="array" ref="AP17">_xlfn._xlws.FILTER(CLIENTES!$E30:$BO30,(CLIENTES!$E$5:$BO$5=AP$5)*(CLIENTES!$E$9:$BO$9="VENDA"),0)</f>
        <v>0</v>
      </c>
      <c r="AQ17" s="285" cm="1">
        <f t="array" ref="AQ17">_xlfn._xlws.FILTER(CLIENTES!$E30:$BO30,(CLIENTES!$E$5:$BO$5=AQ$5)*(CLIENTES!$E$9:$BO$9="VENDA"),0)</f>
        <v>0</v>
      </c>
      <c r="AR17" s="285" cm="1">
        <f t="array" ref="AR17">_xlfn._xlws.FILTER(CLIENTES!$E30:$BO30,(CLIENTES!$E$5:$BO$5=AR$5)*(CLIENTES!$E$9:$BO$9="VENDA"),0)</f>
        <v>0</v>
      </c>
      <c r="AS17" s="285" cm="1">
        <f t="array" ref="AS17">_xlfn._xlws.FILTER(CLIENTES!$E30:$BO30,(CLIENTES!$E$5:$BO$5=AS$5)*(CLIENTES!$E$9:$BO$9="VENDA"),0)</f>
        <v>0</v>
      </c>
      <c r="AT17" s="285" cm="1">
        <f t="array" ref="AT17">_xlfn._xlws.FILTER(CLIENTES!$E30:$BO30,(CLIENTES!$E$5:$BO$5=AT$5)*(CLIENTES!$E$9:$BO$9="VENDA"),0)</f>
        <v>0</v>
      </c>
      <c r="AU17" s="285" cm="1">
        <f t="array" ref="AU17">_xlfn._xlws.FILTER(CLIENTES!$E30:$BO30,(CLIENTES!$E$5:$BO$5=AU$5)*(CLIENTES!$E$9:$BO$9="VENDA"),0)</f>
        <v>0</v>
      </c>
      <c r="AV17" s="285" cm="1">
        <f t="array" ref="AV17">_xlfn._xlws.FILTER(CLIENTES!$E30:$BO30,(CLIENTES!$E$5:$BO$5=AV$5)*(CLIENTES!$E$9:$BO$9="VENDA"),0)</f>
        <v>0</v>
      </c>
      <c r="AW17" s="285" cm="1">
        <f t="array" ref="AW17">_xlfn._xlws.FILTER(CLIENTES!$E30:$BO30,(CLIENTES!$E$5:$BO$5=AW$5)*(CLIENTES!$E$9:$BO$9="VENDA"),0)</f>
        <v>0</v>
      </c>
      <c r="AX17" s="285" cm="1">
        <f t="array" ref="AX17">_xlfn._xlws.FILTER(CLIENTES!$E30:$BO30,(CLIENTES!$E$5:$BO$5=AX$5)*(CLIENTES!$E$9:$BO$9="VENDA"),0)</f>
        <v>0</v>
      </c>
      <c r="AY17" s="285" cm="1">
        <f t="array" ref="AY17">_xlfn._xlws.FILTER(CLIENTES!$E30:$BO30,(CLIENTES!$E$5:$BO$5=AY$5)*(CLIENTES!$E$9:$BO$9="VENDA"),0)</f>
        <v>0</v>
      </c>
      <c r="AZ17" s="285" cm="1">
        <f t="array" ref="AZ17">_xlfn._xlws.FILTER(CLIENTES!$E30:$BO30,(CLIENTES!$E$5:$BO$5=AZ$5)*(CLIENTES!$E$9:$BO$9="VENDA"),0)</f>
        <v>0</v>
      </c>
      <c r="BA17" s="285" cm="1">
        <f t="array" ref="BA17">_xlfn._xlws.FILTER(CLIENTES!$E30:$BO30,(CLIENTES!$E$5:$BO$5=BA$5)*(CLIENTES!$E$9:$BO$9="VENDA"),0)</f>
        <v>0</v>
      </c>
      <c r="BB17" s="285" cm="1">
        <f t="array" ref="BB17">_xlfn._xlws.FILTER(CLIENTES!$E30:$BO30,(CLIENTES!$E$5:$BO$5=BB$5)*(CLIENTES!$E$9:$BO$9="VENDA"),0)</f>
        <v>0</v>
      </c>
      <c r="BC17" s="285" cm="1">
        <f t="array" ref="BC17">_xlfn._xlws.FILTER(CLIENTES!$E30:$BO30,(CLIENTES!$E$5:$BO$5=BC$5)*(CLIENTES!$E$9:$BO$9="VENDA"),0)</f>
        <v>0</v>
      </c>
      <c r="BD17" s="285" cm="1">
        <f t="array" ref="BD17">_xlfn._xlws.FILTER(CLIENTES!$E30:$BO30,(CLIENTES!$E$5:$BO$5=BD$5)*(CLIENTES!$E$9:$BO$9="VENDA"),0)</f>
        <v>0</v>
      </c>
      <c r="BE17" s="285" cm="1">
        <f t="array" ref="BE17">_xlfn._xlws.FILTER(CLIENTES!$E30:$BO30,(CLIENTES!$E$5:$BO$5=BE$5)*(CLIENTES!$E$9:$BO$9="VENDA"),0)</f>
        <v>0</v>
      </c>
      <c r="BF17" s="285" cm="1">
        <f t="array" ref="BF17">_xlfn._xlws.FILTER(CLIENTES!$E30:$BO30,(CLIENTES!$E$5:$BO$5=BF$5)*(CLIENTES!$E$9:$BO$9="VENDA"),0)</f>
        <v>0</v>
      </c>
      <c r="BG17" s="285" cm="1">
        <f t="array" ref="BG17">_xlfn._xlws.FILTER(CLIENTES!$E30:$BO30,(CLIENTES!$E$5:$BO$5=BG$5)*(CLIENTES!$E$9:$BO$9="VENDA"),0)</f>
        <v>0</v>
      </c>
      <c r="BH17" s="285" cm="1">
        <f t="array" ref="BH17">_xlfn._xlws.FILTER(CLIENTES!$E30:$BO30,(CLIENTES!$E$5:$BO$5=BH$5)*(CLIENTES!$E$9:$BO$9="VENDA"),0)</f>
        <v>0</v>
      </c>
      <c r="BI17" s="285" cm="1">
        <f t="array" ref="BI17">_xlfn._xlws.FILTER(CLIENTES!$E30:$BO30,(CLIENTES!$E$5:$BO$5=BI$5)*(CLIENTES!$E$9:$BO$9="VENDA"),0)</f>
        <v>0</v>
      </c>
      <c r="BJ17" s="285" cm="1">
        <f t="array" ref="BJ17">_xlfn._xlws.FILTER(CLIENTES!$E30:$BO30,(CLIENTES!$E$5:$BO$5=BJ$5)*(CLIENTES!$E$9:$BO$9="VENDA"),0)</f>
        <v>0</v>
      </c>
      <c r="BK17" s="285" cm="1">
        <f t="array" ref="BK17">_xlfn._xlws.FILTER(CLIENTES!$E30:$BO30,(CLIENTES!$E$5:$BO$5=BK$5)*(CLIENTES!$E$9:$BO$9="VENDA"),0)</f>
        <v>0</v>
      </c>
      <c r="BL17" s="285" cm="1">
        <f t="array" ref="BL17">_xlfn._xlws.FILTER(CLIENTES!$E30:$BO30,(CLIENTES!$E$5:$BO$5=BL$5)*(CLIENTES!$E$9:$BO$9="VENDA"),0)</f>
        <v>0</v>
      </c>
    </row>
    <row r="18" spans="2:64" x14ac:dyDescent="0.2">
      <c r="B18" s="326"/>
      <c r="C18" s="23" t="s">
        <v>10</v>
      </c>
      <c r="D18" s="72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0</v>
      </c>
      <c r="S18" s="200">
        <v>0</v>
      </c>
      <c r="T18" s="200">
        <v>0</v>
      </c>
      <c r="U18" s="200">
        <v>0</v>
      </c>
      <c r="V18" s="200">
        <v>0</v>
      </c>
      <c r="W18" s="200">
        <v>0</v>
      </c>
      <c r="X18" s="200">
        <v>0</v>
      </c>
      <c r="Y18" s="200">
        <v>0</v>
      </c>
      <c r="Z18" s="200">
        <v>0</v>
      </c>
      <c r="AA18" s="200">
        <v>0</v>
      </c>
      <c r="AB18" s="200">
        <v>0</v>
      </c>
      <c r="AC18" s="200">
        <v>0</v>
      </c>
      <c r="AD18" s="200">
        <v>0</v>
      </c>
      <c r="AE18" s="200">
        <v>0</v>
      </c>
      <c r="AF18" s="200">
        <v>0</v>
      </c>
      <c r="AG18" s="200">
        <v>0</v>
      </c>
      <c r="AH18" s="200">
        <v>0</v>
      </c>
      <c r="AI18" s="200">
        <v>0</v>
      </c>
      <c r="AJ18" s="200">
        <v>0</v>
      </c>
      <c r="AK18" s="200">
        <v>0</v>
      </c>
      <c r="AL18" s="200">
        <v>0</v>
      </c>
      <c r="AM18" s="200">
        <v>0</v>
      </c>
      <c r="AN18" s="200">
        <v>0</v>
      </c>
      <c r="AO18" s="200">
        <v>0</v>
      </c>
      <c r="AP18" s="200">
        <v>0</v>
      </c>
      <c r="AQ18" s="200">
        <v>0</v>
      </c>
      <c r="AR18" s="200">
        <v>0</v>
      </c>
      <c r="AS18" s="200">
        <v>0</v>
      </c>
      <c r="AT18" s="200">
        <v>0</v>
      </c>
      <c r="AU18" s="200">
        <v>0</v>
      </c>
      <c r="AV18" s="200">
        <v>0</v>
      </c>
      <c r="AW18" s="200">
        <v>0</v>
      </c>
      <c r="AX18" s="200">
        <v>0</v>
      </c>
      <c r="AY18" s="200">
        <v>0</v>
      </c>
      <c r="AZ18" s="215">
        <v>0</v>
      </c>
      <c r="BA18" s="200">
        <v>0</v>
      </c>
      <c r="BB18" s="200">
        <v>0</v>
      </c>
      <c r="BC18" s="200">
        <v>0</v>
      </c>
      <c r="BD18" s="200">
        <v>0</v>
      </c>
      <c r="BE18" s="200">
        <v>0</v>
      </c>
      <c r="BF18" s="200">
        <v>0</v>
      </c>
      <c r="BG18" s="200">
        <v>0</v>
      </c>
      <c r="BH18" s="200">
        <v>0</v>
      </c>
      <c r="BI18" s="200">
        <v>0</v>
      </c>
      <c r="BJ18" s="200">
        <v>0</v>
      </c>
      <c r="BK18" s="200">
        <v>0</v>
      </c>
      <c r="BL18" s="200">
        <v>0</v>
      </c>
    </row>
    <row r="19" spans="2:64" x14ac:dyDescent="0.2">
      <c r="B19" s="326"/>
      <c r="C19" s="58" t="s">
        <v>23</v>
      </c>
      <c r="D19" s="27">
        <f>SUM(E19:AW19)</f>
        <v>0</v>
      </c>
      <c r="E19" s="132">
        <f>(E15+E6-E17)*E18</f>
        <v>0</v>
      </c>
      <c r="F19" s="132">
        <f>(F16-F17)*F18</f>
        <v>0</v>
      </c>
      <c r="G19" s="132">
        <f t="shared" ref="G19:BL19" si="5">(G16-G17)*G18</f>
        <v>0</v>
      </c>
      <c r="H19" s="132">
        <f t="shared" si="5"/>
        <v>0</v>
      </c>
      <c r="I19" s="132">
        <f t="shared" si="5"/>
        <v>0</v>
      </c>
      <c r="J19" s="132">
        <f t="shared" si="5"/>
        <v>0</v>
      </c>
      <c r="K19" s="132">
        <f t="shared" si="5"/>
        <v>0</v>
      </c>
      <c r="L19" s="132">
        <f t="shared" si="5"/>
        <v>0</v>
      </c>
      <c r="M19" s="132">
        <f t="shared" si="5"/>
        <v>0</v>
      </c>
      <c r="N19" s="132">
        <f t="shared" si="5"/>
        <v>0</v>
      </c>
      <c r="O19" s="132">
        <f t="shared" si="5"/>
        <v>0</v>
      </c>
      <c r="P19" s="132">
        <f t="shared" si="5"/>
        <v>0</v>
      </c>
      <c r="Q19" s="132">
        <f t="shared" si="5"/>
        <v>0</v>
      </c>
      <c r="R19" s="132">
        <f t="shared" si="5"/>
        <v>0</v>
      </c>
      <c r="S19" s="132">
        <f t="shared" si="5"/>
        <v>0</v>
      </c>
      <c r="T19" s="132">
        <f t="shared" si="5"/>
        <v>0</v>
      </c>
      <c r="U19" s="132">
        <f t="shared" si="5"/>
        <v>0</v>
      </c>
      <c r="V19" s="132">
        <f t="shared" si="5"/>
        <v>0</v>
      </c>
      <c r="W19" s="132">
        <f t="shared" si="5"/>
        <v>0</v>
      </c>
      <c r="X19" s="132">
        <f t="shared" si="5"/>
        <v>0</v>
      </c>
      <c r="Y19" s="132">
        <f t="shared" si="5"/>
        <v>0</v>
      </c>
      <c r="Z19" s="132">
        <f t="shared" si="5"/>
        <v>0</v>
      </c>
      <c r="AA19" s="132">
        <f t="shared" si="5"/>
        <v>0</v>
      </c>
      <c r="AB19" s="132">
        <f t="shared" si="5"/>
        <v>0</v>
      </c>
      <c r="AC19" s="132">
        <f t="shared" si="5"/>
        <v>0</v>
      </c>
      <c r="AD19" s="132">
        <f t="shared" si="5"/>
        <v>0</v>
      </c>
      <c r="AE19" s="132">
        <f t="shared" si="5"/>
        <v>0</v>
      </c>
      <c r="AF19" s="132">
        <f t="shared" si="5"/>
        <v>0</v>
      </c>
      <c r="AG19" s="132">
        <f t="shared" si="5"/>
        <v>0</v>
      </c>
      <c r="AH19" s="132">
        <f t="shared" si="5"/>
        <v>0</v>
      </c>
      <c r="AI19" s="132">
        <f t="shared" si="5"/>
        <v>0</v>
      </c>
      <c r="AJ19" s="132">
        <f t="shared" si="5"/>
        <v>0</v>
      </c>
      <c r="AK19" s="132">
        <f t="shared" si="5"/>
        <v>0</v>
      </c>
      <c r="AL19" s="132">
        <f t="shared" si="5"/>
        <v>0</v>
      </c>
      <c r="AM19" s="132">
        <f t="shared" si="5"/>
        <v>0</v>
      </c>
      <c r="AN19" s="132">
        <f t="shared" si="5"/>
        <v>0</v>
      </c>
      <c r="AO19" s="132">
        <f t="shared" si="5"/>
        <v>0</v>
      </c>
      <c r="AP19" s="132">
        <f t="shared" si="5"/>
        <v>0</v>
      </c>
      <c r="AQ19" s="132">
        <f t="shared" si="5"/>
        <v>0</v>
      </c>
      <c r="AR19" s="132">
        <f t="shared" si="5"/>
        <v>0</v>
      </c>
      <c r="AS19" s="132">
        <f t="shared" si="5"/>
        <v>0</v>
      </c>
      <c r="AT19" s="132">
        <f t="shared" si="5"/>
        <v>0</v>
      </c>
      <c r="AU19" s="132">
        <f t="shared" si="5"/>
        <v>0</v>
      </c>
      <c r="AV19" s="132">
        <f t="shared" si="5"/>
        <v>0</v>
      </c>
      <c r="AW19" s="132">
        <f t="shared" si="5"/>
        <v>0</v>
      </c>
      <c r="AX19" s="132">
        <f t="shared" si="5"/>
        <v>0</v>
      </c>
      <c r="AY19" s="132">
        <f t="shared" si="5"/>
        <v>0</v>
      </c>
      <c r="AZ19" s="139">
        <f t="shared" si="5"/>
        <v>0</v>
      </c>
      <c r="BA19" s="132">
        <f t="shared" si="5"/>
        <v>0</v>
      </c>
      <c r="BB19" s="132">
        <f t="shared" si="5"/>
        <v>0</v>
      </c>
      <c r="BC19" s="132">
        <f t="shared" si="5"/>
        <v>0</v>
      </c>
      <c r="BD19" s="132">
        <f t="shared" si="5"/>
        <v>0</v>
      </c>
      <c r="BE19" s="132">
        <f t="shared" si="5"/>
        <v>0</v>
      </c>
      <c r="BF19" s="132">
        <f t="shared" si="5"/>
        <v>0</v>
      </c>
      <c r="BG19" s="132">
        <f t="shared" si="5"/>
        <v>0</v>
      </c>
      <c r="BH19" s="132">
        <f t="shared" si="5"/>
        <v>0</v>
      </c>
      <c r="BI19" s="132">
        <f t="shared" si="5"/>
        <v>0</v>
      </c>
      <c r="BJ19" s="132">
        <f t="shared" si="5"/>
        <v>0</v>
      </c>
      <c r="BK19" s="132">
        <f t="shared" si="5"/>
        <v>0</v>
      </c>
      <c r="BL19" s="132">
        <f t="shared" si="5"/>
        <v>0</v>
      </c>
    </row>
    <row r="20" spans="2:64" ht="13.5" thickBot="1" x14ac:dyDescent="0.25">
      <c r="B20" s="327"/>
      <c r="C20" s="25" t="s">
        <v>22</v>
      </c>
      <c r="D20" s="30">
        <f>SUM(E20:AW20)</f>
        <v>95000</v>
      </c>
      <c r="E20" s="146">
        <f>+E15-E17+E6+E19</f>
        <v>45000</v>
      </c>
      <c r="F20" s="201">
        <f>+F16-F17+F19</f>
        <v>50000</v>
      </c>
      <c r="G20" s="201">
        <f t="shared" ref="G20:BL20" si="6">+G16-G17+G19</f>
        <v>0</v>
      </c>
      <c r="H20" s="201">
        <f t="shared" si="6"/>
        <v>0</v>
      </c>
      <c r="I20" s="201">
        <f t="shared" si="6"/>
        <v>0</v>
      </c>
      <c r="J20" s="201">
        <f t="shared" si="6"/>
        <v>0</v>
      </c>
      <c r="K20" s="201">
        <f t="shared" si="6"/>
        <v>0</v>
      </c>
      <c r="L20" s="201">
        <f t="shared" si="6"/>
        <v>0</v>
      </c>
      <c r="M20" s="201">
        <f t="shared" si="6"/>
        <v>0</v>
      </c>
      <c r="N20" s="201">
        <f t="shared" si="6"/>
        <v>0</v>
      </c>
      <c r="O20" s="201">
        <f t="shared" si="6"/>
        <v>0</v>
      </c>
      <c r="P20" s="201">
        <f t="shared" si="6"/>
        <v>0</v>
      </c>
      <c r="Q20" s="146">
        <f t="shared" ref="Q20:R20" si="7">+Q15-Q17+Q16+Q19</f>
        <v>0</v>
      </c>
      <c r="R20" s="146">
        <f t="shared" si="7"/>
        <v>0</v>
      </c>
      <c r="S20" s="201">
        <f t="shared" si="6"/>
        <v>0</v>
      </c>
      <c r="T20" s="201">
        <f t="shared" si="6"/>
        <v>0</v>
      </c>
      <c r="U20" s="201">
        <f t="shared" si="6"/>
        <v>0</v>
      </c>
      <c r="V20" s="201">
        <f t="shared" si="6"/>
        <v>0</v>
      </c>
      <c r="W20" s="201">
        <f t="shared" si="6"/>
        <v>0</v>
      </c>
      <c r="X20" s="201">
        <f t="shared" si="6"/>
        <v>0</v>
      </c>
      <c r="Y20" s="201">
        <f t="shared" si="6"/>
        <v>0</v>
      </c>
      <c r="Z20" s="201">
        <f t="shared" si="6"/>
        <v>0</v>
      </c>
      <c r="AA20" s="201">
        <f t="shared" si="6"/>
        <v>0</v>
      </c>
      <c r="AB20" s="201">
        <f t="shared" si="6"/>
        <v>0</v>
      </c>
      <c r="AC20" s="201">
        <f t="shared" si="6"/>
        <v>0</v>
      </c>
      <c r="AD20" s="201">
        <f t="shared" si="6"/>
        <v>0</v>
      </c>
      <c r="AE20" s="201">
        <f t="shared" si="6"/>
        <v>0</v>
      </c>
      <c r="AF20" s="201">
        <f t="shared" si="6"/>
        <v>0</v>
      </c>
      <c r="AG20" s="201">
        <f t="shared" si="6"/>
        <v>0</v>
      </c>
      <c r="AH20" s="201">
        <f t="shared" si="6"/>
        <v>0</v>
      </c>
      <c r="AI20" s="201">
        <f t="shared" si="6"/>
        <v>0</v>
      </c>
      <c r="AJ20" s="201">
        <f t="shared" si="6"/>
        <v>0</v>
      </c>
      <c r="AK20" s="201">
        <f t="shared" si="6"/>
        <v>0</v>
      </c>
      <c r="AL20" s="201">
        <f t="shared" si="6"/>
        <v>0</v>
      </c>
      <c r="AM20" s="201">
        <f t="shared" si="6"/>
        <v>0</v>
      </c>
      <c r="AN20" s="201">
        <f t="shared" si="6"/>
        <v>0</v>
      </c>
      <c r="AO20" s="201">
        <f t="shared" si="6"/>
        <v>0</v>
      </c>
      <c r="AP20" s="201">
        <f t="shared" si="6"/>
        <v>0</v>
      </c>
      <c r="AQ20" s="201">
        <f t="shared" si="6"/>
        <v>0</v>
      </c>
      <c r="AR20" s="201">
        <f t="shared" si="6"/>
        <v>0</v>
      </c>
      <c r="AS20" s="201">
        <f t="shared" si="6"/>
        <v>0</v>
      </c>
      <c r="AT20" s="201">
        <f t="shared" si="6"/>
        <v>0</v>
      </c>
      <c r="AU20" s="201">
        <f t="shared" si="6"/>
        <v>0</v>
      </c>
      <c r="AV20" s="201">
        <f t="shared" si="6"/>
        <v>0</v>
      </c>
      <c r="AW20" s="201">
        <f t="shared" si="6"/>
        <v>0</v>
      </c>
      <c r="AX20" s="201">
        <f t="shared" si="6"/>
        <v>0</v>
      </c>
      <c r="AY20" s="201">
        <f t="shared" si="6"/>
        <v>0</v>
      </c>
      <c r="AZ20" s="216">
        <f t="shared" si="6"/>
        <v>0</v>
      </c>
      <c r="BA20" s="201">
        <f>+BA16-BA17+BA19</f>
        <v>0</v>
      </c>
      <c r="BB20" s="201">
        <f t="shared" si="6"/>
        <v>0</v>
      </c>
      <c r="BC20" s="201">
        <f t="shared" si="6"/>
        <v>0</v>
      </c>
      <c r="BD20" s="201">
        <f t="shared" si="6"/>
        <v>0</v>
      </c>
      <c r="BE20" s="201">
        <f t="shared" si="6"/>
        <v>0</v>
      </c>
      <c r="BF20" s="201">
        <f t="shared" si="6"/>
        <v>0</v>
      </c>
      <c r="BG20" s="201">
        <f t="shared" si="6"/>
        <v>0</v>
      </c>
      <c r="BH20" s="201">
        <f t="shared" si="6"/>
        <v>0</v>
      </c>
      <c r="BI20" s="201">
        <f t="shared" si="6"/>
        <v>0</v>
      </c>
      <c r="BJ20" s="201">
        <f t="shared" si="6"/>
        <v>0</v>
      </c>
      <c r="BK20" s="201">
        <f t="shared" si="6"/>
        <v>0</v>
      </c>
      <c r="BL20" s="201">
        <f t="shared" si="6"/>
        <v>0</v>
      </c>
    </row>
    <row r="21" spans="2:64" ht="13.5" thickBot="1" x14ac:dyDescent="0.25">
      <c r="B21" s="325">
        <v>43647</v>
      </c>
      <c r="C21" s="62" t="s">
        <v>6</v>
      </c>
      <c r="D21" s="31">
        <f>SUM(E21:AW21)</f>
        <v>95000</v>
      </c>
      <c r="E21" s="285" cm="1">
        <f t="array" ref="E21">_xlfn._xlws.FILTER(CLIENTES!$E37:$BO37,(CLIENTES!$E$5:$BO$5=E$5)*(CLIENTES!$E$9:$BO$9="VENDA"),0)</f>
        <v>45000</v>
      </c>
      <c r="F21" s="285" cm="1">
        <f t="array" ref="F21">_xlfn._xlws.FILTER(CLIENTES!$E37:$BO37,(CLIENTES!$E$5:$BO$5=F$5)*(CLIENTES!$E$9:$BO$9="VENDA"),0)</f>
        <v>50000</v>
      </c>
      <c r="G21" s="285" cm="1">
        <f t="array" ref="G21">_xlfn._xlws.FILTER(CLIENTES!$E37:$BO37,(CLIENTES!$E$5:$BO$5=G$5)*(CLIENTES!$E$9:$BO$9="VENDA"),0)</f>
        <v>0</v>
      </c>
      <c r="H21" s="285" cm="1">
        <f t="array" ref="H21">_xlfn._xlws.FILTER(CLIENTES!$E37:$BO37,(CLIENTES!$E$5:$BO$5=H$5)*(CLIENTES!$E$9:$BO$9="VENDA"),0)</f>
        <v>0</v>
      </c>
      <c r="I21" s="285" cm="1">
        <f t="array" ref="I21">_xlfn._xlws.FILTER(CLIENTES!$E37:$BO37,(CLIENTES!$E$5:$BO$5=I$5)*(CLIENTES!$E$9:$BO$9="VENDA"),0)</f>
        <v>0</v>
      </c>
      <c r="J21" s="285" cm="1">
        <f t="array" ref="J21">_xlfn._xlws.FILTER(CLIENTES!$E37:$BO37,(CLIENTES!$E$5:$BO$5=J$5)*(CLIENTES!$E$9:$BO$9="VENDA"),0)</f>
        <v>0</v>
      </c>
      <c r="K21" s="285" cm="1">
        <f t="array" ref="K21">_xlfn._xlws.FILTER(CLIENTES!$E37:$BO37,(CLIENTES!$E$5:$BO$5=K$5)*(CLIENTES!$E$9:$BO$9="VENDA"),0)</f>
        <v>0</v>
      </c>
      <c r="L21" s="285" cm="1">
        <f t="array" ref="L21">_xlfn._xlws.FILTER(CLIENTES!$E37:$BO37,(CLIENTES!$E$5:$BO$5=L$5)*(CLIENTES!$E$9:$BO$9="VENDA"),0)</f>
        <v>0</v>
      </c>
      <c r="M21" s="285" cm="1">
        <f t="array" ref="M21">_xlfn._xlws.FILTER(CLIENTES!$E37:$BO37,(CLIENTES!$E$5:$BO$5=M$5)*(CLIENTES!$E$9:$BO$9="VENDA"),0)</f>
        <v>0</v>
      </c>
      <c r="N21" s="285" cm="1">
        <f t="array" ref="N21">_xlfn._xlws.FILTER(CLIENTES!$E37:$BO37,(CLIENTES!$E$5:$BO$5=N$5)*(CLIENTES!$E$9:$BO$9="VENDA"),0)</f>
        <v>0</v>
      </c>
      <c r="O21" s="285" cm="1">
        <f t="array" ref="O21">_xlfn._xlws.FILTER(CLIENTES!$E37:$BO37,(CLIENTES!$E$5:$BO$5=O$5)*(CLIENTES!$E$9:$BO$9="VENDA"),0)</f>
        <v>0</v>
      </c>
      <c r="P21" s="285" cm="1">
        <f t="array" ref="P21">_xlfn._xlws.FILTER(CLIENTES!$E37:$BO37,(CLIENTES!$E$5:$BO$5=P$5)*(CLIENTES!$E$9:$BO$9="VENDA"),0)</f>
        <v>0</v>
      </c>
      <c r="Q21" s="285" cm="1">
        <f t="array" ref="Q21">_xlfn._xlws.FILTER(CLIENTES!$E37:$BO37,(CLIENTES!$E$5:$BO$5=Q$5)*(CLIENTES!$E$9:$BO$9="VENDA"),0)</f>
        <v>0</v>
      </c>
      <c r="R21" s="285" cm="1">
        <f t="array" ref="R21">_xlfn._xlws.FILTER(CLIENTES!$E37:$BO37,(CLIENTES!$E$5:$BO$5=R$5)*(CLIENTES!$E$9:$BO$9="VENDA"),0)</f>
        <v>0</v>
      </c>
      <c r="S21" s="285" cm="1">
        <f t="array" ref="S21">_xlfn._xlws.FILTER(CLIENTES!$E37:$BO37,(CLIENTES!$E$5:$BO$5=S$5)*(CLIENTES!$E$9:$BO$9="VENDA"),0)</f>
        <v>0</v>
      </c>
      <c r="T21" s="285" cm="1">
        <f t="array" ref="T21">_xlfn._xlws.FILTER(CLIENTES!$E37:$BO37,(CLIENTES!$E$5:$BO$5=T$5)*(CLIENTES!$E$9:$BO$9="VENDA"),0)</f>
        <v>0</v>
      </c>
      <c r="U21" s="285" cm="1">
        <f t="array" ref="U21">_xlfn._xlws.FILTER(CLIENTES!$E37:$BO37,(CLIENTES!$E$5:$BO$5=U$5)*(CLIENTES!$E$9:$BO$9="VENDA"),0)</f>
        <v>0</v>
      </c>
      <c r="V21" s="285" cm="1">
        <f t="array" ref="V21">_xlfn._xlws.FILTER(CLIENTES!$E37:$BO37,(CLIENTES!$E$5:$BO$5=V$5)*(CLIENTES!$E$9:$BO$9="VENDA"),0)</f>
        <v>0</v>
      </c>
      <c r="W21" s="285" cm="1">
        <f t="array" ref="W21">_xlfn._xlws.FILTER(CLIENTES!$E37:$BO37,(CLIENTES!$E$5:$BO$5=W$5)*(CLIENTES!$E$9:$BO$9="VENDA"),0)</f>
        <v>0</v>
      </c>
      <c r="X21" s="285" cm="1">
        <f t="array" ref="X21">_xlfn._xlws.FILTER(CLIENTES!$E37:$BO37,(CLIENTES!$E$5:$BO$5=X$5)*(CLIENTES!$E$9:$BO$9="VENDA"),0)</f>
        <v>0</v>
      </c>
      <c r="Y21" s="285" cm="1">
        <f t="array" ref="Y21">_xlfn._xlws.FILTER(CLIENTES!$E37:$BO37,(CLIENTES!$E$5:$BO$5=Y$5)*(CLIENTES!$E$9:$BO$9="VENDA"),0)</f>
        <v>0</v>
      </c>
      <c r="Z21" s="285" cm="1">
        <f t="array" ref="Z21">_xlfn._xlws.FILTER(CLIENTES!$E37:$BO37,(CLIENTES!$E$5:$BO$5=Z$5)*(CLIENTES!$E$9:$BO$9="VENDA"),0)</f>
        <v>0</v>
      </c>
      <c r="AA21" s="285" cm="1">
        <f t="array" ref="AA21">_xlfn._xlws.FILTER(CLIENTES!$E37:$BO37,(CLIENTES!$E$5:$BO$5=AA$5)*(CLIENTES!$E$9:$BO$9="VENDA"),0)</f>
        <v>0</v>
      </c>
      <c r="AB21" s="285" cm="1">
        <f t="array" ref="AB21">_xlfn._xlws.FILTER(CLIENTES!$E37:$BO37,(CLIENTES!$E$5:$BO$5=AB$5)*(CLIENTES!$E$9:$BO$9="VENDA"),0)</f>
        <v>0</v>
      </c>
      <c r="AC21" s="285" cm="1">
        <f t="array" ref="AC21">_xlfn._xlws.FILTER(CLIENTES!$E37:$BO37,(CLIENTES!$E$5:$BO$5=AC$5)*(CLIENTES!$E$9:$BO$9="VENDA"),0)</f>
        <v>0</v>
      </c>
      <c r="AD21" s="285" cm="1">
        <f t="array" ref="AD21">_xlfn._xlws.FILTER(CLIENTES!$E37:$BO37,(CLIENTES!$E$5:$BO$5=AD$5)*(CLIENTES!$E$9:$BO$9="VENDA"),0)</f>
        <v>0</v>
      </c>
      <c r="AE21" s="285" cm="1">
        <f t="array" ref="AE21">_xlfn._xlws.FILTER(CLIENTES!$E37:$BO37,(CLIENTES!$E$5:$BO$5=AE$5)*(CLIENTES!$E$9:$BO$9="VENDA"),0)</f>
        <v>0</v>
      </c>
      <c r="AF21" s="285" cm="1">
        <f t="array" ref="AF21">_xlfn._xlws.FILTER(CLIENTES!$E37:$BO37,(CLIENTES!$E$5:$BO$5=AF$5)*(CLIENTES!$E$9:$BO$9="VENDA"),0)</f>
        <v>0</v>
      </c>
      <c r="AG21" s="285" cm="1">
        <f t="array" ref="AG21">_xlfn._xlws.FILTER(CLIENTES!$E37:$BO37,(CLIENTES!$E$5:$BO$5=AG$5)*(CLIENTES!$E$9:$BO$9="VENDA"),0)</f>
        <v>0</v>
      </c>
      <c r="AH21" s="285" cm="1">
        <f t="array" ref="AH21">_xlfn._xlws.FILTER(CLIENTES!$E37:$BO37,(CLIENTES!$E$5:$BO$5=AH$5)*(CLIENTES!$E$9:$BO$9="VENDA"),0)</f>
        <v>0</v>
      </c>
      <c r="AI21" s="285" cm="1">
        <f t="array" ref="AI21">_xlfn._xlws.FILTER(CLIENTES!$E37:$BO37,(CLIENTES!$E$5:$BO$5=AI$5)*(CLIENTES!$E$9:$BO$9="VENDA"),0)</f>
        <v>0</v>
      </c>
      <c r="AJ21" s="285" cm="1">
        <f t="array" ref="AJ21">_xlfn._xlws.FILTER(CLIENTES!$E37:$BO37,(CLIENTES!$E$5:$BO$5=AJ$5)*(CLIENTES!$E$9:$BO$9="VENDA"),0)</f>
        <v>0</v>
      </c>
      <c r="AK21" s="285" cm="1">
        <f t="array" ref="AK21">_xlfn._xlws.FILTER(CLIENTES!$E37:$BO37,(CLIENTES!$E$5:$BO$5=AK$5)*(CLIENTES!$E$9:$BO$9="VENDA"),0)</f>
        <v>0</v>
      </c>
      <c r="AL21" s="285" cm="1">
        <f t="array" ref="AL21">_xlfn._xlws.FILTER(CLIENTES!$E37:$BO37,(CLIENTES!$E$5:$BO$5=AL$5)*(CLIENTES!$E$9:$BO$9="VENDA"),0)</f>
        <v>0</v>
      </c>
      <c r="AM21" s="285" cm="1">
        <f t="array" ref="AM21">_xlfn._xlws.FILTER(CLIENTES!$E37:$BO37,(CLIENTES!$E$5:$BO$5=AM$5)*(CLIENTES!$E$9:$BO$9="VENDA"),0)</f>
        <v>0</v>
      </c>
      <c r="AN21" s="285" cm="1">
        <f t="array" ref="AN21">_xlfn._xlws.FILTER(CLIENTES!$E37:$BO37,(CLIENTES!$E$5:$BO$5=AN$5)*(CLIENTES!$E$9:$BO$9="VENDA"),0)</f>
        <v>0</v>
      </c>
      <c r="AO21" s="285" cm="1">
        <f t="array" ref="AO21">_xlfn._xlws.FILTER(CLIENTES!$E37:$BO37,(CLIENTES!$E$5:$BO$5=AO$5)*(CLIENTES!$E$9:$BO$9="VENDA"),0)</f>
        <v>0</v>
      </c>
      <c r="AP21" s="285" cm="1">
        <f t="array" ref="AP21">_xlfn._xlws.FILTER(CLIENTES!$E37:$BO37,(CLIENTES!$E$5:$BO$5=AP$5)*(CLIENTES!$E$9:$BO$9="VENDA"),0)</f>
        <v>0</v>
      </c>
      <c r="AQ21" s="285" cm="1">
        <f t="array" ref="AQ21">_xlfn._xlws.FILTER(CLIENTES!$E37:$BO37,(CLIENTES!$E$5:$BO$5=AQ$5)*(CLIENTES!$E$9:$BO$9="VENDA"),0)</f>
        <v>0</v>
      </c>
      <c r="AR21" s="285" cm="1">
        <f t="array" ref="AR21">_xlfn._xlws.FILTER(CLIENTES!$E37:$BO37,(CLIENTES!$E$5:$BO$5=AR$5)*(CLIENTES!$E$9:$BO$9="VENDA"),0)</f>
        <v>0</v>
      </c>
      <c r="AS21" s="285" cm="1">
        <f t="array" ref="AS21">_xlfn._xlws.FILTER(CLIENTES!$E37:$BO37,(CLIENTES!$E$5:$BO$5=AS$5)*(CLIENTES!$E$9:$BO$9="VENDA"),0)</f>
        <v>0</v>
      </c>
      <c r="AT21" s="285" cm="1">
        <f t="array" ref="AT21">_xlfn._xlws.FILTER(CLIENTES!$E37:$BO37,(CLIENTES!$E$5:$BO$5=AT$5)*(CLIENTES!$E$9:$BO$9="VENDA"),0)</f>
        <v>0</v>
      </c>
      <c r="AU21" s="285" cm="1">
        <f t="array" ref="AU21">_xlfn._xlws.FILTER(CLIENTES!$E37:$BO37,(CLIENTES!$E$5:$BO$5=AU$5)*(CLIENTES!$E$9:$BO$9="VENDA"),0)</f>
        <v>0</v>
      </c>
      <c r="AV21" s="285" cm="1">
        <f t="array" ref="AV21">_xlfn._xlws.FILTER(CLIENTES!$E37:$BO37,(CLIENTES!$E$5:$BO$5=AV$5)*(CLIENTES!$E$9:$BO$9="VENDA"),0)</f>
        <v>0</v>
      </c>
      <c r="AW21" s="285" cm="1">
        <f t="array" ref="AW21">_xlfn._xlws.FILTER(CLIENTES!$E37:$BO37,(CLIENTES!$E$5:$BO$5=AW$5)*(CLIENTES!$E$9:$BO$9="VENDA"),0)</f>
        <v>0</v>
      </c>
      <c r="AX21" s="285" cm="1">
        <f t="array" ref="AX21">_xlfn._xlws.FILTER(CLIENTES!$E37:$BO37,(CLIENTES!$E$5:$BO$5=AX$5)*(CLIENTES!$E$9:$BO$9="VENDA"),0)</f>
        <v>0</v>
      </c>
      <c r="AY21" s="285" cm="1">
        <f t="array" ref="AY21">_xlfn._xlws.FILTER(CLIENTES!$E37:$BO37,(CLIENTES!$E$5:$BO$5=AY$5)*(CLIENTES!$E$9:$BO$9="VENDA"),0)</f>
        <v>0</v>
      </c>
      <c r="AZ21" s="285" cm="1">
        <f t="array" ref="AZ21">_xlfn._xlws.FILTER(CLIENTES!$E37:$BO37,(CLIENTES!$E$5:$BO$5=AZ$5)*(CLIENTES!$E$9:$BO$9="VENDA"),0)</f>
        <v>0</v>
      </c>
      <c r="BA21" s="285" cm="1">
        <f t="array" ref="BA21">_xlfn._xlws.FILTER(CLIENTES!$E37:$BO37,(CLIENTES!$E$5:$BO$5=BA$5)*(CLIENTES!$E$9:$BO$9="VENDA"),0)</f>
        <v>0</v>
      </c>
      <c r="BB21" s="285" cm="1">
        <f t="array" ref="BB21">_xlfn._xlws.FILTER(CLIENTES!$E37:$BO37,(CLIENTES!$E$5:$BO$5=BB$5)*(CLIENTES!$E$9:$BO$9="VENDA"),0)</f>
        <v>0</v>
      </c>
      <c r="BC21" s="285" cm="1">
        <f t="array" ref="BC21">_xlfn._xlws.FILTER(CLIENTES!$E37:$BO37,(CLIENTES!$E$5:$BO$5=BC$5)*(CLIENTES!$E$9:$BO$9="VENDA"),0)</f>
        <v>0</v>
      </c>
      <c r="BD21" s="285" cm="1">
        <f t="array" ref="BD21">_xlfn._xlws.FILTER(CLIENTES!$E37:$BO37,(CLIENTES!$E$5:$BO$5=BD$5)*(CLIENTES!$E$9:$BO$9="VENDA"),0)</f>
        <v>0</v>
      </c>
      <c r="BE21" s="285" cm="1">
        <f t="array" ref="BE21">_xlfn._xlws.FILTER(CLIENTES!$E37:$BO37,(CLIENTES!$E$5:$BO$5=BE$5)*(CLIENTES!$E$9:$BO$9="VENDA"),0)</f>
        <v>0</v>
      </c>
      <c r="BF21" s="285" cm="1">
        <f t="array" ref="BF21">_xlfn._xlws.FILTER(CLIENTES!$E37:$BO37,(CLIENTES!$E$5:$BO$5=BF$5)*(CLIENTES!$E$9:$BO$9="VENDA"),0)</f>
        <v>0</v>
      </c>
      <c r="BG21" s="285" cm="1">
        <f t="array" ref="BG21">_xlfn._xlws.FILTER(CLIENTES!$E37:$BO37,(CLIENTES!$E$5:$BO$5=BG$5)*(CLIENTES!$E$9:$BO$9="VENDA"),0)</f>
        <v>0</v>
      </c>
      <c r="BH21" s="285" cm="1">
        <f t="array" ref="BH21">_xlfn._xlws.FILTER(CLIENTES!$E37:$BO37,(CLIENTES!$E$5:$BO$5=BH$5)*(CLIENTES!$E$9:$BO$9="VENDA"),0)</f>
        <v>0</v>
      </c>
      <c r="BI21" s="285" cm="1">
        <f t="array" ref="BI21">_xlfn._xlws.FILTER(CLIENTES!$E37:$BO37,(CLIENTES!$E$5:$BO$5=BI$5)*(CLIENTES!$E$9:$BO$9="VENDA"),0)</f>
        <v>0</v>
      </c>
      <c r="BJ21" s="285" cm="1">
        <f t="array" ref="BJ21">_xlfn._xlws.FILTER(CLIENTES!$E37:$BO37,(CLIENTES!$E$5:$BO$5=BJ$5)*(CLIENTES!$E$9:$BO$9="VENDA"),0)</f>
        <v>0</v>
      </c>
      <c r="BK21" s="285" cm="1">
        <f t="array" ref="BK21">_xlfn._xlws.FILTER(CLIENTES!$E37:$BO37,(CLIENTES!$E$5:$BO$5=BK$5)*(CLIENTES!$E$9:$BO$9="VENDA"),0)</f>
        <v>0</v>
      </c>
      <c r="BL21" s="285" cm="1">
        <f t="array" ref="BL21">_xlfn._xlws.FILTER(CLIENTES!$E37:$BO37,(CLIENTES!$E$5:$BO$5=BL$5)*(CLIENTES!$E$9:$BO$9="VENDA"),0)</f>
        <v>0</v>
      </c>
    </row>
    <row r="22" spans="2:64" ht="13.5" thickBot="1" x14ac:dyDescent="0.25">
      <c r="B22" s="326"/>
      <c r="C22" s="23" t="s">
        <v>9</v>
      </c>
      <c r="D22" s="27">
        <f>SUM(E22:AW22)</f>
        <v>0</v>
      </c>
      <c r="E22" s="285" cm="1">
        <f t="array" ref="E22">_xlfn._xlws.FILTER(CLIENTES!$E38:$BO38,(CLIENTES!$E$5:$BO$5=E$5)*(CLIENTES!$E$9:$BO$9="VENDA"),0)</f>
        <v>0</v>
      </c>
      <c r="F22" s="285" cm="1">
        <f t="array" ref="F22">_xlfn._xlws.FILTER(CLIENTES!$E38:$BO38,(CLIENTES!$E$5:$BO$5=F$5)*(CLIENTES!$E$9:$BO$9="VENDA"),0)</f>
        <v>0</v>
      </c>
      <c r="G22" s="285" cm="1">
        <f t="array" ref="G22">_xlfn._xlws.FILTER(CLIENTES!$E38:$BO38,(CLIENTES!$E$5:$BO$5=G$5)*(CLIENTES!$E$9:$BO$9="VENDA"),0)</f>
        <v>0</v>
      </c>
      <c r="H22" s="285" cm="1">
        <f t="array" ref="H22">_xlfn._xlws.FILTER(CLIENTES!$E38:$BO38,(CLIENTES!$E$5:$BO$5=H$5)*(CLIENTES!$E$9:$BO$9="VENDA"),0)</f>
        <v>0</v>
      </c>
      <c r="I22" s="285" cm="1">
        <f t="array" ref="I22">_xlfn._xlws.FILTER(CLIENTES!$E38:$BO38,(CLIENTES!$E$5:$BO$5=I$5)*(CLIENTES!$E$9:$BO$9="VENDA"),0)</f>
        <v>0</v>
      </c>
      <c r="J22" s="285" cm="1">
        <f t="array" ref="J22">_xlfn._xlws.FILTER(CLIENTES!$E38:$BO38,(CLIENTES!$E$5:$BO$5=J$5)*(CLIENTES!$E$9:$BO$9="VENDA"),0)</f>
        <v>0</v>
      </c>
      <c r="K22" s="285" cm="1">
        <f t="array" ref="K22">_xlfn._xlws.FILTER(CLIENTES!$E38:$BO38,(CLIENTES!$E$5:$BO$5=K$5)*(CLIENTES!$E$9:$BO$9="VENDA"),0)</f>
        <v>0</v>
      </c>
      <c r="L22" s="285" cm="1">
        <f t="array" ref="L22">_xlfn._xlws.FILTER(CLIENTES!$E38:$BO38,(CLIENTES!$E$5:$BO$5=L$5)*(CLIENTES!$E$9:$BO$9="VENDA"),0)</f>
        <v>0</v>
      </c>
      <c r="M22" s="285" cm="1">
        <f t="array" ref="M22">_xlfn._xlws.FILTER(CLIENTES!$E38:$BO38,(CLIENTES!$E$5:$BO$5=M$5)*(CLIENTES!$E$9:$BO$9="VENDA"),0)</f>
        <v>0</v>
      </c>
      <c r="N22" s="285" cm="1">
        <f t="array" ref="N22">_xlfn._xlws.FILTER(CLIENTES!$E38:$BO38,(CLIENTES!$E$5:$BO$5=N$5)*(CLIENTES!$E$9:$BO$9="VENDA"),0)</f>
        <v>0</v>
      </c>
      <c r="O22" s="285" cm="1">
        <f t="array" ref="O22">_xlfn._xlws.FILTER(CLIENTES!$E38:$BO38,(CLIENTES!$E$5:$BO$5=O$5)*(CLIENTES!$E$9:$BO$9="VENDA"),0)</f>
        <v>0</v>
      </c>
      <c r="P22" s="285" cm="1">
        <f t="array" ref="P22">_xlfn._xlws.FILTER(CLIENTES!$E38:$BO38,(CLIENTES!$E$5:$BO$5=P$5)*(CLIENTES!$E$9:$BO$9="VENDA"),0)</f>
        <v>0</v>
      </c>
      <c r="Q22" s="285" cm="1">
        <f t="array" ref="Q22">_xlfn._xlws.FILTER(CLIENTES!$E38:$BO38,(CLIENTES!$E$5:$BO$5=Q$5)*(CLIENTES!$E$9:$BO$9="VENDA"),0)</f>
        <v>0</v>
      </c>
      <c r="R22" s="285" cm="1">
        <f t="array" ref="R22">_xlfn._xlws.FILTER(CLIENTES!$E38:$BO38,(CLIENTES!$E$5:$BO$5=R$5)*(CLIENTES!$E$9:$BO$9="VENDA"),0)</f>
        <v>0</v>
      </c>
      <c r="S22" s="285" cm="1">
        <f t="array" ref="S22">_xlfn._xlws.FILTER(CLIENTES!$E38:$BO38,(CLIENTES!$E$5:$BO$5=S$5)*(CLIENTES!$E$9:$BO$9="VENDA"),0)</f>
        <v>0</v>
      </c>
      <c r="T22" s="285" cm="1">
        <f t="array" ref="T22">_xlfn._xlws.FILTER(CLIENTES!$E38:$BO38,(CLIENTES!$E$5:$BO$5=T$5)*(CLIENTES!$E$9:$BO$9="VENDA"),0)</f>
        <v>0</v>
      </c>
      <c r="U22" s="285" cm="1">
        <f t="array" ref="U22">_xlfn._xlws.FILTER(CLIENTES!$E38:$BO38,(CLIENTES!$E$5:$BO$5=U$5)*(CLIENTES!$E$9:$BO$9="VENDA"),0)</f>
        <v>0</v>
      </c>
      <c r="V22" s="285" cm="1">
        <f t="array" ref="V22">_xlfn._xlws.FILTER(CLIENTES!$E38:$BO38,(CLIENTES!$E$5:$BO$5=V$5)*(CLIENTES!$E$9:$BO$9="VENDA"),0)</f>
        <v>0</v>
      </c>
      <c r="W22" s="285" cm="1">
        <f t="array" ref="W22">_xlfn._xlws.FILTER(CLIENTES!$E38:$BO38,(CLIENTES!$E$5:$BO$5=W$5)*(CLIENTES!$E$9:$BO$9="VENDA"),0)</f>
        <v>0</v>
      </c>
      <c r="X22" s="285" cm="1">
        <f t="array" ref="X22">_xlfn._xlws.FILTER(CLIENTES!$E38:$BO38,(CLIENTES!$E$5:$BO$5=X$5)*(CLIENTES!$E$9:$BO$9="VENDA"),0)</f>
        <v>0</v>
      </c>
      <c r="Y22" s="285" cm="1">
        <f t="array" ref="Y22">_xlfn._xlws.FILTER(CLIENTES!$E38:$BO38,(CLIENTES!$E$5:$BO$5=Y$5)*(CLIENTES!$E$9:$BO$9="VENDA"),0)</f>
        <v>0</v>
      </c>
      <c r="Z22" s="285" cm="1">
        <f t="array" ref="Z22">_xlfn._xlws.FILTER(CLIENTES!$E38:$BO38,(CLIENTES!$E$5:$BO$5=Z$5)*(CLIENTES!$E$9:$BO$9="VENDA"),0)</f>
        <v>0</v>
      </c>
      <c r="AA22" s="285" cm="1">
        <f t="array" ref="AA22">_xlfn._xlws.FILTER(CLIENTES!$E38:$BO38,(CLIENTES!$E$5:$BO$5=AA$5)*(CLIENTES!$E$9:$BO$9="VENDA"),0)</f>
        <v>0</v>
      </c>
      <c r="AB22" s="285" cm="1">
        <f t="array" ref="AB22">_xlfn._xlws.FILTER(CLIENTES!$E38:$BO38,(CLIENTES!$E$5:$BO$5=AB$5)*(CLIENTES!$E$9:$BO$9="VENDA"),0)</f>
        <v>0</v>
      </c>
      <c r="AC22" s="285" cm="1">
        <f t="array" ref="AC22">_xlfn._xlws.FILTER(CLIENTES!$E38:$BO38,(CLIENTES!$E$5:$BO$5=AC$5)*(CLIENTES!$E$9:$BO$9="VENDA"),0)</f>
        <v>0</v>
      </c>
      <c r="AD22" s="285" cm="1">
        <f t="array" ref="AD22">_xlfn._xlws.FILTER(CLIENTES!$E38:$BO38,(CLIENTES!$E$5:$BO$5=AD$5)*(CLIENTES!$E$9:$BO$9="VENDA"),0)</f>
        <v>0</v>
      </c>
      <c r="AE22" s="285" cm="1">
        <f t="array" ref="AE22">_xlfn._xlws.FILTER(CLIENTES!$E38:$BO38,(CLIENTES!$E$5:$BO$5=AE$5)*(CLIENTES!$E$9:$BO$9="VENDA"),0)</f>
        <v>0</v>
      </c>
      <c r="AF22" s="285" cm="1">
        <f t="array" ref="AF22">_xlfn._xlws.FILTER(CLIENTES!$E38:$BO38,(CLIENTES!$E$5:$BO$5=AF$5)*(CLIENTES!$E$9:$BO$9="VENDA"),0)</f>
        <v>0</v>
      </c>
      <c r="AG22" s="285" cm="1">
        <f t="array" ref="AG22">_xlfn._xlws.FILTER(CLIENTES!$E38:$BO38,(CLIENTES!$E$5:$BO$5=AG$5)*(CLIENTES!$E$9:$BO$9="VENDA"),0)</f>
        <v>0</v>
      </c>
      <c r="AH22" s="285" cm="1">
        <f t="array" ref="AH22">_xlfn._xlws.FILTER(CLIENTES!$E38:$BO38,(CLIENTES!$E$5:$BO$5=AH$5)*(CLIENTES!$E$9:$BO$9="VENDA"),0)</f>
        <v>0</v>
      </c>
      <c r="AI22" s="285" cm="1">
        <f t="array" ref="AI22">_xlfn._xlws.FILTER(CLIENTES!$E38:$BO38,(CLIENTES!$E$5:$BO$5=AI$5)*(CLIENTES!$E$9:$BO$9="VENDA"),0)</f>
        <v>0</v>
      </c>
      <c r="AJ22" s="285" cm="1">
        <f t="array" ref="AJ22">_xlfn._xlws.FILTER(CLIENTES!$E38:$BO38,(CLIENTES!$E$5:$BO$5=AJ$5)*(CLIENTES!$E$9:$BO$9="VENDA"),0)</f>
        <v>0</v>
      </c>
      <c r="AK22" s="285" cm="1">
        <f t="array" ref="AK22">_xlfn._xlws.FILTER(CLIENTES!$E38:$BO38,(CLIENTES!$E$5:$BO$5=AK$5)*(CLIENTES!$E$9:$BO$9="VENDA"),0)</f>
        <v>0</v>
      </c>
      <c r="AL22" s="285" cm="1">
        <f t="array" ref="AL22">_xlfn._xlws.FILTER(CLIENTES!$E38:$BO38,(CLIENTES!$E$5:$BO$5=AL$5)*(CLIENTES!$E$9:$BO$9="VENDA"),0)</f>
        <v>0</v>
      </c>
      <c r="AM22" s="285" cm="1">
        <f t="array" ref="AM22">_xlfn._xlws.FILTER(CLIENTES!$E38:$BO38,(CLIENTES!$E$5:$BO$5=AM$5)*(CLIENTES!$E$9:$BO$9="VENDA"),0)</f>
        <v>0</v>
      </c>
      <c r="AN22" s="285" cm="1">
        <f t="array" ref="AN22">_xlfn._xlws.FILTER(CLIENTES!$E38:$BO38,(CLIENTES!$E$5:$BO$5=AN$5)*(CLIENTES!$E$9:$BO$9="VENDA"),0)</f>
        <v>0</v>
      </c>
      <c r="AO22" s="285" cm="1">
        <f t="array" ref="AO22">_xlfn._xlws.FILTER(CLIENTES!$E38:$BO38,(CLIENTES!$E$5:$BO$5=AO$5)*(CLIENTES!$E$9:$BO$9="VENDA"),0)</f>
        <v>0</v>
      </c>
      <c r="AP22" s="285" cm="1">
        <f t="array" ref="AP22">_xlfn._xlws.FILTER(CLIENTES!$E38:$BO38,(CLIENTES!$E$5:$BO$5=AP$5)*(CLIENTES!$E$9:$BO$9="VENDA"),0)</f>
        <v>0</v>
      </c>
      <c r="AQ22" s="285" cm="1">
        <f t="array" ref="AQ22">_xlfn._xlws.FILTER(CLIENTES!$E38:$BO38,(CLIENTES!$E$5:$BO$5=AQ$5)*(CLIENTES!$E$9:$BO$9="VENDA"),0)</f>
        <v>0</v>
      </c>
      <c r="AR22" s="285" cm="1">
        <f t="array" ref="AR22">_xlfn._xlws.FILTER(CLIENTES!$E38:$BO38,(CLIENTES!$E$5:$BO$5=AR$5)*(CLIENTES!$E$9:$BO$9="VENDA"),0)</f>
        <v>0</v>
      </c>
      <c r="AS22" s="285" cm="1">
        <f t="array" ref="AS22">_xlfn._xlws.FILTER(CLIENTES!$E38:$BO38,(CLIENTES!$E$5:$BO$5=AS$5)*(CLIENTES!$E$9:$BO$9="VENDA"),0)</f>
        <v>0</v>
      </c>
      <c r="AT22" s="285" cm="1">
        <f t="array" ref="AT22">_xlfn._xlws.FILTER(CLIENTES!$E38:$BO38,(CLIENTES!$E$5:$BO$5=AT$5)*(CLIENTES!$E$9:$BO$9="VENDA"),0)</f>
        <v>0</v>
      </c>
      <c r="AU22" s="285" cm="1">
        <f t="array" ref="AU22">_xlfn._xlws.FILTER(CLIENTES!$E38:$BO38,(CLIENTES!$E$5:$BO$5=AU$5)*(CLIENTES!$E$9:$BO$9="VENDA"),0)</f>
        <v>0</v>
      </c>
      <c r="AV22" s="285" cm="1">
        <f t="array" ref="AV22">_xlfn._xlws.FILTER(CLIENTES!$E38:$BO38,(CLIENTES!$E$5:$BO$5=AV$5)*(CLIENTES!$E$9:$BO$9="VENDA"),0)</f>
        <v>0</v>
      </c>
      <c r="AW22" s="285" cm="1">
        <f t="array" ref="AW22">_xlfn._xlws.FILTER(CLIENTES!$E38:$BO38,(CLIENTES!$E$5:$BO$5=AW$5)*(CLIENTES!$E$9:$BO$9="VENDA"),0)</f>
        <v>0</v>
      </c>
      <c r="AX22" s="285" cm="1">
        <f t="array" ref="AX22">_xlfn._xlws.FILTER(CLIENTES!$E38:$BO38,(CLIENTES!$E$5:$BO$5=AX$5)*(CLIENTES!$E$9:$BO$9="VENDA"),0)</f>
        <v>0</v>
      </c>
      <c r="AY22" s="285" cm="1">
        <f t="array" ref="AY22">_xlfn._xlws.FILTER(CLIENTES!$E38:$BO38,(CLIENTES!$E$5:$BO$5=AY$5)*(CLIENTES!$E$9:$BO$9="VENDA"),0)</f>
        <v>0</v>
      </c>
      <c r="AZ22" s="285" cm="1">
        <f t="array" ref="AZ22">_xlfn._xlws.FILTER(CLIENTES!$E38:$BO38,(CLIENTES!$E$5:$BO$5=AZ$5)*(CLIENTES!$E$9:$BO$9="VENDA"),0)</f>
        <v>0</v>
      </c>
      <c r="BA22" s="285" cm="1">
        <f t="array" ref="BA22">_xlfn._xlws.FILTER(CLIENTES!$E38:$BO38,(CLIENTES!$E$5:$BO$5=BA$5)*(CLIENTES!$E$9:$BO$9="VENDA"),0)</f>
        <v>0</v>
      </c>
      <c r="BB22" s="285" cm="1">
        <f t="array" ref="BB22">_xlfn._xlws.FILTER(CLIENTES!$E38:$BO38,(CLIENTES!$E$5:$BO$5=BB$5)*(CLIENTES!$E$9:$BO$9="VENDA"),0)</f>
        <v>0</v>
      </c>
      <c r="BC22" s="285" cm="1">
        <f t="array" ref="BC22">_xlfn._xlws.FILTER(CLIENTES!$E38:$BO38,(CLIENTES!$E$5:$BO$5=BC$5)*(CLIENTES!$E$9:$BO$9="VENDA"),0)</f>
        <v>0</v>
      </c>
      <c r="BD22" s="285" cm="1">
        <f t="array" ref="BD22">_xlfn._xlws.FILTER(CLIENTES!$E38:$BO38,(CLIENTES!$E$5:$BO$5=BD$5)*(CLIENTES!$E$9:$BO$9="VENDA"),0)</f>
        <v>0</v>
      </c>
      <c r="BE22" s="285" cm="1">
        <f t="array" ref="BE22">_xlfn._xlws.FILTER(CLIENTES!$E38:$BO38,(CLIENTES!$E$5:$BO$5=BE$5)*(CLIENTES!$E$9:$BO$9="VENDA"),0)</f>
        <v>0</v>
      </c>
      <c r="BF22" s="285" cm="1">
        <f t="array" ref="BF22">_xlfn._xlws.FILTER(CLIENTES!$E38:$BO38,(CLIENTES!$E$5:$BO$5=BF$5)*(CLIENTES!$E$9:$BO$9="VENDA"),0)</f>
        <v>0</v>
      </c>
      <c r="BG22" s="285" cm="1">
        <f t="array" ref="BG22">_xlfn._xlws.FILTER(CLIENTES!$E38:$BO38,(CLIENTES!$E$5:$BO$5=BG$5)*(CLIENTES!$E$9:$BO$9="VENDA"),0)</f>
        <v>0</v>
      </c>
      <c r="BH22" s="285" cm="1">
        <f t="array" ref="BH22">_xlfn._xlws.FILTER(CLIENTES!$E38:$BO38,(CLIENTES!$E$5:$BO$5=BH$5)*(CLIENTES!$E$9:$BO$9="VENDA"),0)</f>
        <v>0</v>
      </c>
      <c r="BI22" s="285" cm="1">
        <f t="array" ref="BI22">_xlfn._xlws.FILTER(CLIENTES!$E38:$BO38,(CLIENTES!$E$5:$BO$5=BI$5)*(CLIENTES!$E$9:$BO$9="VENDA"),0)</f>
        <v>0</v>
      </c>
      <c r="BJ22" s="285" cm="1">
        <f t="array" ref="BJ22">_xlfn._xlws.FILTER(CLIENTES!$E38:$BO38,(CLIENTES!$E$5:$BO$5=BJ$5)*(CLIENTES!$E$9:$BO$9="VENDA"),0)</f>
        <v>0</v>
      </c>
      <c r="BK22" s="285" cm="1">
        <f t="array" ref="BK22">_xlfn._xlws.FILTER(CLIENTES!$E38:$BO38,(CLIENTES!$E$5:$BO$5=BK$5)*(CLIENTES!$E$9:$BO$9="VENDA"),0)</f>
        <v>0</v>
      </c>
      <c r="BL22" s="285" cm="1">
        <f t="array" ref="BL22">_xlfn._xlws.FILTER(CLIENTES!$E38:$BO38,(CLIENTES!$E$5:$BO$5=BL$5)*(CLIENTES!$E$9:$BO$9="VENDA"),0)</f>
        <v>0</v>
      </c>
    </row>
    <row r="23" spans="2:64" x14ac:dyDescent="0.2">
      <c r="B23" s="326"/>
      <c r="C23" s="23" t="s">
        <v>10</v>
      </c>
      <c r="D23" s="72">
        <v>2.9999999999999997E-4</v>
      </c>
      <c r="E23" s="200">
        <v>2.9999999999999997E-4</v>
      </c>
      <c r="F23" s="200">
        <v>2.9999999999999997E-4</v>
      </c>
      <c r="G23" s="200">
        <v>2.9999999999999997E-4</v>
      </c>
      <c r="H23" s="200">
        <v>2.9999999999999997E-4</v>
      </c>
      <c r="I23" s="200">
        <v>2.9999999999999997E-4</v>
      </c>
      <c r="J23" s="200">
        <v>2.9999999999999997E-4</v>
      </c>
      <c r="K23" s="200">
        <v>2.9999999999999997E-4</v>
      </c>
      <c r="L23" s="200">
        <v>2.9999999999999997E-4</v>
      </c>
      <c r="M23" s="200">
        <v>2.9999999999999997E-4</v>
      </c>
      <c r="N23" s="200">
        <v>2.9999999999999997E-4</v>
      </c>
      <c r="O23" s="200">
        <v>2.9999999999999997E-4</v>
      </c>
      <c r="P23" s="200">
        <v>2.9999999999999997E-4</v>
      </c>
      <c r="Q23" s="200">
        <v>2.9999999999999997E-4</v>
      </c>
      <c r="R23" s="200">
        <v>2.9999999999999997E-4</v>
      </c>
      <c r="S23" s="200">
        <v>2.9999999999999997E-4</v>
      </c>
      <c r="T23" s="200">
        <v>2.9999999999999997E-4</v>
      </c>
      <c r="U23" s="200">
        <v>2.9999999999999997E-4</v>
      </c>
      <c r="V23" s="200">
        <v>2.9999999999999997E-4</v>
      </c>
      <c r="W23" s="200">
        <v>2.9999999999999997E-4</v>
      </c>
      <c r="X23" s="200">
        <v>2.9999999999999997E-4</v>
      </c>
      <c r="Y23" s="200">
        <v>2.9999999999999997E-4</v>
      </c>
      <c r="Z23" s="200">
        <v>2.9999999999999997E-4</v>
      </c>
      <c r="AA23" s="200">
        <v>2.9999999999999997E-4</v>
      </c>
      <c r="AB23" s="200">
        <v>2.9999999999999997E-4</v>
      </c>
      <c r="AC23" s="200">
        <v>2.9999999999999997E-4</v>
      </c>
      <c r="AD23" s="200">
        <v>2.9999999999999997E-4</v>
      </c>
      <c r="AE23" s="200">
        <v>2.9999999999999997E-4</v>
      </c>
      <c r="AF23" s="200">
        <v>2.9999999999999997E-4</v>
      </c>
      <c r="AG23" s="200">
        <v>2.9999999999999997E-4</v>
      </c>
      <c r="AH23" s="200">
        <v>2.9999999999999997E-4</v>
      </c>
      <c r="AI23" s="200">
        <v>2.9999999999999997E-4</v>
      </c>
      <c r="AJ23" s="200">
        <v>2.9999999999999997E-4</v>
      </c>
      <c r="AK23" s="200">
        <v>2.9999999999999997E-4</v>
      </c>
      <c r="AL23" s="200">
        <v>2.9999999999999997E-4</v>
      </c>
      <c r="AM23" s="200">
        <v>2.9999999999999997E-4</v>
      </c>
      <c r="AN23" s="200">
        <v>2.9999999999999997E-4</v>
      </c>
      <c r="AO23" s="200">
        <v>2.9999999999999997E-4</v>
      </c>
      <c r="AP23" s="200">
        <v>2.9999999999999997E-4</v>
      </c>
      <c r="AQ23" s="200">
        <v>2.9999999999999997E-4</v>
      </c>
      <c r="AR23" s="200">
        <v>2.9999999999999997E-4</v>
      </c>
      <c r="AS23" s="200">
        <v>2.9999999999999997E-4</v>
      </c>
      <c r="AT23" s="200">
        <v>2.9999999999999997E-4</v>
      </c>
      <c r="AU23" s="200">
        <v>2.9999999999999997E-4</v>
      </c>
      <c r="AV23" s="200">
        <v>2.9999999999999997E-4</v>
      </c>
      <c r="AW23" s="200">
        <v>2.9999999999999997E-4</v>
      </c>
      <c r="AX23" s="200">
        <v>2.9999999999999997E-4</v>
      </c>
      <c r="AY23" s="200">
        <v>2.9999999999999997E-4</v>
      </c>
      <c r="AZ23" s="215">
        <v>2.9999999999999997E-4</v>
      </c>
      <c r="BA23" s="200">
        <v>2.9999999999999997E-4</v>
      </c>
      <c r="BB23" s="200">
        <v>2.9999999999999997E-4</v>
      </c>
      <c r="BC23" s="200">
        <v>2.9999999999999997E-4</v>
      </c>
      <c r="BD23" s="200">
        <v>2.9999999999999997E-4</v>
      </c>
      <c r="BE23" s="200">
        <v>2.9999999999999997E-4</v>
      </c>
      <c r="BF23" s="200">
        <v>2.9999999999999997E-4</v>
      </c>
      <c r="BG23" s="200">
        <v>2.9999999999999997E-4</v>
      </c>
      <c r="BH23" s="200">
        <v>2.9999999999999997E-4</v>
      </c>
      <c r="BI23" s="200">
        <v>2.9999999999999997E-4</v>
      </c>
      <c r="BJ23" s="200">
        <v>2.9999999999999997E-4</v>
      </c>
      <c r="BK23" s="200">
        <v>2.9999999999999997E-4</v>
      </c>
      <c r="BL23" s="200">
        <v>2.9999999999999997E-4</v>
      </c>
    </row>
    <row r="24" spans="2:64" x14ac:dyDescent="0.2">
      <c r="B24" s="326"/>
      <c r="C24" s="58" t="s">
        <v>23</v>
      </c>
      <c r="D24" s="27">
        <f>SUM(E24:AW24)</f>
        <v>29.999999999999996</v>
      </c>
      <c r="E24" s="132">
        <v>0</v>
      </c>
      <c r="F24" s="132">
        <f t="shared" ref="F24:BL24" si="8">(F20+F21-F22)*F23</f>
        <v>29.999999999999996</v>
      </c>
      <c r="G24" s="132">
        <f t="shared" si="8"/>
        <v>0</v>
      </c>
      <c r="H24" s="132">
        <f t="shared" si="8"/>
        <v>0</v>
      </c>
      <c r="I24" s="132">
        <f t="shared" si="8"/>
        <v>0</v>
      </c>
      <c r="J24" s="132">
        <f t="shared" si="8"/>
        <v>0</v>
      </c>
      <c r="K24" s="132">
        <f t="shared" si="8"/>
        <v>0</v>
      </c>
      <c r="L24" s="132">
        <f t="shared" si="8"/>
        <v>0</v>
      </c>
      <c r="M24" s="132">
        <f t="shared" si="8"/>
        <v>0</v>
      </c>
      <c r="N24" s="132">
        <f t="shared" si="8"/>
        <v>0</v>
      </c>
      <c r="O24" s="132">
        <f t="shared" si="8"/>
        <v>0</v>
      </c>
      <c r="P24" s="132">
        <f t="shared" si="8"/>
        <v>0</v>
      </c>
      <c r="Q24" s="132">
        <v>0</v>
      </c>
      <c r="R24" s="132">
        <v>0</v>
      </c>
      <c r="S24" s="132">
        <f t="shared" si="8"/>
        <v>0</v>
      </c>
      <c r="T24" s="132">
        <f t="shared" si="8"/>
        <v>0</v>
      </c>
      <c r="U24" s="132">
        <f t="shared" si="8"/>
        <v>0</v>
      </c>
      <c r="V24" s="132">
        <f t="shared" si="8"/>
        <v>0</v>
      </c>
      <c r="W24" s="132">
        <f t="shared" si="8"/>
        <v>0</v>
      </c>
      <c r="X24" s="132">
        <f t="shared" si="8"/>
        <v>0</v>
      </c>
      <c r="Y24" s="132">
        <f t="shared" si="8"/>
        <v>0</v>
      </c>
      <c r="Z24" s="132">
        <f t="shared" si="8"/>
        <v>0</v>
      </c>
      <c r="AA24" s="132">
        <f t="shared" si="8"/>
        <v>0</v>
      </c>
      <c r="AB24" s="132">
        <f t="shared" si="8"/>
        <v>0</v>
      </c>
      <c r="AC24" s="132">
        <f t="shared" si="8"/>
        <v>0</v>
      </c>
      <c r="AD24" s="132">
        <f t="shared" si="8"/>
        <v>0</v>
      </c>
      <c r="AE24" s="132">
        <f t="shared" si="8"/>
        <v>0</v>
      </c>
      <c r="AF24" s="132">
        <f t="shared" si="8"/>
        <v>0</v>
      </c>
      <c r="AG24" s="132">
        <f t="shared" si="8"/>
        <v>0</v>
      </c>
      <c r="AH24" s="132">
        <f t="shared" si="8"/>
        <v>0</v>
      </c>
      <c r="AI24" s="132">
        <f t="shared" si="8"/>
        <v>0</v>
      </c>
      <c r="AJ24" s="132">
        <f t="shared" si="8"/>
        <v>0</v>
      </c>
      <c r="AK24" s="132">
        <v>0</v>
      </c>
      <c r="AL24" s="132">
        <v>0</v>
      </c>
      <c r="AM24" s="132">
        <f t="shared" si="8"/>
        <v>0</v>
      </c>
      <c r="AN24" s="132">
        <f t="shared" si="8"/>
        <v>0</v>
      </c>
      <c r="AO24" s="132">
        <f t="shared" si="8"/>
        <v>0</v>
      </c>
      <c r="AP24" s="132">
        <f t="shared" si="8"/>
        <v>0</v>
      </c>
      <c r="AQ24" s="132">
        <f t="shared" si="8"/>
        <v>0</v>
      </c>
      <c r="AR24" s="132">
        <f t="shared" si="8"/>
        <v>0</v>
      </c>
      <c r="AS24" s="132">
        <f t="shared" si="8"/>
        <v>0</v>
      </c>
      <c r="AT24" s="132"/>
      <c r="AU24" s="132">
        <f t="shared" si="8"/>
        <v>0</v>
      </c>
      <c r="AV24" s="132">
        <f t="shared" si="8"/>
        <v>0</v>
      </c>
      <c r="AW24" s="132">
        <f t="shared" si="8"/>
        <v>0</v>
      </c>
      <c r="AX24" s="132">
        <f t="shared" si="8"/>
        <v>0</v>
      </c>
      <c r="AY24" s="132">
        <f t="shared" si="8"/>
        <v>0</v>
      </c>
      <c r="AZ24" s="139">
        <f t="shared" si="8"/>
        <v>0</v>
      </c>
      <c r="BA24" s="132">
        <f t="shared" si="8"/>
        <v>0</v>
      </c>
      <c r="BB24" s="132">
        <f t="shared" si="8"/>
        <v>0</v>
      </c>
      <c r="BC24" s="132">
        <f t="shared" si="8"/>
        <v>0</v>
      </c>
      <c r="BD24" s="132">
        <f t="shared" si="8"/>
        <v>0</v>
      </c>
      <c r="BE24" s="132">
        <f t="shared" si="8"/>
        <v>0</v>
      </c>
      <c r="BF24" s="132">
        <f t="shared" si="8"/>
        <v>0</v>
      </c>
      <c r="BG24" s="132">
        <f t="shared" si="8"/>
        <v>0</v>
      </c>
      <c r="BH24" s="132">
        <f t="shared" si="8"/>
        <v>0</v>
      </c>
      <c r="BI24" s="132">
        <f t="shared" si="8"/>
        <v>0</v>
      </c>
      <c r="BJ24" s="132">
        <f t="shared" si="8"/>
        <v>0</v>
      </c>
      <c r="BK24" s="132">
        <f t="shared" si="8"/>
        <v>0</v>
      </c>
      <c r="BL24" s="132">
        <f t="shared" si="8"/>
        <v>0</v>
      </c>
    </row>
    <row r="25" spans="2:64" ht="13.5" thickBot="1" x14ac:dyDescent="0.25">
      <c r="B25" s="327"/>
      <c r="C25" s="25" t="s">
        <v>22</v>
      </c>
      <c r="D25" s="30">
        <f>SUM(E25:AW25)</f>
        <v>190030</v>
      </c>
      <c r="E25" s="146">
        <f>+E20-E22+E21+E24</f>
        <v>90000</v>
      </c>
      <c r="F25" s="146">
        <f t="shared" ref="F25:BL25" si="9">+F20-F22+F21+F24</f>
        <v>100030</v>
      </c>
      <c r="G25" s="146">
        <f t="shared" si="9"/>
        <v>0</v>
      </c>
      <c r="H25" s="146">
        <f t="shared" si="9"/>
        <v>0</v>
      </c>
      <c r="I25" s="146">
        <f t="shared" si="9"/>
        <v>0</v>
      </c>
      <c r="J25" s="146">
        <f t="shared" si="9"/>
        <v>0</v>
      </c>
      <c r="K25" s="146">
        <f t="shared" si="9"/>
        <v>0</v>
      </c>
      <c r="L25" s="146">
        <f t="shared" si="9"/>
        <v>0</v>
      </c>
      <c r="M25" s="146">
        <f t="shared" si="9"/>
        <v>0</v>
      </c>
      <c r="N25" s="146">
        <f t="shared" si="9"/>
        <v>0</v>
      </c>
      <c r="O25" s="146">
        <f t="shared" si="9"/>
        <v>0</v>
      </c>
      <c r="P25" s="146">
        <f t="shared" si="9"/>
        <v>0</v>
      </c>
      <c r="Q25" s="146">
        <f t="shared" si="9"/>
        <v>0</v>
      </c>
      <c r="R25" s="146">
        <f t="shared" si="9"/>
        <v>0</v>
      </c>
      <c r="S25" s="146">
        <f t="shared" si="9"/>
        <v>0</v>
      </c>
      <c r="T25" s="146">
        <f t="shared" si="9"/>
        <v>0</v>
      </c>
      <c r="U25" s="146">
        <f t="shared" si="9"/>
        <v>0</v>
      </c>
      <c r="V25" s="146">
        <f t="shared" si="9"/>
        <v>0</v>
      </c>
      <c r="W25" s="146">
        <f t="shared" si="9"/>
        <v>0</v>
      </c>
      <c r="X25" s="146">
        <f t="shared" si="9"/>
        <v>0</v>
      </c>
      <c r="Y25" s="146">
        <f t="shared" si="9"/>
        <v>0</v>
      </c>
      <c r="Z25" s="146">
        <f t="shared" si="9"/>
        <v>0</v>
      </c>
      <c r="AA25" s="146">
        <f t="shared" si="9"/>
        <v>0</v>
      </c>
      <c r="AB25" s="146">
        <f t="shared" si="9"/>
        <v>0</v>
      </c>
      <c r="AC25" s="146">
        <f t="shared" si="9"/>
        <v>0</v>
      </c>
      <c r="AD25" s="146">
        <f t="shared" si="9"/>
        <v>0</v>
      </c>
      <c r="AE25" s="146">
        <f t="shared" si="9"/>
        <v>0</v>
      </c>
      <c r="AF25" s="146">
        <f t="shared" si="9"/>
        <v>0</v>
      </c>
      <c r="AG25" s="146">
        <f t="shared" si="9"/>
        <v>0</v>
      </c>
      <c r="AH25" s="146">
        <f t="shared" si="9"/>
        <v>0</v>
      </c>
      <c r="AI25" s="146">
        <f t="shared" si="9"/>
        <v>0</v>
      </c>
      <c r="AJ25" s="146">
        <f t="shared" si="9"/>
        <v>0</v>
      </c>
      <c r="AK25" s="146">
        <f t="shared" si="9"/>
        <v>0</v>
      </c>
      <c r="AL25" s="146">
        <f t="shared" si="9"/>
        <v>0</v>
      </c>
      <c r="AM25" s="146">
        <f t="shared" si="9"/>
        <v>0</v>
      </c>
      <c r="AN25" s="146">
        <f t="shared" si="9"/>
        <v>0</v>
      </c>
      <c r="AO25" s="146">
        <f t="shared" si="9"/>
        <v>0</v>
      </c>
      <c r="AP25" s="146">
        <f t="shared" si="9"/>
        <v>0</v>
      </c>
      <c r="AQ25" s="146">
        <f t="shared" si="9"/>
        <v>0</v>
      </c>
      <c r="AR25" s="146">
        <f t="shared" si="9"/>
        <v>0</v>
      </c>
      <c r="AS25" s="146">
        <f t="shared" si="9"/>
        <v>0</v>
      </c>
      <c r="AT25" s="146">
        <f t="shared" si="9"/>
        <v>0</v>
      </c>
      <c r="AU25" s="146">
        <f t="shared" si="9"/>
        <v>0</v>
      </c>
      <c r="AV25" s="146">
        <f t="shared" si="9"/>
        <v>0</v>
      </c>
      <c r="AW25" s="146">
        <f t="shared" si="9"/>
        <v>0</v>
      </c>
      <c r="AX25" s="146">
        <f t="shared" si="9"/>
        <v>0</v>
      </c>
      <c r="AY25" s="146">
        <f t="shared" si="9"/>
        <v>0</v>
      </c>
      <c r="AZ25" s="146">
        <f t="shared" si="9"/>
        <v>0</v>
      </c>
      <c r="BA25" s="146">
        <f t="shared" si="9"/>
        <v>0</v>
      </c>
      <c r="BB25" s="146">
        <f t="shared" si="9"/>
        <v>0</v>
      </c>
      <c r="BC25" s="146">
        <f t="shared" si="9"/>
        <v>0</v>
      </c>
      <c r="BD25" s="146">
        <f t="shared" si="9"/>
        <v>0</v>
      </c>
      <c r="BE25" s="146">
        <f t="shared" si="9"/>
        <v>0</v>
      </c>
      <c r="BF25" s="146">
        <f t="shared" si="9"/>
        <v>0</v>
      </c>
      <c r="BG25" s="146">
        <f t="shared" si="9"/>
        <v>0</v>
      </c>
      <c r="BH25" s="146">
        <f t="shared" si="9"/>
        <v>0</v>
      </c>
      <c r="BI25" s="146">
        <f t="shared" si="9"/>
        <v>0</v>
      </c>
      <c r="BJ25" s="146">
        <f t="shared" si="9"/>
        <v>0</v>
      </c>
      <c r="BK25" s="146">
        <f t="shared" si="9"/>
        <v>0</v>
      </c>
      <c r="BL25" s="146">
        <f t="shared" si="9"/>
        <v>0</v>
      </c>
    </row>
    <row r="26" spans="2:64" ht="13.5" thickBot="1" x14ac:dyDescent="0.25">
      <c r="B26" s="325">
        <v>43678</v>
      </c>
      <c r="C26" s="62" t="s">
        <v>6</v>
      </c>
      <c r="D26" s="31">
        <f>SUM(E26:BL26)</f>
        <v>95000</v>
      </c>
      <c r="E26" s="285" cm="1">
        <f t="array" ref="E26">_xlfn._xlws.FILTER(CLIENTES!$E45:$BO45,(CLIENTES!$E$5:$BO$5=E$5)*(CLIENTES!$E$9:$BO$9="VENDA"),0)</f>
        <v>45000</v>
      </c>
      <c r="F26" s="285" cm="1">
        <f t="array" ref="F26">_xlfn._xlws.FILTER(CLIENTES!$E45:$BO45,(CLIENTES!$E$5:$BO$5=F$5)*(CLIENTES!$E$9:$BO$9="VENDA"),0)</f>
        <v>50000</v>
      </c>
      <c r="G26" s="285" cm="1">
        <f t="array" ref="G26">_xlfn._xlws.FILTER(CLIENTES!$E45:$BO45,(CLIENTES!$E$5:$BO$5=G$5)*(CLIENTES!$E$9:$BO$9="VENDA"),0)</f>
        <v>0</v>
      </c>
      <c r="H26" s="285" cm="1">
        <f t="array" ref="H26">_xlfn._xlws.FILTER(CLIENTES!$E45:$BO45,(CLIENTES!$E$5:$BO$5=H$5)*(CLIENTES!$E$9:$BO$9="VENDA"),0)</f>
        <v>0</v>
      </c>
      <c r="I26" s="285" cm="1">
        <f t="array" ref="I26">_xlfn._xlws.FILTER(CLIENTES!$E45:$BO45,(CLIENTES!$E$5:$BO$5=I$5)*(CLIENTES!$E$9:$BO$9="VENDA"),0)</f>
        <v>0</v>
      </c>
      <c r="J26" s="285" cm="1">
        <f t="array" ref="J26">_xlfn._xlws.FILTER(CLIENTES!$E45:$BO45,(CLIENTES!$E$5:$BO$5=J$5)*(CLIENTES!$E$9:$BO$9="VENDA"),0)</f>
        <v>0</v>
      </c>
      <c r="K26" s="285" cm="1">
        <f t="array" ref="K26">_xlfn._xlws.FILTER(CLIENTES!$E45:$BO45,(CLIENTES!$E$5:$BO$5=K$5)*(CLIENTES!$E$9:$BO$9="VENDA"),0)</f>
        <v>0</v>
      </c>
      <c r="L26" s="285" cm="1">
        <f t="array" ref="L26">_xlfn._xlws.FILTER(CLIENTES!$E45:$BO45,(CLIENTES!$E$5:$BO$5=L$5)*(CLIENTES!$E$9:$BO$9="VENDA"),0)</f>
        <v>0</v>
      </c>
      <c r="M26" s="285" cm="1">
        <f t="array" ref="M26">_xlfn._xlws.FILTER(CLIENTES!$E45:$BO45,(CLIENTES!$E$5:$BO$5=M$5)*(CLIENTES!$E$9:$BO$9="VENDA"),0)</f>
        <v>0</v>
      </c>
      <c r="N26" s="285" cm="1">
        <f t="array" ref="N26">_xlfn._xlws.FILTER(CLIENTES!$E45:$BO45,(CLIENTES!$E$5:$BO$5=N$5)*(CLIENTES!$E$9:$BO$9="VENDA"),0)</f>
        <v>0</v>
      </c>
      <c r="O26" s="285" cm="1">
        <f t="array" ref="O26">_xlfn._xlws.FILTER(CLIENTES!$E45:$BO45,(CLIENTES!$E$5:$BO$5=O$5)*(CLIENTES!$E$9:$BO$9="VENDA"),0)</f>
        <v>0</v>
      </c>
      <c r="P26" s="285" cm="1">
        <f t="array" ref="P26">_xlfn._xlws.FILTER(CLIENTES!$E45:$BO45,(CLIENTES!$E$5:$BO$5=P$5)*(CLIENTES!$E$9:$BO$9="VENDA"),0)</f>
        <v>0</v>
      </c>
      <c r="Q26" s="285" cm="1">
        <f t="array" ref="Q26">_xlfn._xlws.FILTER(CLIENTES!$E45:$BO45,(CLIENTES!$E$5:$BO$5=Q$5)*(CLIENTES!$E$9:$BO$9="VENDA"),0)</f>
        <v>0</v>
      </c>
      <c r="R26" s="285" cm="1">
        <f t="array" ref="R26">_xlfn._xlws.FILTER(CLIENTES!$E45:$BO45,(CLIENTES!$E$5:$BO$5=R$5)*(CLIENTES!$E$9:$BO$9="VENDA"),0)</f>
        <v>0</v>
      </c>
      <c r="S26" s="285" cm="1">
        <f t="array" ref="S26">_xlfn._xlws.FILTER(CLIENTES!$E45:$BO45,(CLIENTES!$E$5:$BO$5=S$5)*(CLIENTES!$E$9:$BO$9="VENDA"),0)</f>
        <v>0</v>
      </c>
      <c r="T26" s="285" cm="1">
        <f t="array" ref="T26">_xlfn._xlws.FILTER(CLIENTES!$E45:$BO45,(CLIENTES!$E$5:$BO$5=T$5)*(CLIENTES!$E$9:$BO$9="VENDA"),0)</f>
        <v>0</v>
      </c>
      <c r="U26" s="285" cm="1">
        <f t="array" ref="U26">_xlfn._xlws.FILTER(CLIENTES!$E45:$BO45,(CLIENTES!$E$5:$BO$5=U$5)*(CLIENTES!$E$9:$BO$9="VENDA"),0)</f>
        <v>0</v>
      </c>
      <c r="V26" s="285" cm="1">
        <f t="array" ref="V26">_xlfn._xlws.FILTER(CLIENTES!$E45:$BO45,(CLIENTES!$E$5:$BO$5=V$5)*(CLIENTES!$E$9:$BO$9="VENDA"),0)</f>
        <v>0</v>
      </c>
      <c r="W26" s="285" cm="1">
        <f t="array" ref="W26">_xlfn._xlws.FILTER(CLIENTES!$E45:$BO45,(CLIENTES!$E$5:$BO$5=W$5)*(CLIENTES!$E$9:$BO$9="VENDA"),0)</f>
        <v>0</v>
      </c>
      <c r="X26" s="285" cm="1">
        <f t="array" ref="X26">_xlfn._xlws.FILTER(CLIENTES!$E45:$BO45,(CLIENTES!$E$5:$BO$5=X$5)*(CLIENTES!$E$9:$BO$9="VENDA"),0)</f>
        <v>0</v>
      </c>
      <c r="Y26" s="285" cm="1">
        <f t="array" ref="Y26">_xlfn._xlws.FILTER(CLIENTES!$E45:$BO45,(CLIENTES!$E$5:$BO$5=Y$5)*(CLIENTES!$E$9:$BO$9="VENDA"),0)</f>
        <v>0</v>
      </c>
      <c r="Z26" s="285" cm="1">
        <f t="array" ref="Z26">_xlfn._xlws.FILTER(CLIENTES!$E45:$BO45,(CLIENTES!$E$5:$BO$5=Z$5)*(CLIENTES!$E$9:$BO$9="VENDA"),0)</f>
        <v>0</v>
      </c>
      <c r="AA26" s="285" cm="1">
        <f t="array" ref="AA26">_xlfn._xlws.FILTER(CLIENTES!$E45:$BO45,(CLIENTES!$E$5:$BO$5=AA$5)*(CLIENTES!$E$9:$BO$9="VENDA"),0)</f>
        <v>0</v>
      </c>
      <c r="AB26" s="285" cm="1">
        <f t="array" ref="AB26">_xlfn._xlws.FILTER(CLIENTES!$E45:$BO45,(CLIENTES!$E$5:$BO$5=AB$5)*(CLIENTES!$E$9:$BO$9="VENDA"),0)</f>
        <v>0</v>
      </c>
      <c r="AC26" s="285" cm="1">
        <f t="array" ref="AC26">_xlfn._xlws.FILTER(CLIENTES!$E45:$BO45,(CLIENTES!$E$5:$BO$5=AC$5)*(CLIENTES!$E$9:$BO$9="VENDA"),0)</f>
        <v>0</v>
      </c>
      <c r="AD26" s="285" cm="1">
        <f t="array" ref="AD26">_xlfn._xlws.FILTER(CLIENTES!$E45:$BO45,(CLIENTES!$E$5:$BO$5=AD$5)*(CLIENTES!$E$9:$BO$9="VENDA"),0)</f>
        <v>0</v>
      </c>
      <c r="AE26" s="285" cm="1">
        <f t="array" ref="AE26">_xlfn._xlws.FILTER(CLIENTES!$E45:$BO45,(CLIENTES!$E$5:$BO$5=AE$5)*(CLIENTES!$E$9:$BO$9="VENDA"),0)</f>
        <v>0</v>
      </c>
      <c r="AF26" s="285" cm="1">
        <f t="array" ref="AF26">_xlfn._xlws.FILTER(CLIENTES!$E45:$BO45,(CLIENTES!$E$5:$BO$5=AF$5)*(CLIENTES!$E$9:$BO$9="VENDA"),0)</f>
        <v>0</v>
      </c>
      <c r="AG26" s="285" cm="1">
        <f t="array" ref="AG26">_xlfn._xlws.FILTER(CLIENTES!$E45:$BO45,(CLIENTES!$E$5:$BO$5=AG$5)*(CLIENTES!$E$9:$BO$9="VENDA"),0)</f>
        <v>0</v>
      </c>
      <c r="AH26" s="285" cm="1">
        <f t="array" ref="AH26">_xlfn._xlws.FILTER(CLIENTES!$E45:$BO45,(CLIENTES!$E$5:$BO$5=AH$5)*(CLIENTES!$E$9:$BO$9="VENDA"),0)</f>
        <v>0</v>
      </c>
      <c r="AI26" s="285" cm="1">
        <f t="array" ref="AI26">_xlfn._xlws.FILTER(CLIENTES!$E45:$BO45,(CLIENTES!$E$5:$BO$5=AI$5)*(CLIENTES!$E$9:$BO$9="VENDA"),0)</f>
        <v>0</v>
      </c>
      <c r="AJ26" s="285" cm="1">
        <f t="array" ref="AJ26">_xlfn._xlws.FILTER(CLIENTES!$E45:$BO45,(CLIENTES!$E$5:$BO$5=AJ$5)*(CLIENTES!$E$9:$BO$9="VENDA"),0)</f>
        <v>0</v>
      </c>
      <c r="AK26" s="285" cm="1">
        <f t="array" ref="AK26">_xlfn._xlws.FILTER(CLIENTES!$E45:$BO45,(CLIENTES!$E$5:$BO$5=AK$5)*(CLIENTES!$E$9:$BO$9="VENDA"),0)</f>
        <v>0</v>
      </c>
      <c r="AL26" s="285" cm="1">
        <f t="array" ref="AL26">_xlfn._xlws.FILTER(CLIENTES!$E45:$BO45,(CLIENTES!$E$5:$BO$5=AL$5)*(CLIENTES!$E$9:$BO$9="VENDA"),0)</f>
        <v>0</v>
      </c>
      <c r="AM26" s="285" cm="1">
        <f t="array" ref="AM26">_xlfn._xlws.FILTER(CLIENTES!$E45:$BO45,(CLIENTES!$E$5:$BO$5=AM$5)*(CLIENTES!$E$9:$BO$9="VENDA"),0)</f>
        <v>0</v>
      </c>
      <c r="AN26" s="285" cm="1">
        <f t="array" ref="AN26">_xlfn._xlws.FILTER(CLIENTES!$E45:$BO45,(CLIENTES!$E$5:$BO$5=AN$5)*(CLIENTES!$E$9:$BO$9="VENDA"),0)</f>
        <v>0</v>
      </c>
      <c r="AO26" s="285" cm="1">
        <f t="array" ref="AO26">_xlfn._xlws.FILTER(CLIENTES!$E45:$BO45,(CLIENTES!$E$5:$BO$5=AO$5)*(CLIENTES!$E$9:$BO$9="VENDA"),0)</f>
        <v>0</v>
      </c>
      <c r="AP26" s="285" cm="1">
        <f t="array" ref="AP26">_xlfn._xlws.FILTER(CLIENTES!$E45:$BO45,(CLIENTES!$E$5:$BO$5=AP$5)*(CLIENTES!$E$9:$BO$9="VENDA"),0)</f>
        <v>0</v>
      </c>
      <c r="AQ26" s="285" cm="1">
        <f t="array" ref="AQ26">_xlfn._xlws.FILTER(CLIENTES!$E45:$BO45,(CLIENTES!$E$5:$BO$5=AQ$5)*(CLIENTES!$E$9:$BO$9="VENDA"),0)</f>
        <v>0</v>
      </c>
      <c r="AR26" s="285" cm="1">
        <f t="array" ref="AR26">_xlfn._xlws.FILTER(CLIENTES!$E45:$BO45,(CLIENTES!$E$5:$BO$5=AR$5)*(CLIENTES!$E$9:$BO$9="VENDA"),0)</f>
        <v>0</v>
      </c>
      <c r="AS26" s="285" cm="1">
        <f t="array" ref="AS26">_xlfn._xlws.FILTER(CLIENTES!$E45:$BO45,(CLIENTES!$E$5:$BO$5=AS$5)*(CLIENTES!$E$9:$BO$9="VENDA"),0)</f>
        <v>0</v>
      </c>
      <c r="AT26" s="285" cm="1">
        <f t="array" ref="AT26">_xlfn._xlws.FILTER(CLIENTES!$E45:$BO45,(CLIENTES!$E$5:$BO$5=AT$5)*(CLIENTES!$E$9:$BO$9="VENDA"),0)</f>
        <v>0</v>
      </c>
      <c r="AU26" s="285" cm="1">
        <f t="array" ref="AU26">_xlfn._xlws.FILTER(CLIENTES!$E45:$BO45,(CLIENTES!$E$5:$BO$5=AU$5)*(CLIENTES!$E$9:$BO$9="VENDA"),0)</f>
        <v>0</v>
      </c>
      <c r="AV26" s="285" cm="1">
        <f t="array" ref="AV26">_xlfn._xlws.FILTER(CLIENTES!$E45:$BO45,(CLIENTES!$E$5:$BO$5=AV$5)*(CLIENTES!$E$9:$BO$9="VENDA"),0)</f>
        <v>0</v>
      </c>
      <c r="AW26" s="285" cm="1">
        <f t="array" ref="AW26">_xlfn._xlws.FILTER(CLIENTES!$E45:$BO45,(CLIENTES!$E$5:$BO$5=AW$5)*(CLIENTES!$E$9:$BO$9="VENDA"),0)</f>
        <v>0</v>
      </c>
      <c r="AX26" s="285" cm="1">
        <f t="array" ref="AX26">_xlfn._xlws.FILTER(CLIENTES!$E45:$BO45,(CLIENTES!$E$5:$BO$5=AX$5)*(CLIENTES!$E$9:$BO$9="VENDA"),0)</f>
        <v>0</v>
      </c>
      <c r="AY26" s="285" cm="1">
        <f t="array" ref="AY26">_xlfn._xlws.FILTER(CLIENTES!$E45:$BO45,(CLIENTES!$E$5:$BO$5=AY$5)*(CLIENTES!$E$9:$BO$9="VENDA"),0)</f>
        <v>0</v>
      </c>
      <c r="AZ26" s="285" cm="1">
        <f t="array" ref="AZ26">_xlfn._xlws.FILTER(CLIENTES!$E45:$BO45,(CLIENTES!$E$5:$BO$5=AZ$5)*(CLIENTES!$E$9:$BO$9="VENDA"),0)</f>
        <v>0</v>
      </c>
      <c r="BA26" s="285" cm="1">
        <f t="array" ref="BA26">_xlfn._xlws.FILTER(CLIENTES!$E45:$BO45,(CLIENTES!$E$5:$BO$5=BA$5)*(CLIENTES!$E$9:$BO$9="VENDA"),0)</f>
        <v>0</v>
      </c>
      <c r="BB26" s="285" cm="1">
        <f t="array" ref="BB26">_xlfn._xlws.FILTER(CLIENTES!$E45:$BO45,(CLIENTES!$E$5:$BO$5=BB$5)*(CLIENTES!$E$9:$BO$9="VENDA"),0)</f>
        <v>0</v>
      </c>
      <c r="BC26" s="285" cm="1">
        <f t="array" ref="BC26">_xlfn._xlws.FILTER(CLIENTES!$E45:$BO45,(CLIENTES!$E$5:$BO$5=BC$5)*(CLIENTES!$E$9:$BO$9="VENDA"),0)</f>
        <v>0</v>
      </c>
      <c r="BD26" s="285" cm="1">
        <f t="array" ref="BD26">_xlfn._xlws.FILTER(CLIENTES!$E45:$BO45,(CLIENTES!$E$5:$BO$5=BD$5)*(CLIENTES!$E$9:$BO$9="VENDA"),0)</f>
        <v>0</v>
      </c>
      <c r="BE26" s="285" cm="1">
        <f t="array" ref="BE26">_xlfn._xlws.FILTER(CLIENTES!$E45:$BO45,(CLIENTES!$E$5:$BO$5=BE$5)*(CLIENTES!$E$9:$BO$9="VENDA"),0)</f>
        <v>0</v>
      </c>
      <c r="BF26" s="285" cm="1">
        <f t="array" ref="BF26">_xlfn._xlws.FILTER(CLIENTES!$E45:$BO45,(CLIENTES!$E$5:$BO$5=BF$5)*(CLIENTES!$E$9:$BO$9="VENDA"),0)</f>
        <v>0</v>
      </c>
      <c r="BG26" s="285" cm="1">
        <f t="array" ref="BG26">_xlfn._xlws.FILTER(CLIENTES!$E45:$BO45,(CLIENTES!$E$5:$BO$5=BG$5)*(CLIENTES!$E$9:$BO$9="VENDA"),0)</f>
        <v>0</v>
      </c>
      <c r="BH26" s="285" cm="1">
        <f t="array" ref="BH26">_xlfn._xlws.FILTER(CLIENTES!$E45:$BO45,(CLIENTES!$E$5:$BO$5=BH$5)*(CLIENTES!$E$9:$BO$9="VENDA"),0)</f>
        <v>0</v>
      </c>
      <c r="BI26" s="285" cm="1">
        <f t="array" ref="BI26">_xlfn._xlws.FILTER(CLIENTES!$E45:$BO45,(CLIENTES!$E$5:$BO$5=BI$5)*(CLIENTES!$E$9:$BO$9="VENDA"),0)</f>
        <v>0</v>
      </c>
      <c r="BJ26" s="285" cm="1">
        <f t="array" ref="BJ26">_xlfn._xlws.FILTER(CLIENTES!$E45:$BO45,(CLIENTES!$E$5:$BO$5=BJ$5)*(CLIENTES!$E$9:$BO$9="VENDA"),0)</f>
        <v>0</v>
      </c>
      <c r="BK26" s="285" cm="1">
        <f t="array" ref="BK26">_xlfn._xlws.FILTER(CLIENTES!$E45:$BO45,(CLIENTES!$E$5:$BO$5=BK$5)*(CLIENTES!$E$9:$BO$9="VENDA"),0)</f>
        <v>0</v>
      </c>
      <c r="BL26" s="285" cm="1">
        <f t="array" ref="BL26">_xlfn._xlws.FILTER(CLIENTES!$E45:$BO45,(CLIENTES!$E$5:$BO$5=BL$5)*(CLIENTES!$E$9:$BO$9="VENDA"),0)</f>
        <v>0</v>
      </c>
    </row>
    <row r="27" spans="2:64" ht="13.5" thickBot="1" x14ac:dyDescent="0.25">
      <c r="B27" s="326"/>
      <c r="C27" s="23" t="s">
        <v>9</v>
      </c>
      <c r="D27" s="27">
        <f>SUM(E27:BL27)</f>
        <v>0</v>
      </c>
      <c r="E27" s="285" cm="1">
        <f t="array" ref="E27">_xlfn._xlws.FILTER(CLIENTES!$E46:$BO46,(CLIENTES!$E$5:$BO$5=E$5)*(CLIENTES!$E$9:$BO$9="VENDA"),0)</f>
        <v>0</v>
      </c>
      <c r="F27" s="285" cm="1">
        <f t="array" ref="F27">_xlfn._xlws.FILTER(CLIENTES!$E46:$BO46,(CLIENTES!$E$5:$BO$5=F$5)*(CLIENTES!$E$9:$BO$9="VENDA"),0)</f>
        <v>0</v>
      </c>
      <c r="G27" s="285" cm="1">
        <f t="array" ref="G27">_xlfn._xlws.FILTER(CLIENTES!$E46:$BO46,(CLIENTES!$E$5:$BO$5=G$5)*(CLIENTES!$E$9:$BO$9="VENDA"),0)</f>
        <v>0</v>
      </c>
      <c r="H27" s="285" cm="1">
        <f t="array" ref="H27">_xlfn._xlws.FILTER(CLIENTES!$E46:$BO46,(CLIENTES!$E$5:$BO$5=H$5)*(CLIENTES!$E$9:$BO$9="VENDA"),0)</f>
        <v>0</v>
      </c>
      <c r="I27" s="285" cm="1">
        <f t="array" ref="I27">_xlfn._xlws.FILTER(CLIENTES!$E46:$BO46,(CLIENTES!$E$5:$BO$5=I$5)*(CLIENTES!$E$9:$BO$9="VENDA"),0)</f>
        <v>0</v>
      </c>
      <c r="J27" s="285" cm="1">
        <f t="array" ref="J27">_xlfn._xlws.FILTER(CLIENTES!$E46:$BO46,(CLIENTES!$E$5:$BO$5=J$5)*(CLIENTES!$E$9:$BO$9="VENDA"),0)</f>
        <v>0</v>
      </c>
      <c r="K27" s="285" cm="1">
        <f t="array" ref="K27">_xlfn._xlws.FILTER(CLIENTES!$E46:$BO46,(CLIENTES!$E$5:$BO$5=K$5)*(CLIENTES!$E$9:$BO$9="VENDA"),0)</f>
        <v>0</v>
      </c>
      <c r="L27" s="285" cm="1">
        <f t="array" ref="L27">_xlfn._xlws.FILTER(CLIENTES!$E46:$BO46,(CLIENTES!$E$5:$BO$5=L$5)*(CLIENTES!$E$9:$BO$9="VENDA"),0)</f>
        <v>0</v>
      </c>
      <c r="M27" s="285" cm="1">
        <f t="array" ref="M27">_xlfn._xlws.FILTER(CLIENTES!$E46:$BO46,(CLIENTES!$E$5:$BO$5=M$5)*(CLIENTES!$E$9:$BO$9="VENDA"),0)</f>
        <v>0</v>
      </c>
      <c r="N27" s="285" cm="1">
        <f t="array" ref="N27">_xlfn._xlws.FILTER(CLIENTES!$E46:$BO46,(CLIENTES!$E$5:$BO$5=N$5)*(CLIENTES!$E$9:$BO$9="VENDA"),0)</f>
        <v>0</v>
      </c>
      <c r="O27" s="285" cm="1">
        <f t="array" ref="O27">_xlfn._xlws.FILTER(CLIENTES!$E46:$BO46,(CLIENTES!$E$5:$BO$5=O$5)*(CLIENTES!$E$9:$BO$9="VENDA"),0)</f>
        <v>0</v>
      </c>
      <c r="P27" s="285" cm="1">
        <f t="array" ref="P27">_xlfn._xlws.FILTER(CLIENTES!$E46:$BO46,(CLIENTES!$E$5:$BO$5=P$5)*(CLIENTES!$E$9:$BO$9="VENDA"),0)</f>
        <v>0</v>
      </c>
      <c r="Q27" s="285" cm="1">
        <f t="array" ref="Q27">_xlfn._xlws.FILTER(CLIENTES!$E46:$BO46,(CLIENTES!$E$5:$BO$5=Q$5)*(CLIENTES!$E$9:$BO$9="VENDA"),0)</f>
        <v>0</v>
      </c>
      <c r="R27" s="285" cm="1">
        <f t="array" ref="R27">_xlfn._xlws.FILTER(CLIENTES!$E46:$BO46,(CLIENTES!$E$5:$BO$5=R$5)*(CLIENTES!$E$9:$BO$9="VENDA"),0)</f>
        <v>0</v>
      </c>
      <c r="S27" s="285" cm="1">
        <f t="array" ref="S27">_xlfn._xlws.FILTER(CLIENTES!$E46:$BO46,(CLIENTES!$E$5:$BO$5=S$5)*(CLIENTES!$E$9:$BO$9="VENDA"),0)</f>
        <v>0</v>
      </c>
      <c r="T27" s="285" cm="1">
        <f t="array" ref="T27">_xlfn._xlws.FILTER(CLIENTES!$E46:$BO46,(CLIENTES!$E$5:$BO$5=T$5)*(CLIENTES!$E$9:$BO$9="VENDA"),0)</f>
        <v>0</v>
      </c>
      <c r="U27" s="285" cm="1">
        <f t="array" ref="U27">_xlfn._xlws.FILTER(CLIENTES!$E46:$BO46,(CLIENTES!$E$5:$BO$5=U$5)*(CLIENTES!$E$9:$BO$9="VENDA"),0)</f>
        <v>0</v>
      </c>
      <c r="V27" s="285" cm="1">
        <f t="array" ref="V27">_xlfn._xlws.FILTER(CLIENTES!$E46:$BO46,(CLIENTES!$E$5:$BO$5=V$5)*(CLIENTES!$E$9:$BO$9="VENDA"),0)</f>
        <v>0</v>
      </c>
      <c r="W27" s="285" cm="1">
        <f t="array" ref="W27">_xlfn._xlws.FILTER(CLIENTES!$E46:$BO46,(CLIENTES!$E$5:$BO$5=W$5)*(CLIENTES!$E$9:$BO$9="VENDA"),0)</f>
        <v>0</v>
      </c>
      <c r="X27" s="285" cm="1">
        <f t="array" ref="X27">_xlfn._xlws.FILTER(CLIENTES!$E46:$BO46,(CLIENTES!$E$5:$BO$5=X$5)*(CLIENTES!$E$9:$BO$9="VENDA"),0)</f>
        <v>0</v>
      </c>
      <c r="Y27" s="285" cm="1">
        <f t="array" ref="Y27">_xlfn._xlws.FILTER(CLIENTES!$E46:$BO46,(CLIENTES!$E$5:$BO$5=Y$5)*(CLIENTES!$E$9:$BO$9="VENDA"),0)</f>
        <v>0</v>
      </c>
      <c r="Z27" s="285" cm="1">
        <f t="array" ref="Z27">_xlfn._xlws.FILTER(CLIENTES!$E46:$BO46,(CLIENTES!$E$5:$BO$5=Z$5)*(CLIENTES!$E$9:$BO$9="VENDA"),0)</f>
        <v>0</v>
      </c>
      <c r="AA27" s="285" cm="1">
        <f t="array" ref="AA27">_xlfn._xlws.FILTER(CLIENTES!$E46:$BO46,(CLIENTES!$E$5:$BO$5=AA$5)*(CLIENTES!$E$9:$BO$9="VENDA"),0)</f>
        <v>0</v>
      </c>
      <c r="AB27" s="285" cm="1">
        <f t="array" ref="AB27">_xlfn._xlws.FILTER(CLIENTES!$E46:$BO46,(CLIENTES!$E$5:$BO$5=AB$5)*(CLIENTES!$E$9:$BO$9="VENDA"),0)</f>
        <v>0</v>
      </c>
      <c r="AC27" s="285" cm="1">
        <f t="array" ref="AC27">_xlfn._xlws.FILTER(CLIENTES!$E46:$BO46,(CLIENTES!$E$5:$BO$5=AC$5)*(CLIENTES!$E$9:$BO$9="VENDA"),0)</f>
        <v>0</v>
      </c>
      <c r="AD27" s="285" cm="1">
        <f t="array" ref="AD27">_xlfn._xlws.FILTER(CLIENTES!$E46:$BO46,(CLIENTES!$E$5:$BO$5=AD$5)*(CLIENTES!$E$9:$BO$9="VENDA"),0)</f>
        <v>0</v>
      </c>
      <c r="AE27" s="285" cm="1">
        <f t="array" ref="AE27">_xlfn._xlws.FILTER(CLIENTES!$E46:$BO46,(CLIENTES!$E$5:$BO$5=AE$5)*(CLIENTES!$E$9:$BO$9="VENDA"),0)</f>
        <v>0</v>
      </c>
      <c r="AF27" s="285" cm="1">
        <f t="array" ref="AF27">_xlfn._xlws.FILTER(CLIENTES!$E46:$BO46,(CLIENTES!$E$5:$BO$5=AF$5)*(CLIENTES!$E$9:$BO$9="VENDA"),0)</f>
        <v>0</v>
      </c>
      <c r="AG27" s="285" cm="1">
        <f t="array" ref="AG27">_xlfn._xlws.FILTER(CLIENTES!$E46:$BO46,(CLIENTES!$E$5:$BO$5=AG$5)*(CLIENTES!$E$9:$BO$9="VENDA"),0)</f>
        <v>0</v>
      </c>
      <c r="AH27" s="285" cm="1">
        <f t="array" ref="AH27">_xlfn._xlws.FILTER(CLIENTES!$E46:$BO46,(CLIENTES!$E$5:$BO$5=AH$5)*(CLIENTES!$E$9:$BO$9="VENDA"),0)</f>
        <v>0</v>
      </c>
      <c r="AI27" s="285" cm="1">
        <f t="array" ref="AI27">_xlfn._xlws.FILTER(CLIENTES!$E46:$BO46,(CLIENTES!$E$5:$BO$5=AI$5)*(CLIENTES!$E$9:$BO$9="VENDA"),0)</f>
        <v>0</v>
      </c>
      <c r="AJ27" s="285" cm="1">
        <f t="array" ref="AJ27">_xlfn._xlws.FILTER(CLIENTES!$E46:$BO46,(CLIENTES!$E$5:$BO$5=AJ$5)*(CLIENTES!$E$9:$BO$9="VENDA"),0)</f>
        <v>0</v>
      </c>
      <c r="AK27" s="285" cm="1">
        <f t="array" ref="AK27">_xlfn._xlws.FILTER(CLIENTES!$E46:$BO46,(CLIENTES!$E$5:$BO$5=AK$5)*(CLIENTES!$E$9:$BO$9="VENDA"),0)</f>
        <v>0</v>
      </c>
      <c r="AL27" s="285" cm="1">
        <f t="array" ref="AL27">_xlfn._xlws.FILTER(CLIENTES!$E46:$BO46,(CLIENTES!$E$5:$BO$5=AL$5)*(CLIENTES!$E$9:$BO$9="VENDA"),0)</f>
        <v>0</v>
      </c>
      <c r="AM27" s="285" cm="1">
        <f t="array" ref="AM27">_xlfn._xlws.FILTER(CLIENTES!$E46:$BO46,(CLIENTES!$E$5:$BO$5=AM$5)*(CLIENTES!$E$9:$BO$9="VENDA"),0)</f>
        <v>0</v>
      </c>
      <c r="AN27" s="285" cm="1">
        <f t="array" ref="AN27">_xlfn._xlws.FILTER(CLIENTES!$E46:$BO46,(CLIENTES!$E$5:$BO$5=AN$5)*(CLIENTES!$E$9:$BO$9="VENDA"),0)</f>
        <v>0</v>
      </c>
      <c r="AO27" s="285" cm="1">
        <f t="array" ref="AO27">_xlfn._xlws.FILTER(CLIENTES!$E46:$BO46,(CLIENTES!$E$5:$BO$5=AO$5)*(CLIENTES!$E$9:$BO$9="VENDA"),0)</f>
        <v>0</v>
      </c>
      <c r="AP27" s="285" cm="1">
        <f t="array" ref="AP27">_xlfn._xlws.FILTER(CLIENTES!$E46:$BO46,(CLIENTES!$E$5:$BO$5=AP$5)*(CLIENTES!$E$9:$BO$9="VENDA"),0)</f>
        <v>0</v>
      </c>
      <c r="AQ27" s="285" cm="1">
        <f t="array" ref="AQ27">_xlfn._xlws.FILTER(CLIENTES!$E46:$BO46,(CLIENTES!$E$5:$BO$5=AQ$5)*(CLIENTES!$E$9:$BO$9="VENDA"),0)</f>
        <v>0</v>
      </c>
      <c r="AR27" s="285" cm="1">
        <f t="array" ref="AR27">_xlfn._xlws.FILTER(CLIENTES!$E46:$BO46,(CLIENTES!$E$5:$BO$5=AR$5)*(CLIENTES!$E$9:$BO$9="VENDA"),0)</f>
        <v>0</v>
      </c>
      <c r="AS27" s="285" cm="1">
        <f t="array" ref="AS27">_xlfn._xlws.FILTER(CLIENTES!$E46:$BO46,(CLIENTES!$E$5:$BO$5=AS$5)*(CLIENTES!$E$9:$BO$9="VENDA"),0)</f>
        <v>0</v>
      </c>
      <c r="AT27" s="285" cm="1">
        <f t="array" ref="AT27">_xlfn._xlws.FILTER(CLIENTES!$E46:$BO46,(CLIENTES!$E$5:$BO$5=AT$5)*(CLIENTES!$E$9:$BO$9="VENDA"),0)</f>
        <v>0</v>
      </c>
      <c r="AU27" s="285" cm="1">
        <f t="array" ref="AU27">_xlfn._xlws.FILTER(CLIENTES!$E46:$BO46,(CLIENTES!$E$5:$BO$5=AU$5)*(CLIENTES!$E$9:$BO$9="VENDA"),0)</f>
        <v>0</v>
      </c>
      <c r="AV27" s="285" cm="1">
        <f t="array" ref="AV27">_xlfn._xlws.FILTER(CLIENTES!$E46:$BO46,(CLIENTES!$E$5:$BO$5=AV$5)*(CLIENTES!$E$9:$BO$9="VENDA"),0)</f>
        <v>0</v>
      </c>
      <c r="AW27" s="285" cm="1">
        <f t="array" ref="AW27">_xlfn._xlws.FILTER(CLIENTES!$E46:$BO46,(CLIENTES!$E$5:$BO$5=AW$5)*(CLIENTES!$E$9:$BO$9="VENDA"),0)</f>
        <v>0</v>
      </c>
      <c r="AX27" s="285" cm="1">
        <f t="array" ref="AX27">_xlfn._xlws.FILTER(CLIENTES!$E46:$BO46,(CLIENTES!$E$5:$BO$5=AX$5)*(CLIENTES!$E$9:$BO$9="VENDA"),0)</f>
        <v>0</v>
      </c>
      <c r="AY27" s="285" cm="1">
        <f t="array" ref="AY27">_xlfn._xlws.FILTER(CLIENTES!$E46:$BO46,(CLIENTES!$E$5:$BO$5=AY$5)*(CLIENTES!$E$9:$BO$9="VENDA"),0)</f>
        <v>0</v>
      </c>
      <c r="AZ27" s="285" cm="1">
        <f t="array" ref="AZ27">_xlfn._xlws.FILTER(CLIENTES!$E46:$BO46,(CLIENTES!$E$5:$BO$5=AZ$5)*(CLIENTES!$E$9:$BO$9="VENDA"),0)</f>
        <v>0</v>
      </c>
      <c r="BA27" s="285" cm="1">
        <f t="array" ref="BA27">_xlfn._xlws.FILTER(CLIENTES!$E46:$BO46,(CLIENTES!$E$5:$BO$5=BA$5)*(CLIENTES!$E$9:$BO$9="VENDA"),0)</f>
        <v>0</v>
      </c>
      <c r="BB27" s="285" cm="1">
        <f t="array" ref="BB27">_xlfn._xlws.FILTER(CLIENTES!$E46:$BO46,(CLIENTES!$E$5:$BO$5=BB$5)*(CLIENTES!$E$9:$BO$9="VENDA"),0)</f>
        <v>0</v>
      </c>
      <c r="BC27" s="285" cm="1">
        <f t="array" ref="BC27">_xlfn._xlws.FILTER(CLIENTES!$E46:$BO46,(CLIENTES!$E$5:$BO$5=BC$5)*(CLIENTES!$E$9:$BO$9="VENDA"),0)</f>
        <v>0</v>
      </c>
      <c r="BD27" s="285" cm="1">
        <f t="array" ref="BD27">_xlfn._xlws.FILTER(CLIENTES!$E46:$BO46,(CLIENTES!$E$5:$BO$5=BD$5)*(CLIENTES!$E$9:$BO$9="VENDA"),0)</f>
        <v>0</v>
      </c>
      <c r="BE27" s="285" cm="1">
        <f t="array" ref="BE27">_xlfn._xlws.FILTER(CLIENTES!$E46:$BO46,(CLIENTES!$E$5:$BO$5=BE$5)*(CLIENTES!$E$9:$BO$9="VENDA"),0)</f>
        <v>0</v>
      </c>
      <c r="BF27" s="285" cm="1">
        <f t="array" ref="BF27">_xlfn._xlws.FILTER(CLIENTES!$E46:$BO46,(CLIENTES!$E$5:$BO$5=BF$5)*(CLIENTES!$E$9:$BO$9="VENDA"),0)</f>
        <v>0</v>
      </c>
      <c r="BG27" s="285" cm="1">
        <f t="array" ref="BG27">_xlfn._xlws.FILTER(CLIENTES!$E46:$BO46,(CLIENTES!$E$5:$BO$5=BG$5)*(CLIENTES!$E$9:$BO$9="VENDA"),0)</f>
        <v>0</v>
      </c>
      <c r="BH27" s="285" cm="1">
        <f t="array" ref="BH27">_xlfn._xlws.FILTER(CLIENTES!$E46:$BO46,(CLIENTES!$E$5:$BO$5=BH$5)*(CLIENTES!$E$9:$BO$9="VENDA"),0)</f>
        <v>0</v>
      </c>
      <c r="BI27" s="285" cm="1">
        <f t="array" ref="BI27">_xlfn._xlws.FILTER(CLIENTES!$E46:$BO46,(CLIENTES!$E$5:$BO$5=BI$5)*(CLIENTES!$E$9:$BO$9="VENDA"),0)</f>
        <v>0</v>
      </c>
      <c r="BJ27" s="285" cm="1">
        <f t="array" ref="BJ27">_xlfn._xlws.FILTER(CLIENTES!$E46:$BO46,(CLIENTES!$E$5:$BO$5=BJ$5)*(CLIENTES!$E$9:$BO$9="VENDA"),0)</f>
        <v>0</v>
      </c>
      <c r="BK27" s="285" cm="1">
        <f t="array" ref="BK27">_xlfn._xlws.FILTER(CLIENTES!$E46:$BO46,(CLIENTES!$E$5:$BO$5=BK$5)*(CLIENTES!$E$9:$BO$9="VENDA"),0)</f>
        <v>0</v>
      </c>
      <c r="BL27" s="285" cm="1">
        <f t="array" ref="BL27">_xlfn._xlws.FILTER(CLIENTES!$E46:$BO46,(CLIENTES!$E$5:$BO$5=BL$5)*(CLIENTES!$E$9:$BO$9="VENDA"),0)</f>
        <v>0</v>
      </c>
    </row>
    <row r="28" spans="2:64" x14ac:dyDescent="0.2">
      <c r="B28" s="326"/>
      <c r="C28" s="23" t="s">
        <v>10</v>
      </c>
      <c r="D28" s="72">
        <v>8.8000000000000005E-3</v>
      </c>
      <c r="E28" s="200">
        <v>8.8000000000000005E-3</v>
      </c>
      <c r="F28" s="200">
        <v>8.8000000000000005E-3</v>
      </c>
      <c r="G28" s="200">
        <v>8.8000000000000005E-3</v>
      </c>
      <c r="H28" s="200">
        <v>8.8000000000000005E-3</v>
      </c>
      <c r="I28" s="200">
        <v>8.8000000000000005E-3</v>
      </c>
      <c r="J28" s="200">
        <v>8.8000000000000005E-3</v>
      </c>
      <c r="K28" s="200">
        <v>8.8000000000000005E-3</v>
      </c>
      <c r="L28" s="200">
        <v>8.8000000000000005E-3</v>
      </c>
      <c r="M28" s="200">
        <v>8.8000000000000005E-3</v>
      </c>
      <c r="N28" s="200">
        <v>8.8000000000000005E-3</v>
      </c>
      <c r="O28" s="200">
        <v>8.8000000000000005E-3</v>
      </c>
      <c r="P28" s="200">
        <v>8.8000000000000005E-3</v>
      </c>
      <c r="Q28" s="200">
        <v>8.8000000000000005E-3</v>
      </c>
      <c r="R28" s="200">
        <v>8.8000000000000005E-3</v>
      </c>
      <c r="S28" s="200">
        <v>8.8000000000000005E-3</v>
      </c>
      <c r="T28" s="200">
        <v>8.8000000000000005E-3</v>
      </c>
      <c r="U28" s="200">
        <v>8.8000000000000005E-3</v>
      </c>
      <c r="V28" s="200">
        <v>8.8000000000000005E-3</v>
      </c>
      <c r="W28" s="200">
        <v>8.8000000000000005E-3</v>
      </c>
      <c r="X28" s="200">
        <v>8.8000000000000005E-3</v>
      </c>
      <c r="Y28" s="200">
        <v>8.8000000000000005E-3</v>
      </c>
      <c r="Z28" s="200">
        <v>8.8000000000000005E-3</v>
      </c>
      <c r="AA28" s="200">
        <v>8.8000000000000005E-3</v>
      </c>
      <c r="AB28" s="200">
        <v>8.8000000000000005E-3</v>
      </c>
      <c r="AC28" s="200">
        <v>8.8000000000000005E-3</v>
      </c>
      <c r="AD28" s="200">
        <v>8.8000000000000005E-3</v>
      </c>
      <c r="AE28" s="200">
        <v>8.8000000000000005E-3</v>
      </c>
      <c r="AF28" s="200">
        <v>8.8000000000000005E-3</v>
      </c>
      <c r="AG28" s="200">
        <v>8.8000000000000005E-3</v>
      </c>
      <c r="AH28" s="200">
        <v>8.8000000000000005E-3</v>
      </c>
      <c r="AI28" s="200">
        <v>8.8000000000000005E-3</v>
      </c>
      <c r="AJ28" s="200">
        <v>8.8000000000000005E-3</v>
      </c>
      <c r="AK28" s="200">
        <v>8.8000000000000005E-3</v>
      </c>
      <c r="AL28" s="200">
        <v>8.8000000000000005E-3</v>
      </c>
      <c r="AM28" s="200">
        <v>8.8000000000000005E-3</v>
      </c>
      <c r="AN28" s="200">
        <v>8.8000000000000005E-3</v>
      </c>
      <c r="AO28" s="200">
        <v>8.8000000000000005E-3</v>
      </c>
      <c r="AP28" s="200">
        <v>8.8000000000000005E-3</v>
      </c>
      <c r="AQ28" s="200">
        <v>8.8000000000000005E-3</v>
      </c>
      <c r="AR28" s="200">
        <v>8.8000000000000005E-3</v>
      </c>
      <c r="AS28" s="200">
        <v>8.8000000000000005E-3</v>
      </c>
      <c r="AT28" s="200">
        <v>8.8000000000000005E-3</v>
      </c>
      <c r="AU28" s="200">
        <v>8.8000000000000005E-3</v>
      </c>
      <c r="AV28" s="200">
        <v>8.8000000000000005E-3</v>
      </c>
      <c r="AW28" s="200">
        <v>8.8000000000000005E-3</v>
      </c>
      <c r="AX28" s="200">
        <v>8.8000000000000005E-3</v>
      </c>
      <c r="AY28" s="200">
        <v>8.8000000000000005E-3</v>
      </c>
      <c r="AZ28" s="215">
        <v>8.8000000000000005E-3</v>
      </c>
      <c r="BA28" s="200">
        <v>8.8000000000000005E-3</v>
      </c>
      <c r="BB28" s="200">
        <v>8.8000000000000005E-3</v>
      </c>
      <c r="BC28" s="200">
        <v>8.8000000000000005E-3</v>
      </c>
      <c r="BD28" s="200">
        <v>8.8000000000000005E-3</v>
      </c>
      <c r="BE28" s="200">
        <v>8.8000000000000005E-3</v>
      </c>
      <c r="BF28" s="200">
        <v>8.8000000000000005E-3</v>
      </c>
      <c r="BG28" s="200">
        <v>8.8000000000000005E-3</v>
      </c>
      <c r="BH28" s="200">
        <v>8.8000000000000005E-3</v>
      </c>
      <c r="BI28" s="200">
        <v>8.8000000000000005E-3</v>
      </c>
      <c r="BJ28" s="200">
        <v>8.8000000000000005E-3</v>
      </c>
      <c r="BK28" s="200">
        <v>8.8000000000000005E-3</v>
      </c>
      <c r="BL28" s="200">
        <v>8.8000000000000005E-3</v>
      </c>
    </row>
    <row r="29" spans="2:64" x14ac:dyDescent="0.2">
      <c r="B29" s="326"/>
      <c r="C29" s="58" t="s">
        <v>23</v>
      </c>
      <c r="D29" s="27">
        <f>SUM(E29:BL29)</f>
        <v>1320.2640000000001</v>
      </c>
      <c r="E29" s="132">
        <v>0</v>
      </c>
      <c r="F29" s="132">
        <f t="shared" ref="F29:BL29" si="10">(F25+F26-F27)*F28</f>
        <v>1320.2640000000001</v>
      </c>
      <c r="G29" s="132">
        <f t="shared" si="10"/>
        <v>0</v>
      </c>
      <c r="H29" s="132">
        <f t="shared" si="10"/>
        <v>0</v>
      </c>
      <c r="I29" s="132">
        <f t="shared" si="10"/>
        <v>0</v>
      </c>
      <c r="J29" s="132">
        <f t="shared" si="10"/>
        <v>0</v>
      </c>
      <c r="K29" s="132">
        <f t="shared" si="10"/>
        <v>0</v>
      </c>
      <c r="L29" s="132">
        <f t="shared" si="10"/>
        <v>0</v>
      </c>
      <c r="M29" s="132">
        <f t="shared" si="10"/>
        <v>0</v>
      </c>
      <c r="N29" s="132">
        <f t="shared" si="10"/>
        <v>0</v>
      </c>
      <c r="O29" s="132">
        <f t="shared" si="10"/>
        <v>0</v>
      </c>
      <c r="P29" s="132">
        <f t="shared" si="10"/>
        <v>0</v>
      </c>
      <c r="Q29" s="132">
        <v>0</v>
      </c>
      <c r="R29" s="132">
        <v>0</v>
      </c>
      <c r="S29" s="132">
        <f t="shared" si="10"/>
        <v>0</v>
      </c>
      <c r="T29" s="132">
        <f t="shared" si="10"/>
        <v>0</v>
      </c>
      <c r="U29" s="132">
        <f t="shared" si="10"/>
        <v>0</v>
      </c>
      <c r="V29" s="132">
        <f t="shared" si="10"/>
        <v>0</v>
      </c>
      <c r="W29" s="132">
        <f t="shared" si="10"/>
        <v>0</v>
      </c>
      <c r="X29" s="132">
        <f t="shared" si="10"/>
        <v>0</v>
      </c>
      <c r="Y29" s="132">
        <f t="shared" si="10"/>
        <v>0</v>
      </c>
      <c r="Z29" s="132">
        <f t="shared" si="10"/>
        <v>0</v>
      </c>
      <c r="AA29" s="132">
        <f t="shared" si="10"/>
        <v>0</v>
      </c>
      <c r="AB29" s="132">
        <f t="shared" si="10"/>
        <v>0</v>
      </c>
      <c r="AC29" s="132">
        <f t="shared" si="10"/>
        <v>0</v>
      </c>
      <c r="AD29" s="132">
        <f t="shared" si="10"/>
        <v>0</v>
      </c>
      <c r="AE29" s="132">
        <f t="shared" si="10"/>
        <v>0</v>
      </c>
      <c r="AF29" s="132">
        <f t="shared" si="10"/>
        <v>0</v>
      </c>
      <c r="AG29" s="132">
        <f t="shared" si="10"/>
        <v>0</v>
      </c>
      <c r="AH29" s="132">
        <f t="shared" si="10"/>
        <v>0</v>
      </c>
      <c r="AI29" s="132">
        <f t="shared" si="10"/>
        <v>0</v>
      </c>
      <c r="AJ29" s="132">
        <f t="shared" si="10"/>
        <v>0</v>
      </c>
      <c r="AK29" s="132"/>
      <c r="AL29" s="132"/>
      <c r="AM29" s="132">
        <f t="shared" si="10"/>
        <v>0</v>
      </c>
      <c r="AN29" s="132">
        <f t="shared" si="10"/>
        <v>0</v>
      </c>
      <c r="AO29" s="132">
        <f t="shared" si="10"/>
        <v>0</v>
      </c>
      <c r="AP29" s="132">
        <f t="shared" si="10"/>
        <v>0</v>
      </c>
      <c r="AQ29" s="132">
        <f t="shared" si="10"/>
        <v>0</v>
      </c>
      <c r="AR29" s="132">
        <f t="shared" si="10"/>
        <v>0</v>
      </c>
      <c r="AS29" s="132">
        <f t="shared" si="10"/>
        <v>0</v>
      </c>
      <c r="AT29" s="132"/>
      <c r="AU29" s="132">
        <f t="shared" si="10"/>
        <v>0</v>
      </c>
      <c r="AV29" s="132">
        <f t="shared" si="10"/>
        <v>0</v>
      </c>
      <c r="AW29" s="132"/>
      <c r="AX29" s="132">
        <f t="shared" si="10"/>
        <v>0</v>
      </c>
      <c r="AY29" s="132">
        <f t="shared" si="10"/>
        <v>0</v>
      </c>
      <c r="AZ29" s="139">
        <f t="shared" si="10"/>
        <v>0</v>
      </c>
      <c r="BA29" s="132">
        <f>(BA25+BA26-BA27)*BA28</f>
        <v>0</v>
      </c>
      <c r="BB29" s="132">
        <f t="shared" si="10"/>
        <v>0</v>
      </c>
      <c r="BC29" s="132">
        <f t="shared" si="10"/>
        <v>0</v>
      </c>
      <c r="BD29" s="132">
        <f t="shared" si="10"/>
        <v>0</v>
      </c>
      <c r="BE29" s="132">
        <f t="shared" si="10"/>
        <v>0</v>
      </c>
      <c r="BF29" s="132">
        <f t="shared" si="10"/>
        <v>0</v>
      </c>
      <c r="BG29" s="132">
        <f t="shared" si="10"/>
        <v>0</v>
      </c>
      <c r="BH29" s="132">
        <f t="shared" si="10"/>
        <v>0</v>
      </c>
      <c r="BI29" s="132">
        <f t="shared" si="10"/>
        <v>0</v>
      </c>
      <c r="BJ29" s="132">
        <f t="shared" si="10"/>
        <v>0</v>
      </c>
      <c r="BK29" s="132">
        <f t="shared" si="10"/>
        <v>0</v>
      </c>
      <c r="BL29" s="132">
        <f t="shared" si="10"/>
        <v>0</v>
      </c>
    </row>
    <row r="30" spans="2:64" ht="13.5" thickBot="1" x14ac:dyDescent="0.25">
      <c r="B30" s="327"/>
      <c r="C30" s="25" t="s">
        <v>22</v>
      </c>
      <c r="D30" s="30">
        <f>SUM(E30:BL30)</f>
        <v>286350.26399999997</v>
      </c>
      <c r="E30" s="146">
        <f>+E25-E27+E26+E29</f>
        <v>135000</v>
      </c>
      <c r="F30" s="146">
        <f>+F25-F27+F26+F29</f>
        <v>151350.264</v>
      </c>
      <c r="G30" s="146">
        <f t="shared" ref="G30:BL30" si="11">+G25-G27+G26+G29</f>
        <v>0</v>
      </c>
      <c r="H30" s="146">
        <f t="shared" si="11"/>
        <v>0</v>
      </c>
      <c r="I30" s="146">
        <f t="shared" si="11"/>
        <v>0</v>
      </c>
      <c r="J30" s="146">
        <f t="shared" si="11"/>
        <v>0</v>
      </c>
      <c r="K30" s="146">
        <f t="shared" si="11"/>
        <v>0</v>
      </c>
      <c r="L30" s="146">
        <f t="shared" si="11"/>
        <v>0</v>
      </c>
      <c r="M30" s="146">
        <f t="shared" si="11"/>
        <v>0</v>
      </c>
      <c r="N30" s="146">
        <f t="shared" si="11"/>
        <v>0</v>
      </c>
      <c r="O30" s="146">
        <f t="shared" si="11"/>
        <v>0</v>
      </c>
      <c r="P30" s="146">
        <f t="shared" si="11"/>
        <v>0</v>
      </c>
      <c r="Q30" s="146">
        <f t="shared" si="11"/>
        <v>0</v>
      </c>
      <c r="R30" s="146">
        <f t="shared" si="11"/>
        <v>0</v>
      </c>
      <c r="S30" s="146">
        <f t="shared" si="11"/>
        <v>0</v>
      </c>
      <c r="T30" s="146">
        <f t="shared" si="11"/>
        <v>0</v>
      </c>
      <c r="U30" s="146">
        <f t="shared" si="11"/>
        <v>0</v>
      </c>
      <c r="V30" s="146">
        <f t="shared" si="11"/>
        <v>0</v>
      </c>
      <c r="W30" s="146">
        <f t="shared" si="11"/>
        <v>0</v>
      </c>
      <c r="X30" s="146">
        <f t="shared" si="11"/>
        <v>0</v>
      </c>
      <c r="Y30" s="146">
        <f t="shared" si="11"/>
        <v>0</v>
      </c>
      <c r="Z30" s="146">
        <f t="shared" si="11"/>
        <v>0</v>
      </c>
      <c r="AA30" s="146">
        <f t="shared" si="11"/>
        <v>0</v>
      </c>
      <c r="AB30" s="146">
        <f t="shared" si="11"/>
        <v>0</v>
      </c>
      <c r="AC30" s="146">
        <f t="shared" si="11"/>
        <v>0</v>
      </c>
      <c r="AD30" s="146">
        <f t="shared" si="11"/>
        <v>0</v>
      </c>
      <c r="AE30" s="146">
        <f t="shared" si="11"/>
        <v>0</v>
      </c>
      <c r="AF30" s="146">
        <f t="shared" si="11"/>
        <v>0</v>
      </c>
      <c r="AG30" s="146">
        <f t="shared" si="11"/>
        <v>0</v>
      </c>
      <c r="AH30" s="146">
        <f t="shared" si="11"/>
        <v>0</v>
      </c>
      <c r="AI30" s="146">
        <f t="shared" si="11"/>
        <v>0</v>
      </c>
      <c r="AJ30" s="146">
        <f t="shared" si="11"/>
        <v>0</v>
      </c>
      <c r="AK30" s="146">
        <f t="shared" si="11"/>
        <v>0</v>
      </c>
      <c r="AL30" s="146">
        <f t="shared" si="11"/>
        <v>0</v>
      </c>
      <c r="AM30" s="146">
        <f t="shared" si="11"/>
        <v>0</v>
      </c>
      <c r="AN30" s="146">
        <f t="shared" si="11"/>
        <v>0</v>
      </c>
      <c r="AO30" s="146">
        <f t="shared" si="11"/>
        <v>0</v>
      </c>
      <c r="AP30" s="146">
        <f t="shared" si="11"/>
        <v>0</v>
      </c>
      <c r="AQ30" s="146">
        <f t="shared" si="11"/>
        <v>0</v>
      </c>
      <c r="AR30" s="146">
        <f t="shared" si="11"/>
        <v>0</v>
      </c>
      <c r="AS30" s="146">
        <f t="shared" si="11"/>
        <v>0</v>
      </c>
      <c r="AT30" s="146">
        <f t="shared" si="11"/>
        <v>0</v>
      </c>
      <c r="AU30" s="146">
        <f t="shared" si="11"/>
        <v>0</v>
      </c>
      <c r="AV30" s="146">
        <f t="shared" si="11"/>
        <v>0</v>
      </c>
      <c r="AW30" s="146">
        <f t="shared" si="11"/>
        <v>0</v>
      </c>
      <c r="AX30" s="146">
        <f t="shared" si="11"/>
        <v>0</v>
      </c>
      <c r="AY30" s="146">
        <f t="shared" si="11"/>
        <v>0</v>
      </c>
      <c r="AZ30" s="146">
        <f t="shared" si="11"/>
        <v>0</v>
      </c>
      <c r="BA30" s="146">
        <f t="shared" si="11"/>
        <v>0</v>
      </c>
      <c r="BB30" s="146">
        <f t="shared" si="11"/>
        <v>0</v>
      </c>
      <c r="BC30" s="146">
        <f t="shared" si="11"/>
        <v>0</v>
      </c>
      <c r="BD30" s="146">
        <f t="shared" si="11"/>
        <v>0</v>
      </c>
      <c r="BE30" s="146">
        <f t="shared" si="11"/>
        <v>0</v>
      </c>
      <c r="BF30" s="146">
        <f t="shared" si="11"/>
        <v>0</v>
      </c>
      <c r="BG30" s="146">
        <f t="shared" si="11"/>
        <v>0</v>
      </c>
      <c r="BH30" s="146">
        <f t="shared" si="11"/>
        <v>0</v>
      </c>
      <c r="BI30" s="146">
        <f t="shared" si="11"/>
        <v>0</v>
      </c>
      <c r="BJ30" s="146">
        <f t="shared" si="11"/>
        <v>0</v>
      </c>
      <c r="BK30" s="146">
        <f t="shared" si="11"/>
        <v>0</v>
      </c>
      <c r="BL30" s="146">
        <f t="shared" si="11"/>
        <v>0</v>
      </c>
    </row>
    <row r="31" spans="2:64" ht="13.5" thickBot="1" x14ac:dyDescent="0.25">
      <c r="B31" s="325">
        <v>43709</v>
      </c>
      <c r="C31" s="62" t="s">
        <v>6</v>
      </c>
      <c r="D31" s="31">
        <f>SUM(E31:BL31)</f>
        <v>95000</v>
      </c>
      <c r="E31" s="285" cm="1">
        <f t="array" ref="E31">_xlfn._xlws.FILTER(CLIENTES!$E53:$BO53,(CLIENTES!$E$5:$BO$5=E$5)*(CLIENTES!$E$9:$BO$9="VENDA"),0)</f>
        <v>45000</v>
      </c>
      <c r="F31" s="285" cm="1">
        <f t="array" ref="F31">_xlfn._xlws.FILTER(CLIENTES!$E53:$BO53,(CLIENTES!$E$5:$BO$5=F$5)*(CLIENTES!$E$9:$BO$9="VENDA"),0)</f>
        <v>50000</v>
      </c>
      <c r="G31" s="285" cm="1">
        <f t="array" ref="G31">_xlfn._xlws.FILTER(CLIENTES!$E53:$BO53,(CLIENTES!$E$5:$BO$5=G$5)*(CLIENTES!$E$9:$BO$9="VENDA"),0)</f>
        <v>0</v>
      </c>
      <c r="H31" s="285" cm="1">
        <f t="array" ref="H31">_xlfn._xlws.FILTER(CLIENTES!$E53:$BO53,(CLIENTES!$E$5:$BO$5=H$5)*(CLIENTES!$E$9:$BO$9="VENDA"),0)</f>
        <v>0</v>
      </c>
      <c r="I31" s="285" cm="1">
        <f t="array" ref="I31">_xlfn._xlws.FILTER(CLIENTES!$E53:$BO53,(CLIENTES!$E$5:$BO$5=I$5)*(CLIENTES!$E$9:$BO$9="VENDA"),0)</f>
        <v>0</v>
      </c>
      <c r="J31" s="285" cm="1">
        <f t="array" ref="J31">_xlfn._xlws.FILTER(CLIENTES!$E53:$BO53,(CLIENTES!$E$5:$BO$5=J$5)*(CLIENTES!$E$9:$BO$9="VENDA"),0)</f>
        <v>0</v>
      </c>
      <c r="K31" s="285" cm="1">
        <f t="array" ref="K31">_xlfn._xlws.FILTER(CLIENTES!$E53:$BO53,(CLIENTES!$E$5:$BO$5=K$5)*(CLIENTES!$E$9:$BO$9="VENDA"),0)</f>
        <v>0</v>
      </c>
      <c r="L31" s="285" cm="1">
        <f t="array" ref="L31">_xlfn._xlws.FILTER(CLIENTES!$E53:$BO53,(CLIENTES!$E$5:$BO$5=L$5)*(CLIENTES!$E$9:$BO$9="VENDA"),0)</f>
        <v>0</v>
      </c>
      <c r="M31" s="285" cm="1">
        <f t="array" ref="M31">_xlfn._xlws.FILTER(CLIENTES!$E53:$BO53,(CLIENTES!$E$5:$BO$5=M$5)*(CLIENTES!$E$9:$BO$9="VENDA"),0)</f>
        <v>0</v>
      </c>
      <c r="N31" s="285" cm="1">
        <f t="array" ref="N31">_xlfn._xlws.FILTER(CLIENTES!$E53:$BO53,(CLIENTES!$E$5:$BO$5=N$5)*(CLIENTES!$E$9:$BO$9="VENDA"),0)</f>
        <v>0</v>
      </c>
      <c r="O31" s="285" cm="1">
        <f t="array" ref="O31">_xlfn._xlws.FILTER(CLIENTES!$E53:$BO53,(CLIENTES!$E$5:$BO$5=O$5)*(CLIENTES!$E$9:$BO$9="VENDA"),0)</f>
        <v>0</v>
      </c>
      <c r="P31" s="285" cm="1">
        <f t="array" ref="P31">_xlfn._xlws.FILTER(CLIENTES!$E53:$BO53,(CLIENTES!$E$5:$BO$5=P$5)*(CLIENTES!$E$9:$BO$9="VENDA"),0)</f>
        <v>0</v>
      </c>
      <c r="Q31" s="285" cm="1">
        <f t="array" ref="Q31">_xlfn._xlws.FILTER(CLIENTES!$E53:$BO53,(CLIENTES!$E$5:$BO$5=Q$5)*(CLIENTES!$E$9:$BO$9="VENDA"),0)</f>
        <v>0</v>
      </c>
      <c r="R31" s="285" cm="1">
        <f t="array" ref="R31">_xlfn._xlws.FILTER(CLIENTES!$E53:$BO53,(CLIENTES!$E$5:$BO$5=R$5)*(CLIENTES!$E$9:$BO$9="VENDA"),0)</f>
        <v>0</v>
      </c>
      <c r="S31" s="285" cm="1">
        <f t="array" ref="S31">_xlfn._xlws.FILTER(CLIENTES!$E53:$BO53,(CLIENTES!$E$5:$BO$5=S$5)*(CLIENTES!$E$9:$BO$9="VENDA"),0)</f>
        <v>0</v>
      </c>
      <c r="T31" s="285" cm="1">
        <f t="array" ref="T31">_xlfn._xlws.FILTER(CLIENTES!$E53:$BO53,(CLIENTES!$E$5:$BO$5=T$5)*(CLIENTES!$E$9:$BO$9="VENDA"),0)</f>
        <v>0</v>
      </c>
      <c r="U31" s="285" cm="1">
        <f t="array" ref="U31">_xlfn._xlws.FILTER(CLIENTES!$E53:$BO53,(CLIENTES!$E$5:$BO$5=U$5)*(CLIENTES!$E$9:$BO$9="VENDA"),0)</f>
        <v>0</v>
      </c>
      <c r="V31" s="285" cm="1">
        <f t="array" ref="V31">_xlfn._xlws.FILTER(CLIENTES!$E53:$BO53,(CLIENTES!$E$5:$BO$5=V$5)*(CLIENTES!$E$9:$BO$9="VENDA"),0)</f>
        <v>0</v>
      </c>
      <c r="W31" s="285" cm="1">
        <f t="array" ref="W31">_xlfn._xlws.FILTER(CLIENTES!$E53:$BO53,(CLIENTES!$E$5:$BO$5=W$5)*(CLIENTES!$E$9:$BO$9="VENDA"),0)</f>
        <v>0</v>
      </c>
      <c r="X31" s="285" cm="1">
        <f t="array" ref="X31">_xlfn._xlws.FILTER(CLIENTES!$E53:$BO53,(CLIENTES!$E$5:$BO$5=X$5)*(CLIENTES!$E$9:$BO$9="VENDA"),0)</f>
        <v>0</v>
      </c>
      <c r="Y31" s="285" cm="1">
        <f t="array" ref="Y31">_xlfn._xlws.FILTER(CLIENTES!$E53:$BO53,(CLIENTES!$E$5:$BO$5=Y$5)*(CLIENTES!$E$9:$BO$9="VENDA"),0)</f>
        <v>0</v>
      </c>
      <c r="Z31" s="285" cm="1">
        <f t="array" ref="Z31">_xlfn._xlws.FILTER(CLIENTES!$E53:$BO53,(CLIENTES!$E$5:$BO$5=Z$5)*(CLIENTES!$E$9:$BO$9="VENDA"),0)</f>
        <v>0</v>
      </c>
      <c r="AA31" s="285" cm="1">
        <f t="array" ref="AA31">_xlfn._xlws.FILTER(CLIENTES!$E53:$BO53,(CLIENTES!$E$5:$BO$5=AA$5)*(CLIENTES!$E$9:$BO$9="VENDA"),0)</f>
        <v>0</v>
      </c>
      <c r="AB31" s="285" cm="1">
        <f t="array" ref="AB31">_xlfn._xlws.FILTER(CLIENTES!$E53:$BO53,(CLIENTES!$E$5:$BO$5=AB$5)*(CLIENTES!$E$9:$BO$9="VENDA"),0)</f>
        <v>0</v>
      </c>
      <c r="AC31" s="285" cm="1">
        <f t="array" ref="AC31">_xlfn._xlws.FILTER(CLIENTES!$E53:$BO53,(CLIENTES!$E$5:$BO$5=AC$5)*(CLIENTES!$E$9:$BO$9="VENDA"),0)</f>
        <v>0</v>
      </c>
      <c r="AD31" s="285" cm="1">
        <f t="array" ref="AD31">_xlfn._xlws.FILTER(CLIENTES!$E53:$BO53,(CLIENTES!$E$5:$BO$5=AD$5)*(CLIENTES!$E$9:$BO$9="VENDA"),0)</f>
        <v>0</v>
      </c>
      <c r="AE31" s="285" cm="1">
        <f t="array" ref="AE31">_xlfn._xlws.FILTER(CLIENTES!$E53:$BO53,(CLIENTES!$E$5:$BO$5=AE$5)*(CLIENTES!$E$9:$BO$9="VENDA"),0)</f>
        <v>0</v>
      </c>
      <c r="AF31" s="285" cm="1">
        <f t="array" ref="AF31">_xlfn._xlws.FILTER(CLIENTES!$E53:$BO53,(CLIENTES!$E$5:$BO$5=AF$5)*(CLIENTES!$E$9:$BO$9="VENDA"),0)</f>
        <v>0</v>
      </c>
      <c r="AG31" s="285" cm="1">
        <f t="array" ref="AG31">_xlfn._xlws.FILTER(CLIENTES!$E53:$BO53,(CLIENTES!$E$5:$BO$5=AG$5)*(CLIENTES!$E$9:$BO$9="VENDA"),0)</f>
        <v>0</v>
      </c>
      <c r="AH31" s="285" cm="1">
        <f t="array" ref="AH31">_xlfn._xlws.FILTER(CLIENTES!$E53:$BO53,(CLIENTES!$E$5:$BO$5=AH$5)*(CLIENTES!$E$9:$BO$9="VENDA"),0)</f>
        <v>0</v>
      </c>
      <c r="AI31" s="285" cm="1">
        <f t="array" ref="AI31">_xlfn._xlws.FILTER(CLIENTES!$E53:$BO53,(CLIENTES!$E$5:$BO$5=AI$5)*(CLIENTES!$E$9:$BO$9="VENDA"),0)</f>
        <v>0</v>
      </c>
      <c r="AJ31" s="285" cm="1">
        <f t="array" ref="AJ31">_xlfn._xlws.FILTER(CLIENTES!$E53:$BO53,(CLIENTES!$E$5:$BO$5=AJ$5)*(CLIENTES!$E$9:$BO$9="VENDA"),0)</f>
        <v>0</v>
      </c>
      <c r="AK31" s="285" cm="1">
        <f t="array" ref="AK31">_xlfn._xlws.FILTER(CLIENTES!$E53:$BO53,(CLIENTES!$E$5:$BO$5=AK$5)*(CLIENTES!$E$9:$BO$9="VENDA"),0)</f>
        <v>0</v>
      </c>
      <c r="AL31" s="285" cm="1">
        <f t="array" ref="AL31">_xlfn._xlws.FILTER(CLIENTES!$E53:$BO53,(CLIENTES!$E$5:$BO$5=AL$5)*(CLIENTES!$E$9:$BO$9="VENDA"),0)</f>
        <v>0</v>
      </c>
      <c r="AM31" s="285" cm="1">
        <f t="array" ref="AM31">_xlfn._xlws.FILTER(CLIENTES!$E53:$BO53,(CLIENTES!$E$5:$BO$5=AM$5)*(CLIENTES!$E$9:$BO$9="VENDA"),0)</f>
        <v>0</v>
      </c>
      <c r="AN31" s="285" cm="1">
        <f t="array" ref="AN31">_xlfn._xlws.FILTER(CLIENTES!$E53:$BO53,(CLIENTES!$E$5:$BO$5=AN$5)*(CLIENTES!$E$9:$BO$9="VENDA"),0)</f>
        <v>0</v>
      </c>
      <c r="AO31" s="285" cm="1">
        <f t="array" ref="AO31">_xlfn._xlws.FILTER(CLIENTES!$E53:$BO53,(CLIENTES!$E$5:$BO$5=AO$5)*(CLIENTES!$E$9:$BO$9="VENDA"),0)</f>
        <v>0</v>
      </c>
      <c r="AP31" s="285" cm="1">
        <f t="array" ref="AP31">_xlfn._xlws.FILTER(CLIENTES!$E53:$BO53,(CLIENTES!$E$5:$BO$5=AP$5)*(CLIENTES!$E$9:$BO$9="VENDA"),0)</f>
        <v>0</v>
      </c>
      <c r="AQ31" s="285" cm="1">
        <f t="array" ref="AQ31">_xlfn._xlws.FILTER(CLIENTES!$E53:$BO53,(CLIENTES!$E$5:$BO$5=AQ$5)*(CLIENTES!$E$9:$BO$9="VENDA"),0)</f>
        <v>0</v>
      </c>
      <c r="AR31" s="285" cm="1">
        <f t="array" ref="AR31">_xlfn._xlws.FILTER(CLIENTES!$E53:$BO53,(CLIENTES!$E$5:$BO$5=AR$5)*(CLIENTES!$E$9:$BO$9="VENDA"),0)</f>
        <v>0</v>
      </c>
      <c r="AS31" s="285" cm="1">
        <f t="array" ref="AS31">_xlfn._xlws.FILTER(CLIENTES!$E53:$BO53,(CLIENTES!$E$5:$BO$5=AS$5)*(CLIENTES!$E$9:$BO$9="VENDA"),0)</f>
        <v>0</v>
      </c>
      <c r="AT31" s="285" cm="1">
        <f t="array" ref="AT31">_xlfn._xlws.FILTER(CLIENTES!$E53:$BO53,(CLIENTES!$E$5:$BO$5=AT$5)*(CLIENTES!$E$9:$BO$9="VENDA"),0)</f>
        <v>0</v>
      </c>
      <c r="AU31" s="285" cm="1">
        <f t="array" ref="AU31">_xlfn._xlws.FILTER(CLIENTES!$E53:$BO53,(CLIENTES!$E$5:$BO$5=AU$5)*(CLIENTES!$E$9:$BO$9="VENDA"),0)</f>
        <v>0</v>
      </c>
      <c r="AV31" s="285" cm="1">
        <f t="array" ref="AV31">_xlfn._xlws.FILTER(CLIENTES!$E53:$BO53,(CLIENTES!$E$5:$BO$5=AV$5)*(CLIENTES!$E$9:$BO$9="VENDA"),0)</f>
        <v>0</v>
      </c>
      <c r="AW31" s="285" cm="1">
        <f t="array" ref="AW31">_xlfn._xlws.FILTER(CLIENTES!$E53:$BO53,(CLIENTES!$E$5:$BO$5=AW$5)*(CLIENTES!$E$9:$BO$9="VENDA"),0)</f>
        <v>0</v>
      </c>
      <c r="AX31" s="285" cm="1">
        <f t="array" ref="AX31">_xlfn._xlws.FILTER(CLIENTES!$E53:$BO53,(CLIENTES!$E$5:$BO$5=AX$5)*(CLIENTES!$E$9:$BO$9="VENDA"),0)</f>
        <v>0</v>
      </c>
      <c r="AY31" s="285" cm="1">
        <f t="array" ref="AY31">_xlfn._xlws.FILTER(CLIENTES!$E53:$BO53,(CLIENTES!$E$5:$BO$5=AY$5)*(CLIENTES!$E$9:$BO$9="VENDA"),0)</f>
        <v>0</v>
      </c>
      <c r="AZ31" s="285" cm="1">
        <f t="array" ref="AZ31">_xlfn._xlws.FILTER(CLIENTES!$E53:$BO53,(CLIENTES!$E$5:$BO$5=AZ$5)*(CLIENTES!$E$9:$BO$9="VENDA"),0)</f>
        <v>0</v>
      </c>
      <c r="BA31" s="285" cm="1">
        <f t="array" ref="BA31">_xlfn._xlws.FILTER(CLIENTES!$E53:$BO53,(CLIENTES!$E$5:$BO$5=BA$5)*(CLIENTES!$E$9:$BO$9="VENDA"),0)</f>
        <v>0</v>
      </c>
      <c r="BB31" s="285" cm="1">
        <f t="array" ref="BB31">_xlfn._xlws.FILTER(CLIENTES!$E53:$BO53,(CLIENTES!$E$5:$BO$5=BB$5)*(CLIENTES!$E$9:$BO$9="VENDA"),0)</f>
        <v>0</v>
      </c>
      <c r="BC31" s="285" cm="1">
        <f t="array" ref="BC31">_xlfn._xlws.FILTER(CLIENTES!$E53:$BO53,(CLIENTES!$E$5:$BO$5=BC$5)*(CLIENTES!$E$9:$BO$9="VENDA"),0)</f>
        <v>0</v>
      </c>
      <c r="BD31" s="285" cm="1">
        <f t="array" ref="BD31">_xlfn._xlws.FILTER(CLIENTES!$E53:$BO53,(CLIENTES!$E$5:$BO$5=BD$5)*(CLIENTES!$E$9:$BO$9="VENDA"),0)</f>
        <v>0</v>
      </c>
      <c r="BE31" s="285" cm="1">
        <f t="array" ref="BE31">_xlfn._xlws.FILTER(CLIENTES!$E53:$BO53,(CLIENTES!$E$5:$BO$5=BE$5)*(CLIENTES!$E$9:$BO$9="VENDA"),0)</f>
        <v>0</v>
      </c>
      <c r="BF31" s="285" cm="1">
        <f t="array" ref="BF31">_xlfn._xlws.FILTER(CLIENTES!$E53:$BO53,(CLIENTES!$E$5:$BO$5=BF$5)*(CLIENTES!$E$9:$BO$9="VENDA"),0)</f>
        <v>0</v>
      </c>
      <c r="BG31" s="285" cm="1">
        <f t="array" ref="BG31">_xlfn._xlws.FILTER(CLIENTES!$E53:$BO53,(CLIENTES!$E$5:$BO$5=BG$5)*(CLIENTES!$E$9:$BO$9="VENDA"),0)</f>
        <v>0</v>
      </c>
      <c r="BH31" s="285" cm="1">
        <f t="array" ref="BH31">_xlfn._xlws.FILTER(CLIENTES!$E53:$BO53,(CLIENTES!$E$5:$BO$5=BH$5)*(CLIENTES!$E$9:$BO$9="VENDA"),0)</f>
        <v>0</v>
      </c>
      <c r="BI31" s="285" cm="1">
        <f t="array" ref="BI31">_xlfn._xlws.FILTER(CLIENTES!$E53:$BO53,(CLIENTES!$E$5:$BO$5=BI$5)*(CLIENTES!$E$9:$BO$9="VENDA"),0)</f>
        <v>0</v>
      </c>
      <c r="BJ31" s="285" cm="1">
        <f t="array" ref="BJ31">_xlfn._xlws.FILTER(CLIENTES!$E53:$BO53,(CLIENTES!$E$5:$BO$5=BJ$5)*(CLIENTES!$E$9:$BO$9="VENDA"),0)</f>
        <v>0</v>
      </c>
      <c r="BK31" s="285" cm="1">
        <f t="array" ref="BK31">_xlfn._xlws.FILTER(CLIENTES!$E53:$BO53,(CLIENTES!$E$5:$BO$5=BK$5)*(CLIENTES!$E$9:$BO$9="VENDA"),0)</f>
        <v>0</v>
      </c>
      <c r="BL31" s="285" cm="1">
        <f t="array" ref="BL31">_xlfn._xlws.FILTER(CLIENTES!$E53:$BO53,(CLIENTES!$E$5:$BO$5=BL$5)*(CLIENTES!$E$9:$BO$9="VENDA"),0)</f>
        <v>0</v>
      </c>
    </row>
    <row r="32" spans="2:64" ht="13.5" thickBot="1" x14ac:dyDescent="0.25">
      <c r="B32" s="326"/>
      <c r="C32" s="23" t="s">
        <v>9</v>
      </c>
      <c r="D32" s="27">
        <f>SUM(E32:BL32)</f>
        <v>0</v>
      </c>
      <c r="E32" s="285" cm="1">
        <f t="array" ref="E32">_xlfn._xlws.FILTER(CLIENTES!$E54:$BO54,(CLIENTES!$E$5:$BO$5=E$5)*(CLIENTES!$E$9:$BO$9="VENDA"),0)</f>
        <v>0</v>
      </c>
      <c r="F32" s="285" cm="1">
        <f t="array" ref="F32">_xlfn._xlws.FILTER(CLIENTES!$E54:$BO54,(CLIENTES!$E$5:$BO$5=F$5)*(CLIENTES!$E$9:$BO$9="VENDA"),0)</f>
        <v>0</v>
      </c>
      <c r="G32" s="285" cm="1">
        <f t="array" ref="G32">_xlfn._xlws.FILTER(CLIENTES!$E54:$BO54,(CLIENTES!$E$5:$BO$5=G$5)*(CLIENTES!$E$9:$BO$9="VENDA"),0)</f>
        <v>0</v>
      </c>
      <c r="H32" s="285" cm="1">
        <f t="array" ref="H32">_xlfn._xlws.FILTER(CLIENTES!$E54:$BO54,(CLIENTES!$E$5:$BO$5=H$5)*(CLIENTES!$E$9:$BO$9="VENDA"),0)</f>
        <v>0</v>
      </c>
      <c r="I32" s="285" cm="1">
        <f t="array" ref="I32">_xlfn._xlws.FILTER(CLIENTES!$E54:$BO54,(CLIENTES!$E$5:$BO$5=I$5)*(CLIENTES!$E$9:$BO$9="VENDA"),0)</f>
        <v>0</v>
      </c>
      <c r="J32" s="285" cm="1">
        <f t="array" ref="J32">_xlfn._xlws.FILTER(CLIENTES!$E54:$BO54,(CLIENTES!$E$5:$BO$5=J$5)*(CLIENTES!$E$9:$BO$9="VENDA"),0)</f>
        <v>0</v>
      </c>
      <c r="K32" s="285" cm="1">
        <f t="array" ref="K32">_xlfn._xlws.FILTER(CLIENTES!$E54:$BO54,(CLIENTES!$E$5:$BO$5=K$5)*(CLIENTES!$E$9:$BO$9="VENDA"),0)</f>
        <v>0</v>
      </c>
      <c r="L32" s="285" cm="1">
        <f t="array" ref="L32">_xlfn._xlws.FILTER(CLIENTES!$E54:$BO54,(CLIENTES!$E$5:$BO$5=L$5)*(CLIENTES!$E$9:$BO$9="VENDA"),0)</f>
        <v>0</v>
      </c>
      <c r="M32" s="285" cm="1">
        <f t="array" ref="M32">_xlfn._xlws.FILTER(CLIENTES!$E54:$BO54,(CLIENTES!$E$5:$BO$5=M$5)*(CLIENTES!$E$9:$BO$9="VENDA"),0)</f>
        <v>0</v>
      </c>
      <c r="N32" s="285" cm="1">
        <f t="array" ref="N32">_xlfn._xlws.FILTER(CLIENTES!$E54:$BO54,(CLIENTES!$E$5:$BO$5=N$5)*(CLIENTES!$E$9:$BO$9="VENDA"),0)</f>
        <v>0</v>
      </c>
      <c r="O32" s="285" cm="1">
        <f t="array" ref="O32">_xlfn._xlws.FILTER(CLIENTES!$E54:$BO54,(CLIENTES!$E$5:$BO$5=O$5)*(CLIENTES!$E$9:$BO$9="VENDA"),0)</f>
        <v>0</v>
      </c>
      <c r="P32" s="285" cm="1">
        <f t="array" ref="P32">_xlfn._xlws.FILTER(CLIENTES!$E54:$BO54,(CLIENTES!$E$5:$BO$5=P$5)*(CLIENTES!$E$9:$BO$9="VENDA"),0)</f>
        <v>0</v>
      </c>
      <c r="Q32" s="285" cm="1">
        <f t="array" ref="Q32">_xlfn._xlws.FILTER(CLIENTES!$E54:$BO54,(CLIENTES!$E$5:$BO$5=Q$5)*(CLIENTES!$E$9:$BO$9="VENDA"),0)</f>
        <v>0</v>
      </c>
      <c r="R32" s="285" cm="1">
        <f t="array" ref="R32">_xlfn._xlws.FILTER(CLIENTES!$E54:$BO54,(CLIENTES!$E$5:$BO$5=R$5)*(CLIENTES!$E$9:$BO$9="VENDA"),0)</f>
        <v>0</v>
      </c>
      <c r="S32" s="285" cm="1">
        <f t="array" ref="S32">_xlfn._xlws.FILTER(CLIENTES!$E54:$BO54,(CLIENTES!$E$5:$BO$5=S$5)*(CLIENTES!$E$9:$BO$9="VENDA"),0)</f>
        <v>0</v>
      </c>
      <c r="T32" s="285" cm="1">
        <f t="array" ref="T32">_xlfn._xlws.FILTER(CLIENTES!$E54:$BO54,(CLIENTES!$E$5:$BO$5=T$5)*(CLIENTES!$E$9:$BO$9="VENDA"),0)</f>
        <v>0</v>
      </c>
      <c r="U32" s="285" cm="1">
        <f t="array" ref="U32">_xlfn._xlws.FILTER(CLIENTES!$E54:$BO54,(CLIENTES!$E$5:$BO$5=U$5)*(CLIENTES!$E$9:$BO$9="VENDA"),0)</f>
        <v>0</v>
      </c>
      <c r="V32" s="285" cm="1">
        <f t="array" ref="V32">_xlfn._xlws.FILTER(CLIENTES!$E54:$BO54,(CLIENTES!$E$5:$BO$5=V$5)*(CLIENTES!$E$9:$BO$9="VENDA"),0)</f>
        <v>0</v>
      </c>
      <c r="W32" s="285" cm="1">
        <f t="array" ref="W32">_xlfn._xlws.FILTER(CLIENTES!$E54:$BO54,(CLIENTES!$E$5:$BO$5=W$5)*(CLIENTES!$E$9:$BO$9="VENDA"),0)</f>
        <v>0</v>
      </c>
      <c r="X32" s="285" cm="1">
        <f t="array" ref="X32">_xlfn._xlws.FILTER(CLIENTES!$E54:$BO54,(CLIENTES!$E$5:$BO$5=X$5)*(CLIENTES!$E$9:$BO$9="VENDA"),0)</f>
        <v>0</v>
      </c>
      <c r="Y32" s="285" cm="1">
        <f t="array" ref="Y32">_xlfn._xlws.FILTER(CLIENTES!$E54:$BO54,(CLIENTES!$E$5:$BO$5=Y$5)*(CLIENTES!$E$9:$BO$9="VENDA"),0)</f>
        <v>0</v>
      </c>
      <c r="Z32" s="285" cm="1">
        <f t="array" ref="Z32">_xlfn._xlws.FILTER(CLIENTES!$E54:$BO54,(CLIENTES!$E$5:$BO$5=Z$5)*(CLIENTES!$E$9:$BO$9="VENDA"),0)</f>
        <v>0</v>
      </c>
      <c r="AA32" s="285" cm="1">
        <f t="array" ref="AA32">_xlfn._xlws.FILTER(CLIENTES!$E54:$BO54,(CLIENTES!$E$5:$BO$5=AA$5)*(CLIENTES!$E$9:$BO$9="VENDA"),0)</f>
        <v>0</v>
      </c>
      <c r="AB32" s="285" cm="1">
        <f t="array" ref="AB32">_xlfn._xlws.FILTER(CLIENTES!$E54:$BO54,(CLIENTES!$E$5:$BO$5=AB$5)*(CLIENTES!$E$9:$BO$9="VENDA"),0)</f>
        <v>0</v>
      </c>
      <c r="AC32" s="285" cm="1">
        <f t="array" ref="AC32">_xlfn._xlws.FILTER(CLIENTES!$E54:$BO54,(CLIENTES!$E$5:$BO$5=AC$5)*(CLIENTES!$E$9:$BO$9="VENDA"),0)</f>
        <v>0</v>
      </c>
      <c r="AD32" s="285" cm="1">
        <f t="array" ref="AD32">_xlfn._xlws.FILTER(CLIENTES!$E54:$BO54,(CLIENTES!$E$5:$BO$5=AD$5)*(CLIENTES!$E$9:$BO$9="VENDA"),0)</f>
        <v>0</v>
      </c>
      <c r="AE32" s="285" cm="1">
        <f t="array" ref="AE32">_xlfn._xlws.FILTER(CLIENTES!$E54:$BO54,(CLIENTES!$E$5:$BO$5=AE$5)*(CLIENTES!$E$9:$BO$9="VENDA"),0)</f>
        <v>0</v>
      </c>
      <c r="AF32" s="285" cm="1">
        <f t="array" ref="AF32">_xlfn._xlws.FILTER(CLIENTES!$E54:$BO54,(CLIENTES!$E$5:$BO$5=AF$5)*(CLIENTES!$E$9:$BO$9="VENDA"),0)</f>
        <v>0</v>
      </c>
      <c r="AG32" s="285" cm="1">
        <f t="array" ref="AG32">_xlfn._xlws.FILTER(CLIENTES!$E54:$BO54,(CLIENTES!$E$5:$BO$5=AG$5)*(CLIENTES!$E$9:$BO$9="VENDA"),0)</f>
        <v>0</v>
      </c>
      <c r="AH32" s="285" cm="1">
        <f t="array" ref="AH32">_xlfn._xlws.FILTER(CLIENTES!$E54:$BO54,(CLIENTES!$E$5:$BO$5=AH$5)*(CLIENTES!$E$9:$BO$9="VENDA"),0)</f>
        <v>0</v>
      </c>
      <c r="AI32" s="285" cm="1">
        <f t="array" ref="AI32">_xlfn._xlws.FILTER(CLIENTES!$E54:$BO54,(CLIENTES!$E$5:$BO$5=AI$5)*(CLIENTES!$E$9:$BO$9="VENDA"),0)</f>
        <v>0</v>
      </c>
      <c r="AJ32" s="285" cm="1">
        <f t="array" ref="AJ32">_xlfn._xlws.FILTER(CLIENTES!$E54:$BO54,(CLIENTES!$E$5:$BO$5=AJ$5)*(CLIENTES!$E$9:$BO$9="VENDA"),0)</f>
        <v>0</v>
      </c>
      <c r="AK32" s="285" cm="1">
        <f t="array" ref="AK32">_xlfn._xlws.FILTER(CLIENTES!$E54:$BO54,(CLIENTES!$E$5:$BO$5=AK$5)*(CLIENTES!$E$9:$BO$9="VENDA"),0)</f>
        <v>0</v>
      </c>
      <c r="AL32" s="285" cm="1">
        <f t="array" ref="AL32">_xlfn._xlws.FILTER(CLIENTES!$E54:$BO54,(CLIENTES!$E$5:$BO$5=AL$5)*(CLIENTES!$E$9:$BO$9="VENDA"),0)</f>
        <v>0</v>
      </c>
      <c r="AM32" s="285" cm="1">
        <f t="array" ref="AM32">_xlfn._xlws.FILTER(CLIENTES!$E54:$BO54,(CLIENTES!$E$5:$BO$5=AM$5)*(CLIENTES!$E$9:$BO$9="VENDA"),0)</f>
        <v>0</v>
      </c>
      <c r="AN32" s="285" cm="1">
        <f t="array" ref="AN32">_xlfn._xlws.FILTER(CLIENTES!$E54:$BO54,(CLIENTES!$E$5:$BO$5=AN$5)*(CLIENTES!$E$9:$BO$9="VENDA"),0)</f>
        <v>0</v>
      </c>
      <c r="AO32" s="285" cm="1">
        <f t="array" ref="AO32">_xlfn._xlws.FILTER(CLIENTES!$E54:$BO54,(CLIENTES!$E$5:$BO$5=AO$5)*(CLIENTES!$E$9:$BO$9="VENDA"),0)</f>
        <v>0</v>
      </c>
      <c r="AP32" s="285" cm="1">
        <f t="array" ref="AP32">_xlfn._xlws.FILTER(CLIENTES!$E54:$BO54,(CLIENTES!$E$5:$BO$5=AP$5)*(CLIENTES!$E$9:$BO$9="VENDA"),0)</f>
        <v>0</v>
      </c>
      <c r="AQ32" s="285" cm="1">
        <f t="array" ref="AQ32">_xlfn._xlws.FILTER(CLIENTES!$E54:$BO54,(CLIENTES!$E$5:$BO$5=AQ$5)*(CLIENTES!$E$9:$BO$9="VENDA"),0)</f>
        <v>0</v>
      </c>
      <c r="AR32" s="285" cm="1">
        <f t="array" ref="AR32">_xlfn._xlws.FILTER(CLIENTES!$E54:$BO54,(CLIENTES!$E$5:$BO$5=AR$5)*(CLIENTES!$E$9:$BO$9="VENDA"),0)</f>
        <v>0</v>
      </c>
      <c r="AS32" s="285" cm="1">
        <f t="array" ref="AS32">_xlfn._xlws.FILTER(CLIENTES!$E54:$BO54,(CLIENTES!$E$5:$BO$5=AS$5)*(CLIENTES!$E$9:$BO$9="VENDA"),0)</f>
        <v>0</v>
      </c>
      <c r="AT32" s="285" cm="1">
        <f t="array" ref="AT32">_xlfn._xlws.FILTER(CLIENTES!$E54:$BO54,(CLIENTES!$E$5:$BO$5=AT$5)*(CLIENTES!$E$9:$BO$9="VENDA"),0)</f>
        <v>0</v>
      </c>
      <c r="AU32" s="285" cm="1">
        <f t="array" ref="AU32">_xlfn._xlws.FILTER(CLIENTES!$E54:$BO54,(CLIENTES!$E$5:$BO$5=AU$5)*(CLIENTES!$E$9:$BO$9="VENDA"),0)</f>
        <v>0</v>
      </c>
      <c r="AV32" s="285" cm="1">
        <f t="array" ref="AV32">_xlfn._xlws.FILTER(CLIENTES!$E54:$BO54,(CLIENTES!$E$5:$BO$5=AV$5)*(CLIENTES!$E$9:$BO$9="VENDA"),0)</f>
        <v>0</v>
      </c>
      <c r="AW32" s="285" cm="1">
        <f t="array" ref="AW32">_xlfn._xlws.FILTER(CLIENTES!$E54:$BO54,(CLIENTES!$E$5:$BO$5=AW$5)*(CLIENTES!$E$9:$BO$9="VENDA"),0)</f>
        <v>0</v>
      </c>
      <c r="AX32" s="285" cm="1">
        <f t="array" ref="AX32">_xlfn._xlws.FILTER(CLIENTES!$E54:$BO54,(CLIENTES!$E$5:$BO$5=AX$5)*(CLIENTES!$E$9:$BO$9="VENDA"),0)</f>
        <v>0</v>
      </c>
      <c r="AY32" s="285" cm="1">
        <f t="array" ref="AY32">_xlfn._xlws.FILTER(CLIENTES!$E54:$BO54,(CLIENTES!$E$5:$BO$5=AY$5)*(CLIENTES!$E$9:$BO$9="VENDA"),0)</f>
        <v>0</v>
      </c>
      <c r="AZ32" s="285" cm="1">
        <f t="array" ref="AZ32">_xlfn._xlws.FILTER(CLIENTES!$E54:$BO54,(CLIENTES!$E$5:$BO$5=AZ$5)*(CLIENTES!$E$9:$BO$9="VENDA"),0)</f>
        <v>0</v>
      </c>
      <c r="BA32" s="285" cm="1">
        <f t="array" ref="BA32">_xlfn._xlws.FILTER(CLIENTES!$E54:$BO54,(CLIENTES!$E$5:$BO$5=BA$5)*(CLIENTES!$E$9:$BO$9="VENDA"),0)</f>
        <v>0</v>
      </c>
      <c r="BB32" s="285" cm="1">
        <f t="array" ref="BB32">_xlfn._xlws.FILTER(CLIENTES!$E54:$BO54,(CLIENTES!$E$5:$BO$5=BB$5)*(CLIENTES!$E$9:$BO$9="VENDA"),0)</f>
        <v>0</v>
      </c>
      <c r="BC32" s="285" cm="1">
        <f t="array" ref="BC32">_xlfn._xlws.FILTER(CLIENTES!$E54:$BO54,(CLIENTES!$E$5:$BO$5=BC$5)*(CLIENTES!$E$9:$BO$9="VENDA"),0)</f>
        <v>0</v>
      </c>
      <c r="BD32" s="285" cm="1">
        <f t="array" ref="BD32">_xlfn._xlws.FILTER(CLIENTES!$E54:$BO54,(CLIENTES!$E$5:$BO$5=BD$5)*(CLIENTES!$E$9:$BO$9="VENDA"),0)</f>
        <v>0</v>
      </c>
      <c r="BE32" s="285" cm="1">
        <f t="array" ref="BE32">_xlfn._xlws.FILTER(CLIENTES!$E54:$BO54,(CLIENTES!$E$5:$BO$5=BE$5)*(CLIENTES!$E$9:$BO$9="VENDA"),0)</f>
        <v>0</v>
      </c>
      <c r="BF32" s="285" cm="1">
        <f t="array" ref="BF32">_xlfn._xlws.FILTER(CLIENTES!$E54:$BO54,(CLIENTES!$E$5:$BO$5=BF$5)*(CLIENTES!$E$9:$BO$9="VENDA"),0)</f>
        <v>0</v>
      </c>
      <c r="BG32" s="285" cm="1">
        <f t="array" ref="BG32">_xlfn._xlws.FILTER(CLIENTES!$E54:$BO54,(CLIENTES!$E$5:$BO$5=BG$5)*(CLIENTES!$E$9:$BO$9="VENDA"),0)</f>
        <v>0</v>
      </c>
      <c r="BH32" s="285" cm="1">
        <f t="array" ref="BH32">_xlfn._xlws.FILTER(CLIENTES!$E54:$BO54,(CLIENTES!$E$5:$BO$5=BH$5)*(CLIENTES!$E$9:$BO$9="VENDA"),0)</f>
        <v>0</v>
      </c>
      <c r="BI32" s="285" cm="1">
        <f t="array" ref="BI32">_xlfn._xlws.FILTER(CLIENTES!$E54:$BO54,(CLIENTES!$E$5:$BO$5=BI$5)*(CLIENTES!$E$9:$BO$9="VENDA"),0)</f>
        <v>0</v>
      </c>
      <c r="BJ32" s="285" cm="1">
        <f t="array" ref="BJ32">_xlfn._xlws.FILTER(CLIENTES!$E54:$BO54,(CLIENTES!$E$5:$BO$5=BJ$5)*(CLIENTES!$E$9:$BO$9="VENDA"),0)</f>
        <v>0</v>
      </c>
      <c r="BK32" s="285" cm="1">
        <f t="array" ref="BK32">_xlfn._xlws.FILTER(CLIENTES!$E54:$BO54,(CLIENTES!$E$5:$BO$5=BK$5)*(CLIENTES!$E$9:$BO$9="VENDA"),0)</f>
        <v>0</v>
      </c>
      <c r="BL32" s="285" cm="1">
        <f t="array" ref="BL32">_xlfn._xlws.FILTER(CLIENTES!$E54:$BO54,(CLIENTES!$E$5:$BO$5=BL$5)*(CLIENTES!$E$9:$BO$9="VENDA"),0)</f>
        <v>0</v>
      </c>
    </row>
    <row r="33" spans="2:84" x14ac:dyDescent="0.2">
      <c r="B33" s="326"/>
      <c r="C33" s="23" t="s">
        <v>10</v>
      </c>
      <c r="D33" s="72">
        <v>5.7999999999999996E-3</v>
      </c>
      <c r="E33" s="200">
        <f>CLIENTES!F56</f>
        <v>5.7999999999999996E-3</v>
      </c>
      <c r="F33" s="200">
        <f>CLIENTES!H56</f>
        <v>5.7999999999999996E-3</v>
      </c>
      <c r="G33" s="200">
        <f>CLIENTES!I56</f>
        <v>5.7999999999999996E-3</v>
      </c>
      <c r="H33" s="200">
        <f>CLIENTES!J56</f>
        <v>5.7999999999999996E-3</v>
      </c>
      <c r="I33" s="200">
        <f>CLIENTES!K56</f>
        <v>5.7999999999999996E-3</v>
      </c>
      <c r="J33" s="200">
        <f>CLIENTES!L56</f>
        <v>5.7999999999999996E-3</v>
      </c>
      <c r="K33" s="200">
        <f>CLIENTES!M56</f>
        <v>5.7999999999999996E-3</v>
      </c>
      <c r="L33" s="200">
        <f>CLIENTES!N56</f>
        <v>5.7999999999999996E-3</v>
      </c>
      <c r="M33" s="200">
        <f>CLIENTES!O56</f>
        <v>5.7999999999999996E-3</v>
      </c>
      <c r="N33" s="200">
        <f>CLIENTES!P56</f>
        <v>5.7999999999999996E-3</v>
      </c>
      <c r="O33" s="200">
        <f>CLIENTES!Q56</f>
        <v>5.7999999999999996E-3</v>
      </c>
      <c r="P33" s="200">
        <f>CLIENTES!R56</f>
        <v>5.7999999999999996E-3</v>
      </c>
      <c r="Q33" s="200">
        <f>CLIENTES!S56</f>
        <v>5.7999999999999996E-3</v>
      </c>
      <c r="R33" s="200">
        <f>CLIENTES!T56</f>
        <v>5.7999999999999996E-3</v>
      </c>
      <c r="S33" s="200">
        <f>CLIENTES!U56</f>
        <v>5.7999999999999996E-3</v>
      </c>
      <c r="T33" s="200">
        <f>CLIENTES!V56</f>
        <v>5.7999999999999996E-3</v>
      </c>
      <c r="U33" s="200">
        <f>CLIENTES!W56</f>
        <v>5.7999999999999996E-3</v>
      </c>
      <c r="V33" s="200">
        <f>CLIENTES!X56</f>
        <v>5.7999999999999996E-3</v>
      </c>
      <c r="W33" s="200">
        <f>CLIENTES!Y56</f>
        <v>5.7999999999999996E-3</v>
      </c>
      <c r="X33" s="200">
        <f>CLIENTES!Z56</f>
        <v>5.7999999999999996E-3</v>
      </c>
      <c r="Y33" s="200">
        <f>CLIENTES!AA56</f>
        <v>5.7999999999999996E-3</v>
      </c>
      <c r="Z33" s="200">
        <f>CLIENTES!AB56</f>
        <v>5.7999999999999996E-3</v>
      </c>
      <c r="AA33" s="200">
        <f>CLIENTES!AC56</f>
        <v>5.7999999999999996E-3</v>
      </c>
      <c r="AB33" s="200">
        <f>CLIENTES!AD56</f>
        <v>5.7999999999999996E-3</v>
      </c>
      <c r="AC33" s="200">
        <f>CLIENTES!AE56</f>
        <v>5.7999999999999996E-3</v>
      </c>
      <c r="AD33" s="200">
        <f>CLIENTES!AF56</f>
        <v>5.7999999999999996E-3</v>
      </c>
      <c r="AE33" s="200">
        <f>CLIENTES!AG56</f>
        <v>5.7999999999999996E-3</v>
      </c>
      <c r="AF33" s="200">
        <f>CLIENTES!AH56</f>
        <v>5.7999999999999996E-3</v>
      </c>
      <c r="AG33" s="200">
        <f>CLIENTES!AI56</f>
        <v>5.7999999999999996E-3</v>
      </c>
      <c r="AH33" s="200">
        <f>CLIENTES!AJ56</f>
        <v>5.7999999999999996E-3</v>
      </c>
      <c r="AI33" s="200">
        <f>CLIENTES!AK56</f>
        <v>5.7999999999999996E-3</v>
      </c>
      <c r="AJ33" s="200">
        <f>CLIENTES!AL56</f>
        <v>5.7999999999999996E-3</v>
      </c>
      <c r="AK33" s="200">
        <f>CLIENTES!AM56</f>
        <v>5.7999999999999996E-3</v>
      </c>
      <c r="AL33" s="200">
        <f>CLIENTES!AN56</f>
        <v>5.7999999999999996E-3</v>
      </c>
      <c r="AM33" s="200">
        <f>CLIENTES!AO56</f>
        <v>5.7999999999999996E-3</v>
      </c>
      <c r="AN33" s="200">
        <f>CLIENTES!AP56</f>
        <v>5.7999999999999996E-3</v>
      </c>
      <c r="AO33" s="200">
        <f>CLIENTES!AQ56</f>
        <v>5.7999999999999996E-3</v>
      </c>
      <c r="AP33" s="200">
        <f>CLIENTES!AR56</f>
        <v>5.7999999999999996E-3</v>
      </c>
      <c r="AQ33" s="200">
        <f>CLIENTES!AS56</f>
        <v>5.7999999999999996E-3</v>
      </c>
      <c r="AR33" s="200">
        <f>CLIENTES!AT56</f>
        <v>5.7999999999999996E-3</v>
      </c>
      <c r="AS33" s="200">
        <f>CLIENTES!AU56</f>
        <v>5.7999999999999996E-3</v>
      </c>
      <c r="AT33" s="200">
        <f>CLIENTES!AV56</f>
        <v>5.7999999999999996E-3</v>
      </c>
      <c r="AU33" s="200">
        <f>CLIENTES!AW56</f>
        <v>5.7999999999999996E-3</v>
      </c>
      <c r="AV33" s="200">
        <f>CLIENTES!AX56</f>
        <v>5.7999999999999996E-3</v>
      </c>
      <c r="AW33" s="200">
        <f>CLIENTES!AY56</f>
        <v>5.7999999999999996E-3</v>
      </c>
      <c r="AX33" s="200">
        <f>CLIENTES!AZ56</f>
        <v>5.7999999999999996E-3</v>
      </c>
      <c r="AY33" s="200">
        <f>CLIENTES!BA56</f>
        <v>5.7999999999999996E-3</v>
      </c>
      <c r="AZ33" s="215">
        <f>CLIENTES!BB56</f>
        <v>5.7999999999999996E-3</v>
      </c>
      <c r="BA33" s="200">
        <f>CLIENTES!BC56</f>
        <v>5.7999999999999996E-3</v>
      </c>
      <c r="BB33" s="200">
        <f>CLIENTES!BD56</f>
        <v>5.7999999999999996E-3</v>
      </c>
      <c r="BC33" s="200">
        <f>CLIENTES!BE56</f>
        <v>5.7999999999999996E-3</v>
      </c>
      <c r="BD33" s="200">
        <f>CLIENTES!BF56</f>
        <v>5.7999999999999996E-3</v>
      </c>
      <c r="BE33" s="200">
        <f>CLIENTES!BG56</f>
        <v>5.7999999999999996E-3</v>
      </c>
      <c r="BF33" s="200">
        <f>CLIENTES!BH56</f>
        <v>5.7999999999999996E-3</v>
      </c>
      <c r="BG33" s="200">
        <f>CLIENTES!BI56</f>
        <v>5.7999999999999996E-3</v>
      </c>
      <c r="BH33" s="200">
        <f>CLIENTES!BJ56</f>
        <v>5.7999999999999996E-3</v>
      </c>
      <c r="BI33" s="200">
        <f>CLIENTES!BK56</f>
        <v>5.7999999999999996E-3</v>
      </c>
      <c r="BJ33" s="200">
        <f>CLIENTES!BL56</f>
        <v>5.7999999999999996E-3</v>
      </c>
      <c r="BK33" s="200">
        <f>CLIENTES!BM56</f>
        <v>5.7999999999999996E-3</v>
      </c>
      <c r="BL33" s="200">
        <f>CLIENTES!BN56</f>
        <v>5.7999999999999996E-3</v>
      </c>
    </row>
    <row r="34" spans="2:84" x14ac:dyDescent="0.2">
      <c r="B34" s="326"/>
      <c r="C34" s="58" t="s">
        <v>23</v>
      </c>
      <c r="D34" s="27">
        <f>SUM(E34:BL34)</f>
        <v>1167.8315312</v>
      </c>
      <c r="E34" s="132">
        <v>0</v>
      </c>
      <c r="F34" s="132">
        <f t="shared" ref="F34:BL34" si="12">(F30+F31-F32)*F33</f>
        <v>1167.8315312</v>
      </c>
      <c r="G34" s="132">
        <f t="shared" si="12"/>
        <v>0</v>
      </c>
      <c r="H34" s="132">
        <f t="shared" si="12"/>
        <v>0</v>
      </c>
      <c r="I34" s="132">
        <f t="shared" si="12"/>
        <v>0</v>
      </c>
      <c r="J34" s="132">
        <f t="shared" si="12"/>
        <v>0</v>
      </c>
      <c r="K34" s="132">
        <f t="shared" si="12"/>
        <v>0</v>
      </c>
      <c r="L34" s="132">
        <f t="shared" si="12"/>
        <v>0</v>
      </c>
      <c r="M34" s="132">
        <f t="shared" si="12"/>
        <v>0</v>
      </c>
      <c r="N34" s="132">
        <f t="shared" si="12"/>
        <v>0</v>
      </c>
      <c r="O34" s="132">
        <f t="shared" si="12"/>
        <v>0</v>
      </c>
      <c r="P34" s="132">
        <f t="shared" si="12"/>
        <v>0</v>
      </c>
      <c r="Q34" s="132">
        <v>0</v>
      </c>
      <c r="R34" s="132">
        <v>0</v>
      </c>
      <c r="S34" s="132">
        <f t="shared" si="12"/>
        <v>0</v>
      </c>
      <c r="T34" s="132">
        <f t="shared" si="12"/>
        <v>0</v>
      </c>
      <c r="U34" s="132">
        <f t="shared" si="12"/>
        <v>0</v>
      </c>
      <c r="V34" s="132">
        <f t="shared" si="12"/>
        <v>0</v>
      </c>
      <c r="W34" s="132">
        <f t="shared" si="12"/>
        <v>0</v>
      </c>
      <c r="X34" s="132">
        <f t="shared" si="12"/>
        <v>0</v>
      </c>
      <c r="Y34" s="132">
        <f t="shared" si="12"/>
        <v>0</v>
      </c>
      <c r="Z34" s="132">
        <f t="shared" si="12"/>
        <v>0</v>
      </c>
      <c r="AA34" s="132">
        <f t="shared" si="12"/>
        <v>0</v>
      </c>
      <c r="AB34" s="132">
        <f t="shared" si="12"/>
        <v>0</v>
      </c>
      <c r="AC34" s="132">
        <f t="shared" si="12"/>
        <v>0</v>
      </c>
      <c r="AD34" s="132">
        <f t="shared" si="12"/>
        <v>0</v>
      </c>
      <c r="AE34" s="132">
        <f t="shared" si="12"/>
        <v>0</v>
      </c>
      <c r="AF34" s="132">
        <f t="shared" si="12"/>
        <v>0</v>
      </c>
      <c r="AG34" s="132">
        <f t="shared" si="12"/>
        <v>0</v>
      </c>
      <c r="AH34" s="132">
        <f t="shared" si="12"/>
        <v>0</v>
      </c>
      <c r="AI34" s="132">
        <f t="shared" si="12"/>
        <v>0</v>
      </c>
      <c r="AJ34" s="132">
        <f t="shared" si="12"/>
        <v>0</v>
      </c>
      <c r="AK34" s="132">
        <v>0</v>
      </c>
      <c r="AL34" s="132">
        <v>0</v>
      </c>
      <c r="AM34" s="132">
        <f t="shared" si="12"/>
        <v>0</v>
      </c>
      <c r="AN34" s="132">
        <f t="shared" si="12"/>
        <v>0</v>
      </c>
      <c r="AO34" s="132">
        <f t="shared" si="12"/>
        <v>0</v>
      </c>
      <c r="AP34" s="132">
        <f t="shared" si="12"/>
        <v>0</v>
      </c>
      <c r="AQ34" s="132">
        <f t="shared" si="12"/>
        <v>0</v>
      </c>
      <c r="AR34" s="132">
        <f t="shared" si="12"/>
        <v>0</v>
      </c>
      <c r="AS34" s="132">
        <f t="shared" si="12"/>
        <v>0</v>
      </c>
      <c r="AT34" s="132">
        <v>0</v>
      </c>
      <c r="AU34" s="132">
        <f t="shared" si="12"/>
        <v>0</v>
      </c>
      <c r="AV34" s="132">
        <f t="shared" si="12"/>
        <v>0</v>
      </c>
      <c r="AW34" s="132">
        <v>0</v>
      </c>
      <c r="AX34" s="132">
        <f t="shared" si="12"/>
        <v>0</v>
      </c>
      <c r="AY34" s="132">
        <f t="shared" si="12"/>
        <v>0</v>
      </c>
      <c r="AZ34" s="139">
        <f t="shared" si="12"/>
        <v>0</v>
      </c>
      <c r="BA34" s="132">
        <f t="shared" si="12"/>
        <v>0</v>
      </c>
      <c r="BB34" s="132">
        <f t="shared" si="12"/>
        <v>0</v>
      </c>
      <c r="BC34" s="132">
        <f t="shared" si="12"/>
        <v>0</v>
      </c>
      <c r="BD34" s="132">
        <f t="shared" si="12"/>
        <v>0</v>
      </c>
      <c r="BE34" s="132">
        <f t="shared" si="12"/>
        <v>0</v>
      </c>
      <c r="BF34" s="132">
        <f t="shared" si="12"/>
        <v>0</v>
      </c>
      <c r="BG34" s="132">
        <f t="shared" si="12"/>
        <v>0</v>
      </c>
      <c r="BH34" s="132">
        <f t="shared" si="12"/>
        <v>0</v>
      </c>
      <c r="BI34" s="132">
        <f t="shared" si="12"/>
        <v>0</v>
      </c>
      <c r="BJ34" s="132">
        <f t="shared" si="12"/>
        <v>0</v>
      </c>
      <c r="BK34" s="132">
        <f t="shared" si="12"/>
        <v>0</v>
      </c>
      <c r="BL34" s="132">
        <f t="shared" si="12"/>
        <v>0</v>
      </c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</row>
    <row r="35" spans="2:84" ht="13.5" thickBot="1" x14ac:dyDescent="0.25">
      <c r="B35" s="327"/>
      <c r="C35" s="25" t="s">
        <v>22</v>
      </c>
      <c r="D35" s="30">
        <f>SUM(E35:BL35)</f>
        <v>382518.0955312</v>
      </c>
      <c r="E35" s="146">
        <f>+E30-E32+E31+E34</f>
        <v>180000</v>
      </c>
      <c r="F35" s="146">
        <f t="shared" ref="F35:BL35" si="13">+F30-F32+F31+F34</f>
        <v>202518.0955312</v>
      </c>
      <c r="G35" s="146">
        <f t="shared" si="13"/>
        <v>0</v>
      </c>
      <c r="H35" s="146">
        <f t="shared" si="13"/>
        <v>0</v>
      </c>
      <c r="I35" s="146">
        <f t="shared" si="13"/>
        <v>0</v>
      </c>
      <c r="J35" s="146">
        <f t="shared" si="13"/>
        <v>0</v>
      </c>
      <c r="K35" s="146">
        <f t="shared" si="13"/>
        <v>0</v>
      </c>
      <c r="L35" s="146">
        <f t="shared" si="13"/>
        <v>0</v>
      </c>
      <c r="M35" s="146">
        <f t="shared" si="13"/>
        <v>0</v>
      </c>
      <c r="N35" s="146">
        <f t="shared" si="13"/>
        <v>0</v>
      </c>
      <c r="O35" s="146">
        <f t="shared" si="13"/>
        <v>0</v>
      </c>
      <c r="P35" s="146">
        <f t="shared" si="13"/>
        <v>0</v>
      </c>
      <c r="Q35" s="146">
        <f t="shared" si="13"/>
        <v>0</v>
      </c>
      <c r="R35" s="146">
        <f t="shared" si="13"/>
        <v>0</v>
      </c>
      <c r="S35" s="146">
        <f t="shared" si="13"/>
        <v>0</v>
      </c>
      <c r="T35" s="146">
        <f t="shared" si="13"/>
        <v>0</v>
      </c>
      <c r="U35" s="146">
        <f t="shared" si="13"/>
        <v>0</v>
      </c>
      <c r="V35" s="146">
        <f t="shared" si="13"/>
        <v>0</v>
      </c>
      <c r="W35" s="146">
        <f t="shared" si="13"/>
        <v>0</v>
      </c>
      <c r="X35" s="146">
        <f t="shared" si="13"/>
        <v>0</v>
      </c>
      <c r="Y35" s="146">
        <f t="shared" si="13"/>
        <v>0</v>
      </c>
      <c r="Z35" s="146">
        <f t="shared" si="13"/>
        <v>0</v>
      </c>
      <c r="AA35" s="146">
        <f t="shared" si="13"/>
        <v>0</v>
      </c>
      <c r="AB35" s="146">
        <f t="shared" si="13"/>
        <v>0</v>
      </c>
      <c r="AC35" s="146">
        <f t="shared" si="13"/>
        <v>0</v>
      </c>
      <c r="AD35" s="146">
        <f t="shared" si="13"/>
        <v>0</v>
      </c>
      <c r="AE35" s="146">
        <f t="shared" si="13"/>
        <v>0</v>
      </c>
      <c r="AF35" s="146">
        <f t="shared" si="13"/>
        <v>0</v>
      </c>
      <c r="AG35" s="146">
        <f t="shared" si="13"/>
        <v>0</v>
      </c>
      <c r="AH35" s="146">
        <f t="shared" si="13"/>
        <v>0</v>
      </c>
      <c r="AI35" s="146">
        <f t="shared" si="13"/>
        <v>0</v>
      </c>
      <c r="AJ35" s="146">
        <f t="shared" si="13"/>
        <v>0</v>
      </c>
      <c r="AK35" s="146">
        <f t="shared" si="13"/>
        <v>0</v>
      </c>
      <c r="AL35" s="146">
        <f t="shared" si="13"/>
        <v>0</v>
      </c>
      <c r="AM35" s="146">
        <f t="shared" si="13"/>
        <v>0</v>
      </c>
      <c r="AN35" s="146">
        <f t="shared" si="13"/>
        <v>0</v>
      </c>
      <c r="AO35" s="146">
        <f t="shared" si="13"/>
        <v>0</v>
      </c>
      <c r="AP35" s="146">
        <f t="shared" si="13"/>
        <v>0</v>
      </c>
      <c r="AQ35" s="146">
        <f t="shared" si="13"/>
        <v>0</v>
      </c>
      <c r="AR35" s="146">
        <f t="shared" si="13"/>
        <v>0</v>
      </c>
      <c r="AS35" s="146">
        <f t="shared" si="13"/>
        <v>0</v>
      </c>
      <c r="AT35" s="146">
        <f t="shared" si="13"/>
        <v>0</v>
      </c>
      <c r="AU35" s="146">
        <f t="shared" si="13"/>
        <v>0</v>
      </c>
      <c r="AV35" s="146">
        <f t="shared" si="13"/>
        <v>0</v>
      </c>
      <c r="AW35" s="146">
        <f t="shared" si="13"/>
        <v>0</v>
      </c>
      <c r="AX35" s="146">
        <f t="shared" si="13"/>
        <v>0</v>
      </c>
      <c r="AY35" s="146">
        <f t="shared" si="13"/>
        <v>0</v>
      </c>
      <c r="AZ35" s="146">
        <f t="shared" si="13"/>
        <v>0</v>
      </c>
      <c r="BA35" s="146">
        <f t="shared" si="13"/>
        <v>0</v>
      </c>
      <c r="BB35" s="146">
        <f t="shared" si="13"/>
        <v>0</v>
      </c>
      <c r="BC35" s="146">
        <f t="shared" si="13"/>
        <v>0</v>
      </c>
      <c r="BD35" s="146">
        <f t="shared" si="13"/>
        <v>0</v>
      </c>
      <c r="BE35" s="146">
        <f t="shared" si="13"/>
        <v>0</v>
      </c>
      <c r="BF35" s="146">
        <f t="shared" si="13"/>
        <v>0</v>
      </c>
      <c r="BG35" s="146">
        <f t="shared" si="13"/>
        <v>0</v>
      </c>
      <c r="BH35" s="146">
        <f t="shared" si="13"/>
        <v>0</v>
      </c>
      <c r="BI35" s="146">
        <f t="shared" si="13"/>
        <v>0</v>
      </c>
      <c r="BJ35" s="146">
        <f t="shared" si="13"/>
        <v>0</v>
      </c>
      <c r="BK35" s="146">
        <f t="shared" si="13"/>
        <v>0</v>
      </c>
      <c r="BL35" s="146">
        <f t="shared" si="13"/>
        <v>0</v>
      </c>
    </row>
    <row r="36" spans="2:84" ht="13.5" thickBot="1" x14ac:dyDescent="0.25">
      <c r="B36" s="325">
        <v>43739</v>
      </c>
      <c r="C36" s="62" t="s">
        <v>6</v>
      </c>
      <c r="D36" s="31">
        <f>SUM(E36:BL36)</f>
        <v>95000</v>
      </c>
      <c r="E36" s="285" cm="1">
        <f t="array" ref="E36">_xlfn._xlws.FILTER(CLIENTES!$E61:$BO61,(CLIENTES!$E$5:$BO$5=E$5)*(CLIENTES!$E$9:$BO$9="VENDA"),0)</f>
        <v>45000</v>
      </c>
      <c r="F36" s="285" cm="1">
        <f t="array" ref="F36">_xlfn._xlws.FILTER(CLIENTES!$E61:$BO61,(CLIENTES!$E$5:$BO$5=F$5)*(CLIENTES!$E$9:$BO$9="VENDA"),0)</f>
        <v>50000</v>
      </c>
      <c r="G36" s="285" cm="1">
        <f t="array" ref="G36">_xlfn._xlws.FILTER(CLIENTES!$E61:$BO61,(CLIENTES!$E$5:$BO$5=G$5)*(CLIENTES!$E$9:$BO$9="VENDA"),0)</f>
        <v>0</v>
      </c>
      <c r="H36" s="285" cm="1">
        <f t="array" ref="H36">_xlfn._xlws.FILTER(CLIENTES!$E61:$BO61,(CLIENTES!$E$5:$BO$5=H$5)*(CLIENTES!$E$9:$BO$9="VENDA"),0)</f>
        <v>0</v>
      </c>
      <c r="I36" s="285" cm="1">
        <f t="array" ref="I36">_xlfn._xlws.FILTER(CLIENTES!$E61:$BO61,(CLIENTES!$E$5:$BO$5=I$5)*(CLIENTES!$E$9:$BO$9="VENDA"),0)</f>
        <v>0</v>
      </c>
      <c r="J36" s="285" cm="1">
        <f t="array" ref="J36">_xlfn._xlws.FILTER(CLIENTES!$E61:$BO61,(CLIENTES!$E$5:$BO$5=J$5)*(CLIENTES!$E$9:$BO$9="VENDA"),0)</f>
        <v>0</v>
      </c>
      <c r="K36" s="285" cm="1">
        <f t="array" ref="K36">_xlfn._xlws.FILTER(CLIENTES!$E61:$BO61,(CLIENTES!$E$5:$BO$5=K$5)*(CLIENTES!$E$9:$BO$9="VENDA"),0)</f>
        <v>0</v>
      </c>
      <c r="L36" s="285" cm="1">
        <f t="array" ref="L36">_xlfn._xlws.FILTER(CLIENTES!$E61:$BO61,(CLIENTES!$E$5:$BO$5=L$5)*(CLIENTES!$E$9:$BO$9="VENDA"),0)</f>
        <v>0</v>
      </c>
      <c r="M36" s="285" cm="1">
        <f t="array" ref="M36">_xlfn._xlws.FILTER(CLIENTES!$E61:$BO61,(CLIENTES!$E$5:$BO$5=M$5)*(CLIENTES!$E$9:$BO$9="VENDA"),0)</f>
        <v>0</v>
      </c>
      <c r="N36" s="285" cm="1">
        <f t="array" ref="N36">_xlfn._xlws.FILTER(CLIENTES!$E61:$BO61,(CLIENTES!$E$5:$BO$5=N$5)*(CLIENTES!$E$9:$BO$9="VENDA"),0)</f>
        <v>0</v>
      </c>
      <c r="O36" s="285" cm="1">
        <f t="array" ref="O36">_xlfn._xlws.FILTER(CLIENTES!$E61:$BO61,(CLIENTES!$E$5:$BO$5=O$5)*(CLIENTES!$E$9:$BO$9="VENDA"),0)</f>
        <v>0</v>
      </c>
      <c r="P36" s="285" cm="1">
        <f t="array" ref="P36">_xlfn._xlws.FILTER(CLIENTES!$E61:$BO61,(CLIENTES!$E$5:$BO$5=P$5)*(CLIENTES!$E$9:$BO$9="VENDA"),0)</f>
        <v>0</v>
      </c>
      <c r="Q36" s="285" cm="1">
        <f t="array" ref="Q36">_xlfn._xlws.FILTER(CLIENTES!$E61:$BO61,(CLIENTES!$E$5:$BO$5=Q$5)*(CLIENTES!$E$9:$BO$9="VENDA"),0)</f>
        <v>0</v>
      </c>
      <c r="R36" s="285" cm="1">
        <f t="array" ref="R36">_xlfn._xlws.FILTER(CLIENTES!$E61:$BO61,(CLIENTES!$E$5:$BO$5=R$5)*(CLIENTES!$E$9:$BO$9="VENDA"),0)</f>
        <v>0</v>
      </c>
      <c r="S36" s="285" cm="1">
        <f t="array" ref="S36">_xlfn._xlws.FILTER(CLIENTES!$E61:$BO61,(CLIENTES!$E$5:$BO$5=S$5)*(CLIENTES!$E$9:$BO$9="VENDA"),0)</f>
        <v>0</v>
      </c>
      <c r="T36" s="285" cm="1">
        <f t="array" ref="T36">_xlfn._xlws.FILTER(CLIENTES!$E61:$BO61,(CLIENTES!$E$5:$BO$5=T$5)*(CLIENTES!$E$9:$BO$9="VENDA"),0)</f>
        <v>0</v>
      </c>
      <c r="U36" s="285" cm="1">
        <f t="array" ref="U36">_xlfn._xlws.FILTER(CLIENTES!$E61:$BO61,(CLIENTES!$E$5:$BO$5=U$5)*(CLIENTES!$E$9:$BO$9="VENDA"),0)</f>
        <v>0</v>
      </c>
      <c r="V36" s="285" cm="1">
        <f t="array" ref="V36">_xlfn._xlws.FILTER(CLIENTES!$E61:$BO61,(CLIENTES!$E$5:$BO$5=V$5)*(CLIENTES!$E$9:$BO$9="VENDA"),0)</f>
        <v>0</v>
      </c>
      <c r="W36" s="285" cm="1">
        <f t="array" ref="W36">_xlfn._xlws.FILTER(CLIENTES!$E61:$BO61,(CLIENTES!$E$5:$BO$5=W$5)*(CLIENTES!$E$9:$BO$9="VENDA"),0)</f>
        <v>0</v>
      </c>
      <c r="X36" s="285" cm="1">
        <f t="array" ref="X36">_xlfn._xlws.FILTER(CLIENTES!$E61:$BO61,(CLIENTES!$E$5:$BO$5=X$5)*(CLIENTES!$E$9:$BO$9="VENDA"),0)</f>
        <v>0</v>
      </c>
      <c r="Y36" s="285" cm="1">
        <f t="array" ref="Y36">_xlfn._xlws.FILTER(CLIENTES!$E61:$BO61,(CLIENTES!$E$5:$BO$5=Y$5)*(CLIENTES!$E$9:$BO$9="VENDA"),0)</f>
        <v>0</v>
      </c>
      <c r="Z36" s="285" cm="1">
        <f t="array" ref="Z36">_xlfn._xlws.FILTER(CLIENTES!$E61:$BO61,(CLIENTES!$E$5:$BO$5=Z$5)*(CLIENTES!$E$9:$BO$9="VENDA"),0)</f>
        <v>0</v>
      </c>
      <c r="AA36" s="285" cm="1">
        <f t="array" ref="AA36">_xlfn._xlws.FILTER(CLIENTES!$E61:$BO61,(CLIENTES!$E$5:$BO$5=AA$5)*(CLIENTES!$E$9:$BO$9="VENDA"),0)</f>
        <v>0</v>
      </c>
      <c r="AB36" s="285" cm="1">
        <f t="array" ref="AB36">_xlfn._xlws.FILTER(CLIENTES!$E61:$BO61,(CLIENTES!$E$5:$BO$5=AB$5)*(CLIENTES!$E$9:$BO$9="VENDA"),0)</f>
        <v>0</v>
      </c>
      <c r="AC36" s="285" cm="1">
        <f t="array" ref="AC36">_xlfn._xlws.FILTER(CLIENTES!$E61:$BO61,(CLIENTES!$E$5:$BO$5=AC$5)*(CLIENTES!$E$9:$BO$9="VENDA"),0)</f>
        <v>0</v>
      </c>
      <c r="AD36" s="285" cm="1">
        <f t="array" ref="AD36">_xlfn._xlws.FILTER(CLIENTES!$E61:$BO61,(CLIENTES!$E$5:$BO$5=AD$5)*(CLIENTES!$E$9:$BO$9="VENDA"),0)</f>
        <v>0</v>
      </c>
      <c r="AE36" s="285" cm="1">
        <f t="array" ref="AE36">_xlfn._xlws.FILTER(CLIENTES!$E61:$BO61,(CLIENTES!$E$5:$BO$5=AE$5)*(CLIENTES!$E$9:$BO$9="VENDA"),0)</f>
        <v>0</v>
      </c>
      <c r="AF36" s="285" cm="1">
        <f t="array" ref="AF36">_xlfn._xlws.FILTER(CLIENTES!$E61:$BO61,(CLIENTES!$E$5:$BO$5=AF$5)*(CLIENTES!$E$9:$BO$9="VENDA"),0)</f>
        <v>0</v>
      </c>
      <c r="AG36" s="285" cm="1">
        <f t="array" ref="AG36">_xlfn._xlws.FILTER(CLIENTES!$E61:$BO61,(CLIENTES!$E$5:$BO$5=AG$5)*(CLIENTES!$E$9:$BO$9="VENDA"),0)</f>
        <v>0</v>
      </c>
      <c r="AH36" s="285" cm="1">
        <f t="array" ref="AH36">_xlfn._xlws.FILTER(CLIENTES!$E61:$BO61,(CLIENTES!$E$5:$BO$5=AH$5)*(CLIENTES!$E$9:$BO$9="VENDA"),0)</f>
        <v>0</v>
      </c>
      <c r="AI36" s="285" cm="1">
        <f t="array" ref="AI36">_xlfn._xlws.FILTER(CLIENTES!$E61:$BO61,(CLIENTES!$E$5:$BO$5=AI$5)*(CLIENTES!$E$9:$BO$9="VENDA"),0)</f>
        <v>0</v>
      </c>
      <c r="AJ36" s="285" cm="1">
        <f t="array" ref="AJ36">_xlfn._xlws.FILTER(CLIENTES!$E61:$BO61,(CLIENTES!$E$5:$BO$5=AJ$5)*(CLIENTES!$E$9:$BO$9="VENDA"),0)</f>
        <v>0</v>
      </c>
      <c r="AK36" s="285" cm="1">
        <f t="array" ref="AK36">_xlfn._xlws.FILTER(CLIENTES!$E61:$BO61,(CLIENTES!$E$5:$BO$5=AK$5)*(CLIENTES!$E$9:$BO$9="VENDA"),0)</f>
        <v>0</v>
      </c>
      <c r="AL36" s="285" cm="1">
        <f t="array" ref="AL36">_xlfn._xlws.FILTER(CLIENTES!$E61:$BO61,(CLIENTES!$E$5:$BO$5=AL$5)*(CLIENTES!$E$9:$BO$9="VENDA"),0)</f>
        <v>0</v>
      </c>
      <c r="AM36" s="285" cm="1">
        <f t="array" ref="AM36">_xlfn._xlws.FILTER(CLIENTES!$E61:$BO61,(CLIENTES!$E$5:$BO$5=AM$5)*(CLIENTES!$E$9:$BO$9="VENDA"),0)</f>
        <v>0</v>
      </c>
      <c r="AN36" s="285" cm="1">
        <f t="array" ref="AN36">_xlfn._xlws.FILTER(CLIENTES!$E61:$BO61,(CLIENTES!$E$5:$BO$5=AN$5)*(CLIENTES!$E$9:$BO$9="VENDA"),0)</f>
        <v>0</v>
      </c>
      <c r="AO36" s="285" cm="1">
        <f t="array" ref="AO36">_xlfn._xlws.FILTER(CLIENTES!$E61:$BO61,(CLIENTES!$E$5:$BO$5=AO$5)*(CLIENTES!$E$9:$BO$9="VENDA"),0)</f>
        <v>0</v>
      </c>
      <c r="AP36" s="285" cm="1">
        <f t="array" ref="AP36">_xlfn._xlws.FILTER(CLIENTES!$E61:$BO61,(CLIENTES!$E$5:$BO$5=AP$5)*(CLIENTES!$E$9:$BO$9="VENDA"),0)</f>
        <v>0</v>
      </c>
      <c r="AQ36" s="285" cm="1">
        <f t="array" ref="AQ36">_xlfn._xlws.FILTER(CLIENTES!$E61:$BO61,(CLIENTES!$E$5:$BO$5=AQ$5)*(CLIENTES!$E$9:$BO$9="VENDA"),0)</f>
        <v>0</v>
      </c>
      <c r="AR36" s="285" cm="1">
        <f t="array" ref="AR36">_xlfn._xlws.FILTER(CLIENTES!$E61:$BO61,(CLIENTES!$E$5:$BO$5=AR$5)*(CLIENTES!$E$9:$BO$9="VENDA"),0)</f>
        <v>0</v>
      </c>
      <c r="AS36" s="285" cm="1">
        <f t="array" ref="AS36">_xlfn._xlws.FILTER(CLIENTES!$E61:$BO61,(CLIENTES!$E$5:$BO$5=AS$5)*(CLIENTES!$E$9:$BO$9="VENDA"),0)</f>
        <v>0</v>
      </c>
      <c r="AT36" s="285" cm="1">
        <f t="array" ref="AT36">_xlfn._xlws.FILTER(CLIENTES!$E61:$BO61,(CLIENTES!$E$5:$BO$5=AT$5)*(CLIENTES!$E$9:$BO$9="VENDA"),0)</f>
        <v>0</v>
      </c>
      <c r="AU36" s="285" cm="1">
        <f t="array" ref="AU36">_xlfn._xlws.FILTER(CLIENTES!$E61:$BO61,(CLIENTES!$E$5:$BO$5=AU$5)*(CLIENTES!$E$9:$BO$9="VENDA"),0)</f>
        <v>0</v>
      </c>
      <c r="AV36" s="285" cm="1">
        <f t="array" ref="AV36">_xlfn._xlws.FILTER(CLIENTES!$E61:$BO61,(CLIENTES!$E$5:$BO$5=AV$5)*(CLIENTES!$E$9:$BO$9="VENDA"),0)</f>
        <v>0</v>
      </c>
      <c r="AW36" s="285" cm="1">
        <f t="array" ref="AW36">_xlfn._xlws.FILTER(CLIENTES!$E61:$BO61,(CLIENTES!$E$5:$BO$5=AW$5)*(CLIENTES!$E$9:$BO$9="VENDA"),0)</f>
        <v>0</v>
      </c>
      <c r="AX36" s="285" cm="1">
        <f t="array" ref="AX36">_xlfn._xlws.FILTER(CLIENTES!$E61:$BO61,(CLIENTES!$E$5:$BO$5=AX$5)*(CLIENTES!$E$9:$BO$9="VENDA"),0)</f>
        <v>0</v>
      </c>
      <c r="AY36" s="285" cm="1">
        <f t="array" ref="AY36">_xlfn._xlws.FILTER(CLIENTES!$E61:$BO61,(CLIENTES!$E$5:$BO$5=AY$5)*(CLIENTES!$E$9:$BO$9="VENDA"),0)</f>
        <v>0</v>
      </c>
      <c r="AZ36" s="285" cm="1">
        <f t="array" ref="AZ36">_xlfn._xlws.FILTER(CLIENTES!$E61:$BO61,(CLIENTES!$E$5:$BO$5=AZ$5)*(CLIENTES!$E$9:$BO$9="VENDA"),0)</f>
        <v>0</v>
      </c>
      <c r="BA36" s="285" cm="1">
        <f t="array" ref="BA36">_xlfn._xlws.FILTER(CLIENTES!$E61:$BO61,(CLIENTES!$E$5:$BO$5=BA$5)*(CLIENTES!$E$9:$BO$9="VENDA"),0)</f>
        <v>0</v>
      </c>
      <c r="BB36" s="285" cm="1">
        <f t="array" ref="BB36">_xlfn._xlws.FILTER(CLIENTES!$E61:$BO61,(CLIENTES!$E$5:$BO$5=BB$5)*(CLIENTES!$E$9:$BO$9="VENDA"),0)</f>
        <v>0</v>
      </c>
      <c r="BC36" s="285" cm="1">
        <f t="array" ref="BC36">_xlfn._xlws.FILTER(CLIENTES!$E61:$BO61,(CLIENTES!$E$5:$BO$5=BC$5)*(CLIENTES!$E$9:$BO$9="VENDA"),0)</f>
        <v>0</v>
      </c>
      <c r="BD36" s="285" cm="1">
        <f t="array" ref="BD36">_xlfn._xlws.FILTER(CLIENTES!$E61:$BO61,(CLIENTES!$E$5:$BO$5=BD$5)*(CLIENTES!$E$9:$BO$9="VENDA"),0)</f>
        <v>0</v>
      </c>
      <c r="BE36" s="285" cm="1">
        <f t="array" ref="BE36">_xlfn._xlws.FILTER(CLIENTES!$E61:$BO61,(CLIENTES!$E$5:$BO$5=BE$5)*(CLIENTES!$E$9:$BO$9="VENDA"),0)</f>
        <v>0</v>
      </c>
      <c r="BF36" s="285" cm="1">
        <f t="array" ref="BF36">_xlfn._xlws.FILTER(CLIENTES!$E61:$BO61,(CLIENTES!$E$5:$BO$5=BF$5)*(CLIENTES!$E$9:$BO$9="VENDA"),0)</f>
        <v>0</v>
      </c>
      <c r="BG36" s="285" cm="1">
        <f t="array" ref="BG36">_xlfn._xlws.FILTER(CLIENTES!$E61:$BO61,(CLIENTES!$E$5:$BO$5=BG$5)*(CLIENTES!$E$9:$BO$9="VENDA"),0)</f>
        <v>0</v>
      </c>
      <c r="BH36" s="285" cm="1">
        <f t="array" ref="BH36">_xlfn._xlws.FILTER(CLIENTES!$E61:$BO61,(CLIENTES!$E$5:$BO$5=BH$5)*(CLIENTES!$E$9:$BO$9="VENDA"),0)</f>
        <v>0</v>
      </c>
      <c r="BI36" s="285" cm="1">
        <f t="array" ref="BI36">_xlfn._xlws.FILTER(CLIENTES!$E61:$BO61,(CLIENTES!$E$5:$BO$5=BI$5)*(CLIENTES!$E$9:$BO$9="VENDA"),0)</f>
        <v>0</v>
      </c>
      <c r="BJ36" s="285" cm="1">
        <f t="array" ref="BJ36">_xlfn._xlws.FILTER(CLIENTES!$E61:$BO61,(CLIENTES!$E$5:$BO$5=BJ$5)*(CLIENTES!$E$9:$BO$9="VENDA"),0)</f>
        <v>0</v>
      </c>
      <c r="BK36" s="285" cm="1">
        <f t="array" ref="BK36">_xlfn._xlws.FILTER(CLIENTES!$E61:$BO61,(CLIENTES!$E$5:$BO$5=BK$5)*(CLIENTES!$E$9:$BO$9="VENDA"),0)</f>
        <v>0</v>
      </c>
      <c r="BL36" s="285" cm="1">
        <f t="array" ref="BL36">_xlfn._xlws.FILTER(CLIENTES!$E61:$BO61,(CLIENTES!$E$5:$BO$5=BL$5)*(CLIENTES!$E$9:$BO$9="VENDA"),0)</f>
        <v>0</v>
      </c>
    </row>
    <row r="37" spans="2:84" ht="13.5" thickBot="1" x14ac:dyDescent="0.25">
      <c r="B37" s="326"/>
      <c r="C37" s="23" t="s">
        <v>9</v>
      </c>
      <c r="D37" s="27">
        <f>SUM(E37:BL37)</f>
        <v>0</v>
      </c>
      <c r="E37" s="285" cm="1">
        <f t="array" ref="E37">_xlfn._xlws.FILTER(CLIENTES!$E62:$BO62,(CLIENTES!$E$5:$BO$5=E$5)*(CLIENTES!$E$9:$BO$9="VENDA"),0)</f>
        <v>0</v>
      </c>
      <c r="F37" s="285" cm="1">
        <f t="array" ref="F37">_xlfn._xlws.FILTER(CLIENTES!$E62:$BO62,(CLIENTES!$E$5:$BO$5=F$5)*(CLIENTES!$E$9:$BO$9="VENDA"),0)</f>
        <v>0</v>
      </c>
      <c r="G37" s="285" cm="1">
        <f t="array" ref="G37">_xlfn._xlws.FILTER(CLIENTES!$E62:$BO62,(CLIENTES!$E$5:$BO$5=G$5)*(CLIENTES!$E$9:$BO$9="VENDA"),0)</f>
        <v>0</v>
      </c>
      <c r="H37" s="285" cm="1">
        <f t="array" ref="H37">_xlfn._xlws.FILTER(CLIENTES!$E62:$BO62,(CLIENTES!$E$5:$BO$5=H$5)*(CLIENTES!$E$9:$BO$9="VENDA"),0)</f>
        <v>0</v>
      </c>
      <c r="I37" s="285" cm="1">
        <f t="array" ref="I37">_xlfn._xlws.FILTER(CLIENTES!$E62:$BO62,(CLIENTES!$E$5:$BO$5=I$5)*(CLIENTES!$E$9:$BO$9="VENDA"),0)</f>
        <v>0</v>
      </c>
      <c r="J37" s="285" cm="1">
        <f t="array" ref="J37">_xlfn._xlws.FILTER(CLIENTES!$E62:$BO62,(CLIENTES!$E$5:$BO$5=J$5)*(CLIENTES!$E$9:$BO$9="VENDA"),0)</f>
        <v>0</v>
      </c>
      <c r="K37" s="285" cm="1">
        <f t="array" ref="K37">_xlfn._xlws.FILTER(CLIENTES!$E62:$BO62,(CLIENTES!$E$5:$BO$5=K$5)*(CLIENTES!$E$9:$BO$9="VENDA"),0)</f>
        <v>0</v>
      </c>
      <c r="L37" s="285" cm="1">
        <f t="array" ref="L37">_xlfn._xlws.FILTER(CLIENTES!$E62:$BO62,(CLIENTES!$E$5:$BO$5=L$5)*(CLIENTES!$E$9:$BO$9="VENDA"),0)</f>
        <v>0</v>
      </c>
      <c r="M37" s="285" cm="1">
        <f t="array" ref="M37">_xlfn._xlws.FILTER(CLIENTES!$E62:$BO62,(CLIENTES!$E$5:$BO$5=M$5)*(CLIENTES!$E$9:$BO$9="VENDA"),0)</f>
        <v>0</v>
      </c>
      <c r="N37" s="285" cm="1">
        <f t="array" ref="N37">_xlfn._xlws.FILTER(CLIENTES!$E62:$BO62,(CLIENTES!$E$5:$BO$5=N$5)*(CLIENTES!$E$9:$BO$9="VENDA"),0)</f>
        <v>0</v>
      </c>
      <c r="O37" s="285" cm="1">
        <f t="array" ref="O37">_xlfn._xlws.FILTER(CLIENTES!$E62:$BO62,(CLIENTES!$E$5:$BO$5=O$5)*(CLIENTES!$E$9:$BO$9="VENDA"),0)</f>
        <v>0</v>
      </c>
      <c r="P37" s="285" cm="1">
        <f t="array" ref="P37">_xlfn._xlws.FILTER(CLIENTES!$E62:$BO62,(CLIENTES!$E$5:$BO$5=P$5)*(CLIENTES!$E$9:$BO$9="VENDA"),0)</f>
        <v>0</v>
      </c>
      <c r="Q37" s="285" cm="1">
        <f t="array" ref="Q37">_xlfn._xlws.FILTER(CLIENTES!$E62:$BO62,(CLIENTES!$E$5:$BO$5=Q$5)*(CLIENTES!$E$9:$BO$9="VENDA"),0)</f>
        <v>0</v>
      </c>
      <c r="R37" s="285" cm="1">
        <f t="array" ref="R37">_xlfn._xlws.FILTER(CLIENTES!$E62:$BO62,(CLIENTES!$E$5:$BO$5=R$5)*(CLIENTES!$E$9:$BO$9="VENDA"),0)</f>
        <v>0</v>
      </c>
      <c r="S37" s="285" cm="1">
        <f t="array" ref="S37">_xlfn._xlws.FILTER(CLIENTES!$E62:$BO62,(CLIENTES!$E$5:$BO$5=S$5)*(CLIENTES!$E$9:$BO$9="VENDA"),0)</f>
        <v>0</v>
      </c>
      <c r="T37" s="285" cm="1">
        <f t="array" ref="T37">_xlfn._xlws.FILTER(CLIENTES!$E62:$BO62,(CLIENTES!$E$5:$BO$5=T$5)*(CLIENTES!$E$9:$BO$9="VENDA"),0)</f>
        <v>0</v>
      </c>
      <c r="U37" s="285" cm="1">
        <f t="array" ref="U37">_xlfn._xlws.FILTER(CLIENTES!$E62:$BO62,(CLIENTES!$E$5:$BO$5=U$5)*(CLIENTES!$E$9:$BO$9="VENDA"),0)</f>
        <v>0</v>
      </c>
      <c r="V37" s="285" cm="1">
        <f t="array" ref="V37">_xlfn._xlws.FILTER(CLIENTES!$E62:$BO62,(CLIENTES!$E$5:$BO$5=V$5)*(CLIENTES!$E$9:$BO$9="VENDA"),0)</f>
        <v>0</v>
      </c>
      <c r="W37" s="285" cm="1">
        <f t="array" ref="W37">_xlfn._xlws.FILTER(CLIENTES!$E62:$BO62,(CLIENTES!$E$5:$BO$5=W$5)*(CLIENTES!$E$9:$BO$9="VENDA"),0)</f>
        <v>0</v>
      </c>
      <c r="X37" s="285" cm="1">
        <f t="array" ref="X37">_xlfn._xlws.FILTER(CLIENTES!$E62:$BO62,(CLIENTES!$E$5:$BO$5=X$5)*(CLIENTES!$E$9:$BO$9="VENDA"),0)</f>
        <v>0</v>
      </c>
      <c r="Y37" s="285" cm="1">
        <f t="array" ref="Y37">_xlfn._xlws.FILTER(CLIENTES!$E62:$BO62,(CLIENTES!$E$5:$BO$5=Y$5)*(CLIENTES!$E$9:$BO$9="VENDA"),0)</f>
        <v>0</v>
      </c>
      <c r="Z37" s="285" cm="1">
        <f t="array" ref="Z37">_xlfn._xlws.FILTER(CLIENTES!$E62:$BO62,(CLIENTES!$E$5:$BO$5=Z$5)*(CLIENTES!$E$9:$BO$9="VENDA"),0)</f>
        <v>0</v>
      </c>
      <c r="AA37" s="285" cm="1">
        <f t="array" ref="AA37">_xlfn._xlws.FILTER(CLIENTES!$E62:$BO62,(CLIENTES!$E$5:$BO$5=AA$5)*(CLIENTES!$E$9:$BO$9="VENDA"),0)</f>
        <v>0</v>
      </c>
      <c r="AB37" s="285" cm="1">
        <f t="array" ref="AB37">_xlfn._xlws.FILTER(CLIENTES!$E62:$BO62,(CLIENTES!$E$5:$BO$5=AB$5)*(CLIENTES!$E$9:$BO$9="VENDA"),0)</f>
        <v>0</v>
      </c>
      <c r="AC37" s="285" cm="1">
        <f t="array" ref="AC37">_xlfn._xlws.FILTER(CLIENTES!$E62:$BO62,(CLIENTES!$E$5:$BO$5=AC$5)*(CLIENTES!$E$9:$BO$9="VENDA"),0)</f>
        <v>0</v>
      </c>
      <c r="AD37" s="285" cm="1">
        <f t="array" ref="AD37">_xlfn._xlws.FILTER(CLIENTES!$E62:$BO62,(CLIENTES!$E$5:$BO$5=AD$5)*(CLIENTES!$E$9:$BO$9="VENDA"),0)</f>
        <v>0</v>
      </c>
      <c r="AE37" s="285" cm="1">
        <f t="array" ref="AE37">_xlfn._xlws.FILTER(CLIENTES!$E62:$BO62,(CLIENTES!$E$5:$BO$5=AE$5)*(CLIENTES!$E$9:$BO$9="VENDA"),0)</f>
        <v>0</v>
      </c>
      <c r="AF37" s="285" cm="1">
        <f t="array" ref="AF37">_xlfn._xlws.FILTER(CLIENTES!$E62:$BO62,(CLIENTES!$E$5:$BO$5=AF$5)*(CLIENTES!$E$9:$BO$9="VENDA"),0)</f>
        <v>0</v>
      </c>
      <c r="AG37" s="285" cm="1">
        <f t="array" ref="AG37">_xlfn._xlws.FILTER(CLIENTES!$E62:$BO62,(CLIENTES!$E$5:$BO$5=AG$5)*(CLIENTES!$E$9:$BO$9="VENDA"),0)</f>
        <v>0</v>
      </c>
      <c r="AH37" s="285" cm="1">
        <f t="array" ref="AH37">_xlfn._xlws.FILTER(CLIENTES!$E62:$BO62,(CLIENTES!$E$5:$BO$5=AH$5)*(CLIENTES!$E$9:$BO$9="VENDA"),0)</f>
        <v>0</v>
      </c>
      <c r="AI37" s="285" cm="1">
        <f t="array" ref="AI37">_xlfn._xlws.FILTER(CLIENTES!$E62:$BO62,(CLIENTES!$E$5:$BO$5=AI$5)*(CLIENTES!$E$9:$BO$9="VENDA"),0)</f>
        <v>0</v>
      </c>
      <c r="AJ37" s="285" cm="1">
        <f t="array" ref="AJ37">_xlfn._xlws.FILTER(CLIENTES!$E62:$BO62,(CLIENTES!$E$5:$BO$5=AJ$5)*(CLIENTES!$E$9:$BO$9="VENDA"),0)</f>
        <v>0</v>
      </c>
      <c r="AK37" s="285" cm="1">
        <f t="array" ref="AK37">_xlfn._xlws.FILTER(CLIENTES!$E62:$BO62,(CLIENTES!$E$5:$BO$5=AK$5)*(CLIENTES!$E$9:$BO$9="VENDA"),0)</f>
        <v>0</v>
      </c>
      <c r="AL37" s="285" cm="1">
        <f t="array" ref="AL37">_xlfn._xlws.FILTER(CLIENTES!$E62:$BO62,(CLIENTES!$E$5:$BO$5=AL$5)*(CLIENTES!$E$9:$BO$9="VENDA"),0)</f>
        <v>0</v>
      </c>
      <c r="AM37" s="285" cm="1">
        <f t="array" ref="AM37">_xlfn._xlws.FILTER(CLIENTES!$E62:$BO62,(CLIENTES!$E$5:$BO$5=AM$5)*(CLIENTES!$E$9:$BO$9="VENDA"),0)</f>
        <v>0</v>
      </c>
      <c r="AN37" s="285" cm="1">
        <f t="array" ref="AN37">_xlfn._xlws.FILTER(CLIENTES!$E62:$BO62,(CLIENTES!$E$5:$BO$5=AN$5)*(CLIENTES!$E$9:$BO$9="VENDA"),0)</f>
        <v>0</v>
      </c>
      <c r="AO37" s="285" cm="1">
        <f t="array" ref="AO37">_xlfn._xlws.FILTER(CLIENTES!$E62:$BO62,(CLIENTES!$E$5:$BO$5=AO$5)*(CLIENTES!$E$9:$BO$9="VENDA"),0)</f>
        <v>0</v>
      </c>
      <c r="AP37" s="285" cm="1">
        <f t="array" ref="AP37">_xlfn._xlws.FILTER(CLIENTES!$E62:$BO62,(CLIENTES!$E$5:$BO$5=AP$5)*(CLIENTES!$E$9:$BO$9="VENDA"),0)</f>
        <v>0</v>
      </c>
      <c r="AQ37" s="285" cm="1">
        <f t="array" ref="AQ37">_xlfn._xlws.FILTER(CLIENTES!$E62:$BO62,(CLIENTES!$E$5:$BO$5=AQ$5)*(CLIENTES!$E$9:$BO$9="VENDA"),0)</f>
        <v>0</v>
      </c>
      <c r="AR37" s="285" cm="1">
        <f t="array" ref="AR37">_xlfn._xlws.FILTER(CLIENTES!$E62:$BO62,(CLIENTES!$E$5:$BO$5=AR$5)*(CLIENTES!$E$9:$BO$9="VENDA"),0)</f>
        <v>0</v>
      </c>
      <c r="AS37" s="285" cm="1">
        <f t="array" ref="AS37">_xlfn._xlws.FILTER(CLIENTES!$E62:$BO62,(CLIENTES!$E$5:$BO$5=AS$5)*(CLIENTES!$E$9:$BO$9="VENDA"),0)</f>
        <v>0</v>
      </c>
      <c r="AT37" s="285" cm="1">
        <f t="array" ref="AT37">_xlfn._xlws.FILTER(CLIENTES!$E62:$BO62,(CLIENTES!$E$5:$BO$5=AT$5)*(CLIENTES!$E$9:$BO$9="VENDA"),0)</f>
        <v>0</v>
      </c>
      <c r="AU37" s="285" cm="1">
        <f t="array" ref="AU37">_xlfn._xlws.FILTER(CLIENTES!$E62:$BO62,(CLIENTES!$E$5:$BO$5=AU$5)*(CLIENTES!$E$9:$BO$9="VENDA"),0)</f>
        <v>0</v>
      </c>
      <c r="AV37" s="285" cm="1">
        <f t="array" ref="AV37">_xlfn._xlws.FILTER(CLIENTES!$E62:$BO62,(CLIENTES!$E$5:$BO$5=AV$5)*(CLIENTES!$E$9:$BO$9="VENDA"),0)</f>
        <v>0</v>
      </c>
      <c r="AW37" s="285" cm="1">
        <f t="array" ref="AW37">_xlfn._xlws.FILTER(CLIENTES!$E62:$BO62,(CLIENTES!$E$5:$BO$5=AW$5)*(CLIENTES!$E$9:$BO$9="VENDA"),0)</f>
        <v>0</v>
      </c>
      <c r="AX37" s="285" cm="1">
        <f t="array" ref="AX37">_xlfn._xlws.FILTER(CLIENTES!$E62:$BO62,(CLIENTES!$E$5:$BO$5=AX$5)*(CLIENTES!$E$9:$BO$9="VENDA"),0)</f>
        <v>0</v>
      </c>
      <c r="AY37" s="285" cm="1">
        <f t="array" ref="AY37">_xlfn._xlws.FILTER(CLIENTES!$E62:$BO62,(CLIENTES!$E$5:$BO$5=AY$5)*(CLIENTES!$E$9:$BO$9="VENDA"),0)</f>
        <v>0</v>
      </c>
      <c r="AZ37" s="285" cm="1">
        <f t="array" ref="AZ37">_xlfn._xlws.FILTER(CLIENTES!$E62:$BO62,(CLIENTES!$E$5:$BO$5=AZ$5)*(CLIENTES!$E$9:$BO$9="VENDA"),0)</f>
        <v>0</v>
      </c>
      <c r="BA37" s="285" cm="1">
        <f t="array" ref="BA37">_xlfn._xlws.FILTER(CLIENTES!$E62:$BO62,(CLIENTES!$E$5:$BO$5=BA$5)*(CLIENTES!$E$9:$BO$9="VENDA"),0)</f>
        <v>0</v>
      </c>
      <c r="BB37" s="285" cm="1">
        <f t="array" ref="BB37">_xlfn._xlws.FILTER(CLIENTES!$E62:$BO62,(CLIENTES!$E$5:$BO$5=BB$5)*(CLIENTES!$E$9:$BO$9="VENDA"),0)</f>
        <v>0</v>
      </c>
      <c r="BC37" s="285" cm="1">
        <f t="array" ref="BC37">_xlfn._xlws.FILTER(CLIENTES!$E62:$BO62,(CLIENTES!$E$5:$BO$5=BC$5)*(CLIENTES!$E$9:$BO$9="VENDA"),0)</f>
        <v>0</v>
      </c>
      <c r="BD37" s="285" cm="1">
        <f t="array" ref="BD37">_xlfn._xlws.FILTER(CLIENTES!$E62:$BO62,(CLIENTES!$E$5:$BO$5=BD$5)*(CLIENTES!$E$9:$BO$9="VENDA"),0)</f>
        <v>0</v>
      </c>
      <c r="BE37" s="285" cm="1">
        <f t="array" ref="BE37">_xlfn._xlws.FILTER(CLIENTES!$E62:$BO62,(CLIENTES!$E$5:$BO$5=BE$5)*(CLIENTES!$E$9:$BO$9="VENDA"),0)</f>
        <v>0</v>
      </c>
      <c r="BF37" s="285" cm="1">
        <f t="array" ref="BF37">_xlfn._xlws.FILTER(CLIENTES!$E62:$BO62,(CLIENTES!$E$5:$BO$5=BF$5)*(CLIENTES!$E$9:$BO$9="VENDA"),0)</f>
        <v>0</v>
      </c>
      <c r="BG37" s="285" cm="1">
        <f t="array" ref="BG37">_xlfn._xlws.FILTER(CLIENTES!$E62:$BO62,(CLIENTES!$E$5:$BO$5=BG$5)*(CLIENTES!$E$9:$BO$9="VENDA"),0)</f>
        <v>0</v>
      </c>
      <c r="BH37" s="285" cm="1">
        <f t="array" ref="BH37">_xlfn._xlws.FILTER(CLIENTES!$E62:$BO62,(CLIENTES!$E$5:$BO$5=BH$5)*(CLIENTES!$E$9:$BO$9="VENDA"),0)</f>
        <v>0</v>
      </c>
      <c r="BI37" s="285" cm="1">
        <f t="array" ref="BI37">_xlfn._xlws.FILTER(CLIENTES!$E62:$BO62,(CLIENTES!$E$5:$BO$5=BI$5)*(CLIENTES!$E$9:$BO$9="VENDA"),0)</f>
        <v>0</v>
      </c>
      <c r="BJ37" s="285" cm="1">
        <f t="array" ref="BJ37">_xlfn._xlws.FILTER(CLIENTES!$E62:$BO62,(CLIENTES!$E$5:$BO$5=BJ$5)*(CLIENTES!$E$9:$BO$9="VENDA"),0)</f>
        <v>0</v>
      </c>
      <c r="BK37" s="285" cm="1">
        <f t="array" ref="BK37">_xlfn._xlws.FILTER(CLIENTES!$E62:$BO62,(CLIENTES!$E$5:$BO$5=BK$5)*(CLIENTES!$E$9:$BO$9="VENDA"),0)</f>
        <v>0</v>
      </c>
      <c r="BL37" s="285" cm="1">
        <f t="array" ref="BL37">_xlfn._xlws.FILTER(CLIENTES!$E62:$BO62,(CLIENTES!$E$5:$BO$5=BL$5)*(CLIENTES!$E$9:$BO$9="VENDA"),0)</f>
        <v>0</v>
      </c>
    </row>
    <row r="38" spans="2:84" x14ac:dyDescent="0.2">
      <c r="B38" s="326"/>
      <c r="C38" s="23" t="s">
        <v>10</v>
      </c>
      <c r="D38" s="72">
        <v>4.1999999999999997E-3</v>
      </c>
      <c r="E38" s="200">
        <f>CLIENTES!F64</f>
        <v>4.1999999999999997E-3</v>
      </c>
      <c r="F38" s="200">
        <f>CLIENTES!H64</f>
        <v>4.1999999999999997E-3</v>
      </c>
      <c r="G38" s="200">
        <f>CLIENTES!I64</f>
        <v>4.1999999999999997E-3</v>
      </c>
      <c r="H38" s="200">
        <f>CLIENTES!J64</f>
        <v>4.1999999999999997E-3</v>
      </c>
      <c r="I38" s="200">
        <f>CLIENTES!K64</f>
        <v>4.1999999999999997E-3</v>
      </c>
      <c r="J38" s="200">
        <f>CLIENTES!L64</f>
        <v>4.1999999999999997E-3</v>
      </c>
      <c r="K38" s="200">
        <f>CLIENTES!M64</f>
        <v>4.1999999999999997E-3</v>
      </c>
      <c r="L38" s="200">
        <f>CLIENTES!N64</f>
        <v>4.1999999999999997E-3</v>
      </c>
      <c r="M38" s="200">
        <f>CLIENTES!O64</f>
        <v>4.1999999999999997E-3</v>
      </c>
      <c r="N38" s="200">
        <f>CLIENTES!P64</f>
        <v>4.1999999999999997E-3</v>
      </c>
      <c r="O38" s="200">
        <f>CLIENTES!Q64</f>
        <v>4.1999999999999997E-3</v>
      </c>
      <c r="P38" s="200">
        <f>CLIENTES!R64</f>
        <v>4.1999999999999997E-3</v>
      </c>
      <c r="Q38" s="200">
        <f>CLIENTES!S64</f>
        <v>4.1999999999999997E-3</v>
      </c>
      <c r="R38" s="200">
        <f>CLIENTES!T64</f>
        <v>4.1999999999999997E-3</v>
      </c>
      <c r="S38" s="200">
        <f>CLIENTES!U64</f>
        <v>4.1999999999999997E-3</v>
      </c>
      <c r="T38" s="200">
        <f>CLIENTES!V64</f>
        <v>4.1999999999999997E-3</v>
      </c>
      <c r="U38" s="200">
        <f>CLIENTES!W64</f>
        <v>4.1999999999999997E-3</v>
      </c>
      <c r="V38" s="200">
        <f>CLIENTES!X64</f>
        <v>4.1999999999999997E-3</v>
      </c>
      <c r="W38" s="200">
        <f>CLIENTES!Y64</f>
        <v>4.1999999999999997E-3</v>
      </c>
      <c r="X38" s="200">
        <f>CLIENTES!Z64</f>
        <v>4.1999999999999997E-3</v>
      </c>
      <c r="Y38" s="200">
        <f>CLIENTES!AA64</f>
        <v>4.1999999999999997E-3</v>
      </c>
      <c r="Z38" s="200">
        <f>CLIENTES!AB64</f>
        <v>4.1999999999999997E-3</v>
      </c>
      <c r="AA38" s="200">
        <f>CLIENTES!AC64</f>
        <v>4.1999999999999997E-3</v>
      </c>
      <c r="AB38" s="200">
        <f>CLIENTES!AD64</f>
        <v>4.1999999999999997E-3</v>
      </c>
      <c r="AC38" s="200">
        <f>CLIENTES!AE64</f>
        <v>4.1999999999999997E-3</v>
      </c>
      <c r="AD38" s="200">
        <f>CLIENTES!AF64</f>
        <v>4.1999999999999997E-3</v>
      </c>
      <c r="AE38" s="200">
        <f>CLIENTES!AG64</f>
        <v>4.1999999999999997E-3</v>
      </c>
      <c r="AF38" s="200">
        <f>CLIENTES!AH64</f>
        <v>4.1999999999999997E-3</v>
      </c>
      <c r="AG38" s="200">
        <f>CLIENTES!AI64</f>
        <v>4.1999999999999997E-3</v>
      </c>
      <c r="AH38" s="200">
        <f>CLIENTES!AJ64</f>
        <v>4.1999999999999997E-3</v>
      </c>
      <c r="AI38" s="200">
        <f>CLIENTES!AK64</f>
        <v>4.1999999999999997E-3</v>
      </c>
      <c r="AJ38" s="200">
        <f>CLIENTES!AL64</f>
        <v>4.1999999999999997E-3</v>
      </c>
      <c r="AK38" s="200">
        <f>CLIENTES!AM64</f>
        <v>4.1999999999999997E-3</v>
      </c>
      <c r="AL38" s="200">
        <f>CLIENTES!AN64</f>
        <v>4.1999999999999997E-3</v>
      </c>
      <c r="AM38" s="200">
        <f>CLIENTES!AO64</f>
        <v>4.1999999999999997E-3</v>
      </c>
      <c r="AN38" s="200">
        <f>CLIENTES!AP64</f>
        <v>4.1999999999999997E-3</v>
      </c>
      <c r="AO38" s="200">
        <f>CLIENTES!AQ64</f>
        <v>4.1999999999999997E-3</v>
      </c>
      <c r="AP38" s="200">
        <f>CLIENTES!AR64</f>
        <v>4.1999999999999997E-3</v>
      </c>
      <c r="AQ38" s="200">
        <f>CLIENTES!AS64</f>
        <v>4.1999999999999997E-3</v>
      </c>
      <c r="AR38" s="200">
        <f>CLIENTES!AT64</f>
        <v>4.1999999999999997E-3</v>
      </c>
      <c r="AS38" s="200">
        <f>CLIENTES!AU64</f>
        <v>4.1999999999999997E-3</v>
      </c>
      <c r="AT38" s="200">
        <f>CLIENTES!AV64</f>
        <v>4.1999999999999997E-3</v>
      </c>
      <c r="AU38" s="200">
        <f>CLIENTES!AW64</f>
        <v>4.1999999999999997E-3</v>
      </c>
      <c r="AV38" s="200">
        <f>CLIENTES!AX64</f>
        <v>4.1999999999999997E-3</v>
      </c>
      <c r="AW38" s="200">
        <f>CLIENTES!AY64</f>
        <v>4.1999999999999997E-3</v>
      </c>
      <c r="AX38" s="200">
        <f>CLIENTES!AZ64</f>
        <v>4.1999999999999997E-3</v>
      </c>
      <c r="AY38" s="200">
        <f>CLIENTES!BA64</f>
        <v>4.1999999999999997E-3</v>
      </c>
      <c r="AZ38" s="215">
        <f>CLIENTES!BB64</f>
        <v>4.1999999999999997E-3</v>
      </c>
      <c r="BA38" s="200">
        <f>CLIENTES!BC64</f>
        <v>4.1999999999999997E-3</v>
      </c>
      <c r="BB38" s="200">
        <f>CLIENTES!BD64</f>
        <v>4.1999999999999997E-3</v>
      </c>
      <c r="BC38" s="200">
        <f>CLIENTES!BE64</f>
        <v>4.1999999999999997E-3</v>
      </c>
      <c r="BD38" s="200">
        <f>CLIENTES!BF64</f>
        <v>4.1999999999999997E-3</v>
      </c>
      <c r="BE38" s="200">
        <f>CLIENTES!BG64</f>
        <v>4.1999999999999997E-3</v>
      </c>
      <c r="BF38" s="200">
        <f>CLIENTES!BH64</f>
        <v>4.1999999999999997E-3</v>
      </c>
      <c r="BG38" s="200">
        <f>CLIENTES!BI64</f>
        <v>4.1999999999999997E-3</v>
      </c>
      <c r="BH38" s="200">
        <f>CLIENTES!BJ64</f>
        <v>4.1999999999999997E-3</v>
      </c>
      <c r="BI38" s="200">
        <f>CLIENTES!BK64</f>
        <v>4.1999999999999997E-3</v>
      </c>
      <c r="BJ38" s="200">
        <f>CLIENTES!BL64</f>
        <v>4.1999999999999997E-3</v>
      </c>
      <c r="BK38" s="200">
        <f>CLIENTES!BM64</f>
        <v>4.1999999999999997E-3</v>
      </c>
      <c r="BL38" s="200">
        <v>4.1999999999999997E-3</v>
      </c>
    </row>
    <row r="39" spans="2:84" x14ac:dyDescent="0.2">
      <c r="B39" s="326"/>
      <c r="C39" s="58" t="s">
        <v>23</v>
      </c>
      <c r="D39" s="27">
        <f>SUM(E39:BL39)</f>
        <v>1060.57600123104</v>
      </c>
      <c r="E39" s="132">
        <v>0</v>
      </c>
      <c r="F39" s="132">
        <f t="shared" ref="F39:BL39" si="14">(F35+F36-F37)*F38</f>
        <v>1060.57600123104</v>
      </c>
      <c r="G39" s="132">
        <f t="shared" si="14"/>
        <v>0</v>
      </c>
      <c r="H39" s="132">
        <f t="shared" si="14"/>
        <v>0</v>
      </c>
      <c r="I39" s="132">
        <f t="shared" si="14"/>
        <v>0</v>
      </c>
      <c r="J39" s="132">
        <f t="shared" si="14"/>
        <v>0</v>
      </c>
      <c r="K39" s="132">
        <f t="shared" si="14"/>
        <v>0</v>
      </c>
      <c r="L39" s="132">
        <f t="shared" si="14"/>
        <v>0</v>
      </c>
      <c r="M39" s="132">
        <f t="shared" si="14"/>
        <v>0</v>
      </c>
      <c r="N39" s="132">
        <f t="shared" si="14"/>
        <v>0</v>
      </c>
      <c r="O39" s="132">
        <f t="shared" si="14"/>
        <v>0</v>
      </c>
      <c r="P39" s="132">
        <f t="shared" si="14"/>
        <v>0</v>
      </c>
      <c r="Q39" s="132">
        <v>0</v>
      </c>
      <c r="R39" s="132">
        <v>0</v>
      </c>
      <c r="S39" s="132">
        <f t="shared" si="14"/>
        <v>0</v>
      </c>
      <c r="T39" s="132">
        <f t="shared" si="14"/>
        <v>0</v>
      </c>
      <c r="U39" s="132">
        <f t="shared" si="14"/>
        <v>0</v>
      </c>
      <c r="V39" s="132">
        <f t="shared" si="14"/>
        <v>0</v>
      </c>
      <c r="W39" s="132">
        <f t="shared" si="14"/>
        <v>0</v>
      </c>
      <c r="X39" s="132">
        <f t="shared" si="14"/>
        <v>0</v>
      </c>
      <c r="Y39" s="132">
        <f t="shared" si="14"/>
        <v>0</v>
      </c>
      <c r="Z39" s="132">
        <f t="shared" si="14"/>
        <v>0</v>
      </c>
      <c r="AA39" s="132">
        <f t="shared" si="14"/>
        <v>0</v>
      </c>
      <c r="AB39" s="132">
        <f t="shared" si="14"/>
        <v>0</v>
      </c>
      <c r="AC39" s="132">
        <f t="shared" si="14"/>
        <v>0</v>
      </c>
      <c r="AD39" s="132">
        <f t="shared" si="14"/>
        <v>0</v>
      </c>
      <c r="AE39" s="132">
        <f t="shared" si="14"/>
        <v>0</v>
      </c>
      <c r="AF39" s="132">
        <f t="shared" si="14"/>
        <v>0</v>
      </c>
      <c r="AG39" s="132">
        <f t="shared" si="14"/>
        <v>0</v>
      </c>
      <c r="AH39" s="132">
        <f t="shared" si="14"/>
        <v>0</v>
      </c>
      <c r="AI39" s="132">
        <f t="shared" si="14"/>
        <v>0</v>
      </c>
      <c r="AJ39" s="132">
        <f t="shared" si="14"/>
        <v>0</v>
      </c>
      <c r="AK39" s="132">
        <v>0</v>
      </c>
      <c r="AL39" s="132">
        <v>0</v>
      </c>
      <c r="AM39" s="132">
        <f t="shared" si="14"/>
        <v>0</v>
      </c>
      <c r="AN39" s="132">
        <f t="shared" si="14"/>
        <v>0</v>
      </c>
      <c r="AO39" s="132">
        <f t="shared" si="14"/>
        <v>0</v>
      </c>
      <c r="AP39" s="132">
        <f t="shared" si="14"/>
        <v>0</v>
      </c>
      <c r="AQ39" s="132">
        <f t="shared" si="14"/>
        <v>0</v>
      </c>
      <c r="AR39" s="132">
        <f t="shared" si="14"/>
        <v>0</v>
      </c>
      <c r="AS39" s="132">
        <f t="shared" si="14"/>
        <v>0</v>
      </c>
      <c r="AT39" s="132">
        <v>0</v>
      </c>
      <c r="AU39" s="132">
        <f t="shared" si="14"/>
        <v>0</v>
      </c>
      <c r="AV39" s="132">
        <f t="shared" si="14"/>
        <v>0</v>
      </c>
      <c r="AW39" s="132">
        <v>0</v>
      </c>
      <c r="AX39" s="132">
        <f t="shared" si="14"/>
        <v>0</v>
      </c>
      <c r="AY39" s="132">
        <f t="shared" si="14"/>
        <v>0</v>
      </c>
      <c r="AZ39" s="139">
        <f t="shared" si="14"/>
        <v>0</v>
      </c>
      <c r="BA39" s="132">
        <f t="shared" si="14"/>
        <v>0</v>
      </c>
      <c r="BB39" s="132">
        <f t="shared" si="14"/>
        <v>0</v>
      </c>
      <c r="BC39" s="132">
        <f t="shared" si="14"/>
        <v>0</v>
      </c>
      <c r="BD39" s="132">
        <f t="shared" si="14"/>
        <v>0</v>
      </c>
      <c r="BE39" s="132">
        <f t="shared" si="14"/>
        <v>0</v>
      </c>
      <c r="BF39" s="132">
        <f t="shared" si="14"/>
        <v>0</v>
      </c>
      <c r="BG39" s="132">
        <f t="shared" si="14"/>
        <v>0</v>
      </c>
      <c r="BH39" s="132">
        <f t="shared" si="14"/>
        <v>0</v>
      </c>
      <c r="BI39" s="132">
        <f t="shared" si="14"/>
        <v>0</v>
      </c>
      <c r="BJ39" s="132">
        <f t="shared" si="14"/>
        <v>0</v>
      </c>
      <c r="BK39" s="132">
        <v>0</v>
      </c>
      <c r="BL39" s="132">
        <f t="shared" si="14"/>
        <v>0</v>
      </c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</row>
    <row r="40" spans="2:84" ht="13.5" thickBot="1" x14ac:dyDescent="0.25">
      <c r="B40" s="327"/>
      <c r="C40" s="25" t="s">
        <v>22</v>
      </c>
      <c r="D40" s="30">
        <f>SUM(E40:BL40)</f>
        <v>478578.67153243104</v>
      </c>
      <c r="E40" s="146">
        <f>+E35-E37+E36+E39</f>
        <v>225000</v>
      </c>
      <c r="F40" s="146">
        <f t="shared" ref="F40:BL40" si="15">+F35-F37+F36+F39</f>
        <v>253578.67153243104</v>
      </c>
      <c r="G40" s="146">
        <f t="shared" si="15"/>
        <v>0</v>
      </c>
      <c r="H40" s="146">
        <f t="shared" si="15"/>
        <v>0</v>
      </c>
      <c r="I40" s="146">
        <f t="shared" si="15"/>
        <v>0</v>
      </c>
      <c r="J40" s="146">
        <f t="shared" si="15"/>
        <v>0</v>
      </c>
      <c r="K40" s="146">
        <f t="shared" si="15"/>
        <v>0</v>
      </c>
      <c r="L40" s="146">
        <f t="shared" si="15"/>
        <v>0</v>
      </c>
      <c r="M40" s="146">
        <f t="shared" si="15"/>
        <v>0</v>
      </c>
      <c r="N40" s="146">
        <f t="shared" si="15"/>
        <v>0</v>
      </c>
      <c r="O40" s="146">
        <f t="shared" si="15"/>
        <v>0</v>
      </c>
      <c r="P40" s="146">
        <f t="shared" si="15"/>
        <v>0</v>
      </c>
      <c r="Q40" s="146">
        <f t="shared" si="15"/>
        <v>0</v>
      </c>
      <c r="R40" s="146">
        <f t="shared" si="15"/>
        <v>0</v>
      </c>
      <c r="S40" s="146">
        <f t="shared" si="15"/>
        <v>0</v>
      </c>
      <c r="T40" s="146">
        <f t="shared" si="15"/>
        <v>0</v>
      </c>
      <c r="U40" s="146">
        <f t="shared" si="15"/>
        <v>0</v>
      </c>
      <c r="V40" s="146">
        <f t="shared" si="15"/>
        <v>0</v>
      </c>
      <c r="W40" s="146">
        <f t="shared" si="15"/>
        <v>0</v>
      </c>
      <c r="X40" s="146">
        <f t="shared" si="15"/>
        <v>0</v>
      </c>
      <c r="Y40" s="146">
        <f t="shared" si="15"/>
        <v>0</v>
      </c>
      <c r="Z40" s="146">
        <f t="shared" si="15"/>
        <v>0</v>
      </c>
      <c r="AA40" s="146">
        <f t="shared" si="15"/>
        <v>0</v>
      </c>
      <c r="AB40" s="146">
        <f t="shared" si="15"/>
        <v>0</v>
      </c>
      <c r="AC40" s="146">
        <f t="shared" si="15"/>
        <v>0</v>
      </c>
      <c r="AD40" s="146">
        <f t="shared" si="15"/>
        <v>0</v>
      </c>
      <c r="AE40" s="146">
        <f t="shared" si="15"/>
        <v>0</v>
      </c>
      <c r="AF40" s="146">
        <f t="shared" si="15"/>
        <v>0</v>
      </c>
      <c r="AG40" s="146">
        <f t="shared" si="15"/>
        <v>0</v>
      </c>
      <c r="AH40" s="146">
        <f t="shared" si="15"/>
        <v>0</v>
      </c>
      <c r="AI40" s="146">
        <f t="shared" si="15"/>
        <v>0</v>
      </c>
      <c r="AJ40" s="146">
        <f t="shared" si="15"/>
        <v>0</v>
      </c>
      <c r="AK40" s="146">
        <f t="shared" si="15"/>
        <v>0</v>
      </c>
      <c r="AL40" s="146">
        <f t="shared" si="15"/>
        <v>0</v>
      </c>
      <c r="AM40" s="146">
        <f t="shared" si="15"/>
        <v>0</v>
      </c>
      <c r="AN40" s="146">
        <f t="shared" si="15"/>
        <v>0</v>
      </c>
      <c r="AO40" s="146">
        <f t="shared" si="15"/>
        <v>0</v>
      </c>
      <c r="AP40" s="146">
        <f t="shared" si="15"/>
        <v>0</v>
      </c>
      <c r="AQ40" s="146">
        <f t="shared" si="15"/>
        <v>0</v>
      </c>
      <c r="AR40" s="146">
        <f t="shared" si="15"/>
        <v>0</v>
      </c>
      <c r="AS40" s="146">
        <f t="shared" si="15"/>
        <v>0</v>
      </c>
      <c r="AT40" s="146">
        <f t="shared" si="15"/>
        <v>0</v>
      </c>
      <c r="AU40" s="146">
        <f t="shared" si="15"/>
        <v>0</v>
      </c>
      <c r="AV40" s="146">
        <f t="shared" si="15"/>
        <v>0</v>
      </c>
      <c r="AW40" s="146">
        <f t="shared" si="15"/>
        <v>0</v>
      </c>
      <c r="AX40" s="146">
        <f t="shared" si="15"/>
        <v>0</v>
      </c>
      <c r="AY40" s="146">
        <f t="shared" si="15"/>
        <v>0</v>
      </c>
      <c r="AZ40" s="146">
        <f t="shared" si="15"/>
        <v>0</v>
      </c>
      <c r="BA40" s="146">
        <f t="shared" si="15"/>
        <v>0</v>
      </c>
      <c r="BB40" s="146">
        <f t="shared" si="15"/>
        <v>0</v>
      </c>
      <c r="BC40" s="146">
        <f t="shared" si="15"/>
        <v>0</v>
      </c>
      <c r="BD40" s="146">
        <f t="shared" si="15"/>
        <v>0</v>
      </c>
      <c r="BE40" s="146">
        <f t="shared" si="15"/>
        <v>0</v>
      </c>
      <c r="BF40" s="146">
        <f t="shared" si="15"/>
        <v>0</v>
      </c>
      <c r="BG40" s="146">
        <f t="shared" si="15"/>
        <v>0</v>
      </c>
      <c r="BH40" s="146">
        <f t="shared" si="15"/>
        <v>0</v>
      </c>
      <c r="BI40" s="146">
        <f t="shared" si="15"/>
        <v>0</v>
      </c>
      <c r="BJ40" s="146">
        <f t="shared" si="15"/>
        <v>0</v>
      </c>
      <c r="BK40" s="146">
        <f t="shared" si="15"/>
        <v>0</v>
      </c>
      <c r="BL40" s="146">
        <f t="shared" si="15"/>
        <v>0</v>
      </c>
    </row>
    <row r="41" spans="2:84" ht="13.5" thickBot="1" x14ac:dyDescent="0.25">
      <c r="B41" s="325">
        <v>43770</v>
      </c>
      <c r="C41" s="62" t="s">
        <v>6</v>
      </c>
      <c r="D41" s="31">
        <f>SUM(E41:BL41)</f>
        <v>95000</v>
      </c>
      <c r="E41" s="285" cm="1">
        <f t="array" ref="E41">_xlfn._xlws.FILTER(CLIENTES!$E69:$BO69,(CLIENTES!$E$5:$BO$5=E$5)*(CLIENTES!$E$9:$BO$9="VENDA"),0)</f>
        <v>45000</v>
      </c>
      <c r="F41" s="285" cm="1">
        <f t="array" ref="F41">_xlfn._xlws.FILTER(CLIENTES!$E69:$BO69,(CLIENTES!$E$5:$BO$5=F$5)*(CLIENTES!$E$9:$BO$9="VENDA"),0)</f>
        <v>50000</v>
      </c>
      <c r="G41" s="285" cm="1">
        <f t="array" ref="G41">_xlfn._xlws.FILTER(CLIENTES!$E69:$BO69,(CLIENTES!$E$5:$BO$5=G$5)*(CLIENTES!$E$9:$BO$9="VENDA"),0)</f>
        <v>0</v>
      </c>
      <c r="H41" s="285" cm="1">
        <f t="array" ref="H41">_xlfn._xlws.FILTER(CLIENTES!$E69:$BO69,(CLIENTES!$E$5:$BO$5=H$5)*(CLIENTES!$E$9:$BO$9="VENDA"),0)</f>
        <v>0</v>
      </c>
      <c r="I41" s="285" cm="1">
        <f t="array" ref="I41">_xlfn._xlws.FILTER(CLIENTES!$E69:$BO69,(CLIENTES!$E$5:$BO$5=I$5)*(CLIENTES!$E$9:$BO$9="VENDA"),0)</f>
        <v>0</v>
      </c>
      <c r="J41" s="285" cm="1">
        <f t="array" ref="J41">_xlfn._xlws.FILTER(CLIENTES!$E69:$BO69,(CLIENTES!$E$5:$BO$5=J$5)*(CLIENTES!$E$9:$BO$9="VENDA"),0)</f>
        <v>0</v>
      </c>
      <c r="K41" s="285" cm="1">
        <f t="array" ref="K41">_xlfn._xlws.FILTER(CLIENTES!$E69:$BO69,(CLIENTES!$E$5:$BO$5=K$5)*(CLIENTES!$E$9:$BO$9="VENDA"),0)</f>
        <v>0</v>
      </c>
      <c r="L41" s="285" cm="1">
        <f t="array" ref="L41">_xlfn._xlws.FILTER(CLIENTES!$E69:$BO69,(CLIENTES!$E$5:$BO$5=L$5)*(CLIENTES!$E$9:$BO$9="VENDA"),0)</f>
        <v>0</v>
      </c>
      <c r="M41" s="285" cm="1">
        <f t="array" ref="M41">_xlfn._xlws.FILTER(CLIENTES!$E69:$BO69,(CLIENTES!$E$5:$BO$5=M$5)*(CLIENTES!$E$9:$BO$9="VENDA"),0)</f>
        <v>0</v>
      </c>
      <c r="N41" s="285" cm="1">
        <f t="array" ref="N41">_xlfn._xlws.FILTER(CLIENTES!$E69:$BO69,(CLIENTES!$E$5:$BO$5=N$5)*(CLIENTES!$E$9:$BO$9="VENDA"),0)</f>
        <v>0</v>
      </c>
      <c r="O41" s="285" cm="1">
        <f t="array" ref="O41">_xlfn._xlws.FILTER(CLIENTES!$E69:$BO69,(CLIENTES!$E$5:$BO$5=O$5)*(CLIENTES!$E$9:$BO$9="VENDA"),0)</f>
        <v>0</v>
      </c>
      <c r="P41" s="285" cm="1">
        <f t="array" ref="P41">_xlfn._xlws.FILTER(CLIENTES!$E69:$BO69,(CLIENTES!$E$5:$BO$5=P$5)*(CLIENTES!$E$9:$BO$9="VENDA"),0)</f>
        <v>0</v>
      </c>
      <c r="Q41" s="285" cm="1">
        <f t="array" ref="Q41">_xlfn._xlws.FILTER(CLIENTES!$E69:$BO69,(CLIENTES!$E$5:$BO$5=Q$5)*(CLIENTES!$E$9:$BO$9="VENDA"),0)</f>
        <v>0</v>
      </c>
      <c r="R41" s="285" cm="1">
        <f t="array" ref="R41">_xlfn._xlws.FILTER(CLIENTES!$E69:$BO69,(CLIENTES!$E$5:$BO$5=R$5)*(CLIENTES!$E$9:$BO$9="VENDA"),0)</f>
        <v>0</v>
      </c>
      <c r="S41" s="285" cm="1">
        <f t="array" ref="S41">_xlfn._xlws.FILTER(CLIENTES!$E69:$BO69,(CLIENTES!$E$5:$BO$5=S$5)*(CLIENTES!$E$9:$BO$9="VENDA"),0)</f>
        <v>0</v>
      </c>
      <c r="T41" s="285" cm="1">
        <f t="array" ref="T41">_xlfn._xlws.FILTER(CLIENTES!$E69:$BO69,(CLIENTES!$E$5:$BO$5=T$5)*(CLIENTES!$E$9:$BO$9="VENDA"),0)</f>
        <v>0</v>
      </c>
      <c r="U41" s="285" cm="1">
        <f t="array" ref="U41">_xlfn._xlws.FILTER(CLIENTES!$E69:$BO69,(CLIENTES!$E$5:$BO$5=U$5)*(CLIENTES!$E$9:$BO$9="VENDA"),0)</f>
        <v>0</v>
      </c>
      <c r="V41" s="285" cm="1">
        <f t="array" ref="V41">_xlfn._xlws.FILTER(CLIENTES!$E69:$BO69,(CLIENTES!$E$5:$BO$5=V$5)*(CLIENTES!$E$9:$BO$9="VENDA"),0)</f>
        <v>0</v>
      </c>
      <c r="W41" s="285" cm="1">
        <f t="array" ref="W41">_xlfn._xlws.FILTER(CLIENTES!$E69:$BO69,(CLIENTES!$E$5:$BO$5=W$5)*(CLIENTES!$E$9:$BO$9="VENDA"),0)</f>
        <v>0</v>
      </c>
      <c r="X41" s="285" cm="1">
        <f t="array" ref="X41">_xlfn._xlws.FILTER(CLIENTES!$E69:$BO69,(CLIENTES!$E$5:$BO$5=X$5)*(CLIENTES!$E$9:$BO$9="VENDA"),0)</f>
        <v>0</v>
      </c>
      <c r="Y41" s="285" cm="1">
        <f t="array" ref="Y41">_xlfn._xlws.FILTER(CLIENTES!$E69:$BO69,(CLIENTES!$E$5:$BO$5=Y$5)*(CLIENTES!$E$9:$BO$9="VENDA"),0)</f>
        <v>0</v>
      </c>
      <c r="Z41" s="285" cm="1">
        <f t="array" ref="Z41">_xlfn._xlws.FILTER(CLIENTES!$E69:$BO69,(CLIENTES!$E$5:$BO$5=Z$5)*(CLIENTES!$E$9:$BO$9="VENDA"),0)</f>
        <v>0</v>
      </c>
      <c r="AA41" s="285" cm="1">
        <f t="array" ref="AA41">_xlfn._xlws.FILTER(CLIENTES!$E69:$BO69,(CLIENTES!$E$5:$BO$5=AA$5)*(CLIENTES!$E$9:$BO$9="VENDA"),0)</f>
        <v>0</v>
      </c>
      <c r="AB41" s="285" cm="1">
        <f t="array" ref="AB41">_xlfn._xlws.FILTER(CLIENTES!$E69:$BO69,(CLIENTES!$E$5:$BO$5=AB$5)*(CLIENTES!$E$9:$BO$9="VENDA"),0)</f>
        <v>0</v>
      </c>
      <c r="AC41" s="285" cm="1">
        <f t="array" ref="AC41">_xlfn._xlws.FILTER(CLIENTES!$E69:$BO69,(CLIENTES!$E$5:$BO$5=AC$5)*(CLIENTES!$E$9:$BO$9="VENDA"),0)</f>
        <v>0</v>
      </c>
      <c r="AD41" s="285" cm="1">
        <f t="array" ref="AD41">_xlfn._xlws.FILTER(CLIENTES!$E69:$BO69,(CLIENTES!$E$5:$BO$5=AD$5)*(CLIENTES!$E$9:$BO$9="VENDA"),0)</f>
        <v>0</v>
      </c>
      <c r="AE41" s="285" cm="1">
        <f t="array" ref="AE41">_xlfn._xlws.FILTER(CLIENTES!$E69:$BO69,(CLIENTES!$E$5:$BO$5=AE$5)*(CLIENTES!$E$9:$BO$9="VENDA"),0)</f>
        <v>0</v>
      </c>
      <c r="AF41" s="285" cm="1">
        <f t="array" ref="AF41">_xlfn._xlws.FILTER(CLIENTES!$E69:$BO69,(CLIENTES!$E$5:$BO$5=AF$5)*(CLIENTES!$E$9:$BO$9="VENDA"),0)</f>
        <v>0</v>
      </c>
      <c r="AG41" s="285" cm="1">
        <f t="array" ref="AG41">_xlfn._xlws.FILTER(CLIENTES!$E69:$BO69,(CLIENTES!$E$5:$BO$5=AG$5)*(CLIENTES!$E$9:$BO$9="VENDA"),0)</f>
        <v>0</v>
      </c>
      <c r="AH41" s="285" cm="1">
        <f t="array" ref="AH41">_xlfn._xlws.FILTER(CLIENTES!$E69:$BO69,(CLIENTES!$E$5:$BO$5=AH$5)*(CLIENTES!$E$9:$BO$9="VENDA"),0)</f>
        <v>0</v>
      </c>
      <c r="AI41" s="285" cm="1">
        <f t="array" ref="AI41">_xlfn._xlws.FILTER(CLIENTES!$E69:$BO69,(CLIENTES!$E$5:$BO$5=AI$5)*(CLIENTES!$E$9:$BO$9="VENDA"),0)</f>
        <v>0</v>
      </c>
      <c r="AJ41" s="285" cm="1">
        <f t="array" ref="AJ41">_xlfn._xlws.FILTER(CLIENTES!$E69:$BO69,(CLIENTES!$E$5:$BO$5=AJ$5)*(CLIENTES!$E$9:$BO$9="VENDA"),0)</f>
        <v>0</v>
      </c>
      <c r="AK41" s="285" cm="1">
        <f t="array" ref="AK41">_xlfn._xlws.FILTER(CLIENTES!$E69:$BO69,(CLIENTES!$E$5:$BO$5=AK$5)*(CLIENTES!$E$9:$BO$9="VENDA"),0)</f>
        <v>0</v>
      </c>
      <c r="AL41" s="285" cm="1">
        <f t="array" ref="AL41">_xlfn._xlws.FILTER(CLIENTES!$E69:$BO69,(CLIENTES!$E$5:$BO$5=AL$5)*(CLIENTES!$E$9:$BO$9="VENDA"),0)</f>
        <v>0</v>
      </c>
      <c r="AM41" s="285" cm="1">
        <f t="array" ref="AM41">_xlfn._xlws.FILTER(CLIENTES!$E69:$BO69,(CLIENTES!$E$5:$BO$5=AM$5)*(CLIENTES!$E$9:$BO$9="VENDA"),0)</f>
        <v>0</v>
      </c>
      <c r="AN41" s="285" cm="1">
        <f t="array" ref="AN41">_xlfn._xlws.FILTER(CLIENTES!$E69:$BO69,(CLIENTES!$E$5:$BO$5=AN$5)*(CLIENTES!$E$9:$BO$9="VENDA"),0)</f>
        <v>0</v>
      </c>
      <c r="AO41" s="285" cm="1">
        <f t="array" ref="AO41">_xlfn._xlws.FILTER(CLIENTES!$E69:$BO69,(CLIENTES!$E$5:$BO$5=AO$5)*(CLIENTES!$E$9:$BO$9="VENDA"),0)</f>
        <v>0</v>
      </c>
      <c r="AP41" s="285" cm="1">
        <f t="array" ref="AP41">_xlfn._xlws.FILTER(CLIENTES!$E69:$BO69,(CLIENTES!$E$5:$BO$5=AP$5)*(CLIENTES!$E$9:$BO$9="VENDA"),0)</f>
        <v>0</v>
      </c>
      <c r="AQ41" s="285" cm="1">
        <f t="array" ref="AQ41">_xlfn._xlws.FILTER(CLIENTES!$E69:$BO69,(CLIENTES!$E$5:$BO$5=AQ$5)*(CLIENTES!$E$9:$BO$9="VENDA"),0)</f>
        <v>0</v>
      </c>
      <c r="AR41" s="285" cm="1">
        <f t="array" ref="AR41">_xlfn._xlws.FILTER(CLIENTES!$E69:$BO69,(CLIENTES!$E$5:$BO$5=AR$5)*(CLIENTES!$E$9:$BO$9="VENDA"),0)</f>
        <v>0</v>
      </c>
      <c r="AS41" s="285" cm="1">
        <f t="array" ref="AS41">_xlfn._xlws.FILTER(CLIENTES!$E69:$BO69,(CLIENTES!$E$5:$BO$5=AS$5)*(CLIENTES!$E$9:$BO$9="VENDA"),0)</f>
        <v>0</v>
      </c>
      <c r="AT41" s="285" cm="1">
        <f t="array" ref="AT41">_xlfn._xlws.FILTER(CLIENTES!$E69:$BO69,(CLIENTES!$E$5:$BO$5=AT$5)*(CLIENTES!$E$9:$BO$9="VENDA"),0)</f>
        <v>0</v>
      </c>
      <c r="AU41" s="285" cm="1">
        <f t="array" ref="AU41">_xlfn._xlws.FILTER(CLIENTES!$E69:$BO69,(CLIENTES!$E$5:$BO$5=AU$5)*(CLIENTES!$E$9:$BO$9="VENDA"),0)</f>
        <v>0</v>
      </c>
      <c r="AV41" s="285" cm="1">
        <f t="array" ref="AV41">_xlfn._xlws.FILTER(CLIENTES!$E69:$BO69,(CLIENTES!$E$5:$BO$5=AV$5)*(CLIENTES!$E$9:$BO$9="VENDA"),0)</f>
        <v>0</v>
      </c>
      <c r="AW41" s="285" cm="1">
        <f t="array" ref="AW41">_xlfn._xlws.FILTER(CLIENTES!$E69:$BO69,(CLIENTES!$E$5:$BO$5=AW$5)*(CLIENTES!$E$9:$BO$9="VENDA"),0)</f>
        <v>0</v>
      </c>
      <c r="AX41" s="285" cm="1">
        <f t="array" ref="AX41">_xlfn._xlws.FILTER(CLIENTES!$E69:$BO69,(CLIENTES!$E$5:$BO$5=AX$5)*(CLIENTES!$E$9:$BO$9="VENDA"),0)</f>
        <v>0</v>
      </c>
      <c r="AY41" s="285" cm="1">
        <f t="array" ref="AY41">_xlfn._xlws.FILTER(CLIENTES!$E69:$BO69,(CLIENTES!$E$5:$BO$5=AY$5)*(CLIENTES!$E$9:$BO$9="VENDA"),0)</f>
        <v>0</v>
      </c>
      <c r="AZ41" s="285" cm="1">
        <f t="array" ref="AZ41">_xlfn._xlws.FILTER(CLIENTES!$E69:$BO69,(CLIENTES!$E$5:$BO$5=AZ$5)*(CLIENTES!$E$9:$BO$9="VENDA"),0)</f>
        <v>0</v>
      </c>
      <c r="BA41" s="285" cm="1">
        <f t="array" ref="BA41">_xlfn._xlws.FILTER(CLIENTES!$E69:$BO69,(CLIENTES!$E$5:$BO$5=BA$5)*(CLIENTES!$E$9:$BO$9="VENDA"),0)</f>
        <v>0</v>
      </c>
      <c r="BB41" s="285" cm="1">
        <f t="array" ref="BB41">_xlfn._xlws.FILTER(CLIENTES!$E69:$BO69,(CLIENTES!$E$5:$BO$5=BB$5)*(CLIENTES!$E$9:$BO$9="VENDA"),0)</f>
        <v>0</v>
      </c>
      <c r="BC41" s="285" cm="1">
        <f t="array" ref="BC41">_xlfn._xlws.FILTER(CLIENTES!$E69:$BO69,(CLIENTES!$E$5:$BO$5=BC$5)*(CLIENTES!$E$9:$BO$9="VENDA"),0)</f>
        <v>0</v>
      </c>
      <c r="BD41" s="285" cm="1">
        <f t="array" ref="BD41">_xlfn._xlws.FILTER(CLIENTES!$E69:$BO69,(CLIENTES!$E$5:$BO$5=BD$5)*(CLIENTES!$E$9:$BO$9="VENDA"),0)</f>
        <v>0</v>
      </c>
      <c r="BE41" s="285" cm="1">
        <f t="array" ref="BE41">_xlfn._xlws.FILTER(CLIENTES!$E69:$BO69,(CLIENTES!$E$5:$BO$5=BE$5)*(CLIENTES!$E$9:$BO$9="VENDA"),0)</f>
        <v>0</v>
      </c>
      <c r="BF41" s="285" cm="1">
        <f t="array" ref="BF41">_xlfn._xlws.FILTER(CLIENTES!$E69:$BO69,(CLIENTES!$E$5:$BO$5=BF$5)*(CLIENTES!$E$9:$BO$9="VENDA"),0)</f>
        <v>0</v>
      </c>
      <c r="BG41" s="285" cm="1">
        <f t="array" ref="BG41">_xlfn._xlws.FILTER(CLIENTES!$E69:$BO69,(CLIENTES!$E$5:$BO$5=BG$5)*(CLIENTES!$E$9:$BO$9="VENDA"),0)</f>
        <v>0</v>
      </c>
      <c r="BH41" s="285" cm="1">
        <f t="array" ref="BH41">_xlfn._xlws.FILTER(CLIENTES!$E69:$BO69,(CLIENTES!$E$5:$BO$5=BH$5)*(CLIENTES!$E$9:$BO$9="VENDA"),0)</f>
        <v>0</v>
      </c>
      <c r="BI41" s="285" cm="1">
        <f t="array" ref="BI41">_xlfn._xlws.FILTER(CLIENTES!$E69:$BO69,(CLIENTES!$E$5:$BO$5=BI$5)*(CLIENTES!$E$9:$BO$9="VENDA"),0)</f>
        <v>0</v>
      </c>
      <c r="BJ41" s="285" cm="1">
        <f t="array" ref="BJ41">_xlfn._xlws.FILTER(CLIENTES!$E69:$BO69,(CLIENTES!$E$5:$BO$5=BJ$5)*(CLIENTES!$E$9:$BO$9="VENDA"),0)</f>
        <v>0</v>
      </c>
      <c r="BK41" s="285" cm="1">
        <f t="array" ref="BK41">_xlfn._xlws.FILTER(CLIENTES!$E69:$BO69,(CLIENTES!$E$5:$BO$5=BK$5)*(CLIENTES!$E$9:$BO$9="VENDA"),0)</f>
        <v>0</v>
      </c>
      <c r="BL41" s="285" cm="1">
        <f t="array" ref="BL41">_xlfn._xlws.FILTER(CLIENTES!$E69:$BO69,(CLIENTES!$E$5:$BO$5=BL$5)*(CLIENTES!$E$9:$BO$9="VENDA"),0)</f>
        <v>0</v>
      </c>
    </row>
    <row r="42" spans="2:84" ht="13.5" thickBot="1" x14ac:dyDescent="0.25">
      <c r="B42" s="326"/>
      <c r="C42" s="23" t="s">
        <v>9</v>
      </c>
      <c r="D42" s="27">
        <f>SUM(E42:BL42)</f>
        <v>0</v>
      </c>
      <c r="E42" s="285" cm="1">
        <f t="array" ref="E42">_xlfn._xlws.FILTER(CLIENTES!$E70:$BO70,(CLIENTES!$E$5:$BO$5=E$5)*(CLIENTES!$E$9:$BO$9="VENDA"),0)</f>
        <v>0</v>
      </c>
      <c r="F42" s="285" cm="1">
        <f t="array" ref="F42">_xlfn._xlws.FILTER(CLIENTES!$E70:$BO70,(CLIENTES!$E$5:$BO$5=F$5)*(CLIENTES!$E$9:$BO$9="VENDA"),0)</f>
        <v>0</v>
      </c>
      <c r="G42" s="285" cm="1">
        <f t="array" ref="G42">_xlfn._xlws.FILTER(CLIENTES!$E70:$BO70,(CLIENTES!$E$5:$BO$5=G$5)*(CLIENTES!$E$9:$BO$9="VENDA"),0)</f>
        <v>0</v>
      </c>
      <c r="H42" s="285" cm="1">
        <f t="array" ref="H42">_xlfn._xlws.FILTER(CLIENTES!$E70:$BO70,(CLIENTES!$E$5:$BO$5=H$5)*(CLIENTES!$E$9:$BO$9="VENDA"),0)</f>
        <v>0</v>
      </c>
      <c r="I42" s="285" cm="1">
        <f t="array" ref="I42">_xlfn._xlws.FILTER(CLIENTES!$E70:$BO70,(CLIENTES!$E$5:$BO$5=I$5)*(CLIENTES!$E$9:$BO$9="VENDA"),0)</f>
        <v>0</v>
      </c>
      <c r="J42" s="285" cm="1">
        <f t="array" ref="J42">_xlfn._xlws.FILTER(CLIENTES!$E70:$BO70,(CLIENTES!$E$5:$BO$5=J$5)*(CLIENTES!$E$9:$BO$9="VENDA"),0)</f>
        <v>0</v>
      </c>
      <c r="K42" s="285" cm="1">
        <f t="array" ref="K42">_xlfn._xlws.FILTER(CLIENTES!$E70:$BO70,(CLIENTES!$E$5:$BO$5=K$5)*(CLIENTES!$E$9:$BO$9="VENDA"),0)</f>
        <v>0</v>
      </c>
      <c r="L42" s="285" cm="1">
        <f t="array" ref="L42">_xlfn._xlws.FILTER(CLIENTES!$E70:$BO70,(CLIENTES!$E$5:$BO$5=L$5)*(CLIENTES!$E$9:$BO$9="VENDA"),0)</f>
        <v>0</v>
      </c>
      <c r="M42" s="285" cm="1">
        <f t="array" ref="M42">_xlfn._xlws.FILTER(CLIENTES!$E70:$BO70,(CLIENTES!$E$5:$BO$5=M$5)*(CLIENTES!$E$9:$BO$9="VENDA"),0)</f>
        <v>0</v>
      </c>
      <c r="N42" s="285" cm="1">
        <f t="array" ref="N42">_xlfn._xlws.FILTER(CLIENTES!$E70:$BO70,(CLIENTES!$E$5:$BO$5=N$5)*(CLIENTES!$E$9:$BO$9="VENDA"),0)</f>
        <v>0</v>
      </c>
      <c r="O42" s="285" cm="1">
        <f t="array" ref="O42">_xlfn._xlws.FILTER(CLIENTES!$E70:$BO70,(CLIENTES!$E$5:$BO$5=O$5)*(CLIENTES!$E$9:$BO$9="VENDA"),0)</f>
        <v>0</v>
      </c>
      <c r="P42" s="285" cm="1">
        <f t="array" ref="P42">_xlfn._xlws.FILTER(CLIENTES!$E70:$BO70,(CLIENTES!$E$5:$BO$5=P$5)*(CLIENTES!$E$9:$BO$9="VENDA"),0)</f>
        <v>0</v>
      </c>
      <c r="Q42" s="285" cm="1">
        <f t="array" ref="Q42">_xlfn._xlws.FILTER(CLIENTES!$E70:$BO70,(CLIENTES!$E$5:$BO$5=Q$5)*(CLIENTES!$E$9:$BO$9="VENDA"),0)</f>
        <v>0</v>
      </c>
      <c r="R42" s="285" cm="1">
        <f t="array" ref="R42">_xlfn._xlws.FILTER(CLIENTES!$E70:$BO70,(CLIENTES!$E$5:$BO$5=R$5)*(CLIENTES!$E$9:$BO$9="VENDA"),0)</f>
        <v>0</v>
      </c>
      <c r="S42" s="285" cm="1">
        <f t="array" ref="S42">_xlfn._xlws.FILTER(CLIENTES!$E70:$BO70,(CLIENTES!$E$5:$BO$5=S$5)*(CLIENTES!$E$9:$BO$9="VENDA"),0)</f>
        <v>0</v>
      </c>
      <c r="T42" s="285" cm="1">
        <f t="array" ref="T42">_xlfn._xlws.FILTER(CLIENTES!$E70:$BO70,(CLIENTES!$E$5:$BO$5=T$5)*(CLIENTES!$E$9:$BO$9="VENDA"),0)</f>
        <v>0</v>
      </c>
      <c r="U42" s="285" cm="1">
        <f t="array" ref="U42">_xlfn._xlws.FILTER(CLIENTES!$E70:$BO70,(CLIENTES!$E$5:$BO$5=U$5)*(CLIENTES!$E$9:$BO$9="VENDA"),0)</f>
        <v>0</v>
      </c>
      <c r="V42" s="285" cm="1">
        <f t="array" ref="V42">_xlfn._xlws.FILTER(CLIENTES!$E70:$BO70,(CLIENTES!$E$5:$BO$5=V$5)*(CLIENTES!$E$9:$BO$9="VENDA"),0)</f>
        <v>0</v>
      </c>
      <c r="W42" s="285" cm="1">
        <f t="array" ref="W42">_xlfn._xlws.FILTER(CLIENTES!$E70:$BO70,(CLIENTES!$E$5:$BO$5=W$5)*(CLIENTES!$E$9:$BO$9="VENDA"),0)</f>
        <v>0</v>
      </c>
      <c r="X42" s="285" cm="1">
        <f t="array" ref="X42">_xlfn._xlws.FILTER(CLIENTES!$E70:$BO70,(CLIENTES!$E$5:$BO$5=X$5)*(CLIENTES!$E$9:$BO$9="VENDA"),0)</f>
        <v>0</v>
      </c>
      <c r="Y42" s="285" cm="1">
        <f t="array" ref="Y42">_xlfn._xlws.FILTER(CLIENTES!$E70:$BO70,(CLIENTES!$E$5:$BO$5=Y$5)*(CLIENTES!$E$9:$BO$9="VENDA"),0)</f>
        <v>0</v>
      </c>
      <c r="Z42" s="285" cm="1">
        <f t="array" ref="Z42">_xlfn._xlws.FILTER(CLIENTES!$E70:$BO70,(CLIENTES!$E$5:$BO$5=Z$5)*(CLIENTES!$E$9:$BO$9="VENDA"),0)</f>
        <v>0</v>
      </c>
      <c r="AA42" s="285" cm="1">
        <f t="array" ref="AA42">_xlfn._xlws.FILTER(CLIENTES!$E70:$BO70,(CLIENTES!$E$5:$BO$5=AA$5)*(CLIENTES!$E$9:$BO$9="VENDA"),0)</f>
        <v>0</v>
      </c>
      <c r="AB42" s="285" cm="1">
        <f t="array" ref="AB42">_xlfn._xlws.FILTER(CLIENTES!$E70:$BO70,(CLIENTES!$E$5:$BO$5=AB$5)*(CLIENTES!$E$9:$BO$9="VENDA"),0)</f>
        <v>0</v>
      </c>
      <c r="AC42" s="285" cm="1">
        <f t="array" ref="AC42">_xlfn._xlws.FILTER(CLIENTES!$E70:$BO70,(CLIENTES!$E$5:$BO$5=AC$5)*(CLIENTES!$E$9:$BO$9="VENDA"),0)</f>
        <v>0</v>
      </c>
      <c r="AD42" s="285" cm="1">
        <f t="array" ref="AD42">_xlfn._xlws.FILTER(CLIENTES!$E70:$BO70,(CLIENTES!$E$5:$BO$5=AD$5)*(CLIENTES!$E$9:$BO$9="VENDA"),0)</f>
        <v>0</v>
      </c>
      <c r="AE42" s="285" cm="1">
        <f t="array" ref="AE42">_xlfn._xlws.FILTER(CLIENTES!$E70:$BO70,(CLIENTES!$E$5:$BO$5=AE$5)*(CLIENTES!$E$9:$BO$9="VENDA"),0)</f>
        <v>0</v>
      </c>
      <c r="AF42" s="285" cm="1">
        <f t="array" ref="AF42">_xlfn._xlws.FILTER(CLIENTES!$E70:$BO70,(CLIENTES!$E$5:$BO$5=AF$5)*(CLIENTES!$E$9:$BO$9="VENDA"),0)</f>
        <v>0</v>
      </c>
      <c r="AG42" s="285" cm="1">
        <f t="array" ref="AG42">_xlfn._xlws.FILTER(CLIENTES!$E70:$BO70,(CLIENTES!$E$5:$BO$5=AG$5)*(CLIENTES!$E$9:$BO$9="VENDA"),0)</f>
        <v>0</v>
      </c>
      <c r="AH42" s="285" cm="1">
        <f t="array" ref="AH42">_xlfn._xlws.FILTER(CLIENTES!$E70:$BO70,(CLIENTES!$E$5:$BO$5=AH$5)*(CLIENTES!$E$9:$BO$9="VENDA"),0)</f>
        <v>0</v>
      </c>
      <c r="AI42" s="285" cm="1">
        <f t="array" ref="AI42">_xlfn._xlws.FILTER(CLIENTES!$E70:$BO70,(CLIENTES!$E$5:$BO$5=AI$5)*(CLIENTES!$E$9:$BO$9="VENDA"),0)</f>
        <v>0</v>
      </c>
      <c r="AJ42" s="285" cm="1">
        <f t="array" ref="AJ42">_xlfn._xlws.FILTER(CLIENTES!$E70:$BO70,(CLIENTES!$E$5:$BO$5=AJ$5)*(CLIENTES!$E$9:$BO$9="VENDA"),0)</f>
        <v>0</v>
      </c>
      <c r="AK42" s="285" cm="1">
        <f t="array" ref="AK42">_xlfn._xlws.FILTER(CLIENTES!$E70:$BO70,(CLIENTES!$E$5:$BO$5=AK$5)*(CLIENTES!$E$9:$BO$9="VENDA"),0)</f>
        <v>0</v>
      </c>
      <c r="AL42" s="285" cm="1">
        <f t="array" ref="AL42">_xlfn._xlws.FILTER(CLIENTES!$E70:$BO70,(CLIENTES!$E$5:$BO$5=AL$5)*(CLIENTES!$E$9:$BO$9="VENDA"),0)</f>
        <v>0</v>
      </c>
      <c r="AM42" s="285" cm="1">
        <f t="array" ref="AM42">_xlfn._xlws.FILTER(CLIENTES!$E70:$BO70,(CLIENTES!$E$5:$BO$5=AM$5)*(CLIENTES!$E$9:$BO$9="VENDA"),0)</f>
        <v>0</v>
      </c>
      <c r="AN42" s="285" cm="1">
        <f t="array" ref="AN42">_xlfn._xlws.FILTER(CLIENTES!$E70:$BO70,(CLIENTES!$E$5:$BO$5=AN$5)*(CLIENTES!$E$9:$BO$9="VENDA"),0)</f>
        <v>0</v>
      </c>
      <c r="AO42" s="285" cm="1">
        <f t="array" ref="AO42">_xlfn._xlws.FILTER(CLIENTES!$E70:$BO70,(CLIENTES!$E$5:$BO$5=AO$5)*(CLIENTES!$E$9:$BO$9="VENDA"),0)</f>
        <v>0</v>
      </c>
      <c r="AP42" s="285" cm="1">
        <f t="array" ref="AP42">_xlfn._xlws.FILTER(CLIENTES!$E70:$BO70,(CLIENTES!$E$5:$BO$5=AP$5)*(CLIENTES!$E$9:$BO$9="VENDA"),0)</f>
        <v>0</v>
      </c>
      <c r="AQ42" s="285" cm="1">
        <f t="array" ref="AQ42">_xlfn._xlws.FILTER(CLIENTES!$E70:$BO70,(CLIENTES!$E$5:$BO$5=AQ$5)*(CLIENTES!$E$9:$BO$9="VENDA"),0)</f>
        <v>0</v>
      </c>
      <c r="AR42" s="285" cm="1">
        <f t="array" ref="AR42">_xlfn._xlws.FILTER(CLIENTES!$E70:$BO70,(CLIENTES!$E$5:$BO$5=AR$5)*(CLIENTES!$E$9:$BO$9="VENDA"),0)</f>
        <v>0</v>
      </c>
      <c r="AS42" s="285" cm="1">
        <f t="array" ref="AS42">_xlfn._xlws.FILTER(CLIENTES!$E70:$BO70,(CLIENTES!$E$5:$BO$5=AS$5)*(CLIENTES!$E$9:$BO$9="VENDA"),0)</f>
        <v>0</v>
      </c>
      <c r="AT42" s="285" cm="1">
        <f t="array" ref="AT42">_xlfn._xlws.FILTER(CLIENTES!$E70:$BO70,(CLIENTES!$E$5:$BO$5=AT$5)*(CLIENTES!$E$9:$BO$9="VENDA"),0)</f>
        <v>0</v>
      </c>
      <c r="AU42" s="285" cm="1">
        <f t="array" ref="AU42">_xlfn._xlws.FILTER(CLIENTES!$E70:$BO70,(CLIENTES!$E$5:$BO$5=AU$5)*(CLIENTES!$E$9:$BO$9="VENDA"),0)</f>
        <v>0</v>
      </c>
      <c r="AV42" s="285" cm="1">
        <f t="array" ref="AV42">_xlfn._xlws.FILTER(CLIENTES!$E70:$BO70,(CLIENTES!$E$5:$BO$5=AV$5)*(CLIENTES!$E$9:$BO$9="VENDA"),0)</f>
        <v>0</v>
      </c>
      <c r="AW42" s="285" cm="1">
        <f t="array" ref="AW42">_xlfn._xlws.FILTER(CLIENTES!$E70:$BO70,(CLIENTES!$E$5:$BO$5=AW$5)*(CLIENTES!$E$9:$BO$9="VENDA"),0)</f>
        <v>0</v>
      </c>
      <c r="AX42" s="285" cm="1">
        <f t="array" ref="AX42">_xlfn._xlws.FILTER(CLIENTES!$E70:$BO70,(CLIENTES!$E$5:$BO$5=AX$5)*(CLIENTES!$E$9:$BO$9="VENDA"),0)</f>
        <v>0</v>
      </c>
      <c r="AY42" s="285" cm="1">
        <f t="array" ref="AY42">_xlfn._xlws.FILTER(CLIENTES!$E70:$BO70,(CLIENTES!$E$5:$BO$5=AY$5)*(CLIENTES!$E$9:$BO$9="VENDA"),0)</f>
        <v>0</v>
      </c>
      <c r="AZ42" s="285" cm="1">
        <f t="array" ref="AZ42">_xlfn._xlws.FILTER(CLIENTES!$E70:$BO70,(CLIENTES!$E$5:$BO$5=AZ$5)*(CLIENTES!$E$9:$BO$9="VENDA"),0)</f>
        <v>0</v>
      </c>
      <c r="BA42" s="285" cm="1">
        <f t="array" ref="BA42">_xlfn._xlws.FILTER(CLIENTES!$E70:$BO70,(CLIENTES!$E$5:$BO$5=BA$5)*(CLIENTES!$E$9:$BO$9="VENDA"),0)</f>
        <v>0</v>
      </c>
      <c r="BB42" s="285" cm="1">
        <f t="array" ref="BB42">_xlfn._xlws.FILTER(CLIENTES!$E70:$BO70,(CLIENTES!$E$5:$BO$5=BB$5)*(CLIENTES!$E$9:$BO$9="VENDA"),0)</f>
        <v>0</v>
      </c>
      <c r="BC42" s="285" cm="1">
        <f t="array" ref="BC42">_xlfn._xlws.FILTER(CLIENTES!$E70:$BO70,(CLIENTES!$E$5:$BO$5=BC$5)*(CLIENTES!$E$9:$BO$9="VENDA"),0)</f>
        <v>0</v>
      </c>
      <c r="BD42" s="285" cm="1">
        <f t="array" ref="BD42">_xlfn._xlws.FILTER(CLIENTES!$E70:$BO70,(CLIENTES!$E$5:$BO$5=BD$5)*(CLIENTES!$E$9:$BO$9="VENDA"),0)</f>
        <v>0</v>
      </c>
      <c r="BE42" s="285" cm="1">
        <f t="array" ref="BE42">_xlfn._xlws.FILTER(CLIENTES!$E70:$BO70,(CLIENTES!$E$5:$BO$5=BE$5)*(CLIENTES!$E$9:$BO$9="VENDA"),0)</f>
        <v>0</v>
      </c>
      <c r="BF42" s="285" cm="1">
        <f t="array" ref="BF42">_xlfn._xlws.FILTER(CLIENTES!$E70:$BO70,(CLIENTES!$E$5:$BO$5=BF$5)*(CLIENTES!$E$9:$BO$9="VENDA"),0)</f>
        <v>0</v>
      </c>
      <c r="BG42" s="285" cm="1">
        <f t="array" ref="BG42">_xlfn._xlws.FILTER(CLIENTES!$E70:$BO70,(CLIENTES!$E$5:$BO$5=BG$5)*(CLIENTES!$E$9:$BO$9="VENDA"),0)</f>
        <v>0</v>
      </c>
      <c r="BH42" s="285" cm="1">
        <f t="array" ref="BH42">_xlfn._xlws.FILTER(CLIENTES!$E70:$BO70,(CLIENTES!$E$5:$BO$5=BH$5)*(CLIENTES!$E$9:$BO$9="VENDA"),0)</f>
        <v>0</v>
      </c>
      <c r="BI42" s="285" cm="1">
        <f t="array" ref="BI42">_xlfn._xlws.FILTER(CLIENTES!$E70:$BO70,(CLIENTES!$E$5:$BO$5=BI$5)*(CLIENTES!$E$9:$BO$9="VENDA"),0)</f>
        <v>0</v>
      </c>
      <c r="BJ42" s="285" cm="1">
        <f t="array" ref="BJ42">_xlfn._xlws.FILTER(CLIENTES!$E70:$BO70,(CLIENTES!$E$5:$BO$5=BJ$5)*(CLIENTES!$E$9:$BO$9="VENDA"),0)</f>
        <v>0</v>
      </c>
      <c r="BK42" s="285" cm="1">
        <f t="array" ref="BK42">_xlfn._xlws.FILTER(CLIENTES!$E70:$BO70,(CLIENTES!$E$5:$BO$5=BK$5)*(CLIENTES!$E$9:$BO$9="VENDA"),0)</f>
        <v>0</v>
      </c>
      <c r="BL42" s="285" cm="1">
        <f t="array" ref="BL42">_xlfn._xlws.FILTER(CLIENTES!$E70:$BO70,(CLIENTES!$E$5:$BO$5=BL$5)*(CLIENTES!$E$9:$BO$9="VENDA"),0)</f>
        <v>0</v>
      </c>
    </row>
    <row r="43" spans="2:84" x14ac:dyDescent="0.2">
      <c r="B43" s="326"/>
      <c r="C43" s="23" t="s">
        <v>10</v>
      </c>
      <c r="D43" s="72">
        <v>4.5999999999999999E-3</v>
      </c>
      <c r="E43" s="200">
        <f>CLIENTES!F72</f>
        <v>0</v>
      </c>
      <c r="F43" s="200">
        <f>CLIENTES!H72</f>
        <v>0</v>
      </c>
      <c r="G43" s="200">
        <f>CLIENTES!I72</f>
        <v>0</v>
      </c>
      <c r="H43" s="200">
        <f>CLIENTES!J72</f>
        <v>0</v>
      </c>
      <c r="I43" s="200">
        <f>CLIENTES!K72</f>
        <v>0</v>
      </c>
      <c r="J43" s="200">
        <f>CLIENTES!L72</f>
        <v>0</v>
      </c>
      <c r="K43" s="200">
        <f>CLIENTES!M72</f>
        <v>0</v>
      </c>
      <c r="L43" s="200">
        <f>CLIENTES!N72</f>
        <v>0</v>
      </c>
      <c r="M43" s="200">
        <f>CLIENTES!O72</f>
        <v>0</v>
      </c>
      <c r="N43" s="200">
        <f>CLIENTES!P72</f>
        <v>0</v>
      </c>
      <c r="O43" s="200">
        <f>CLIENTES!Q72</f>
        <v>0</v>
      </c>
      <c r="P43" s="200">
        <f>CLIENTES!R72</f>
        <v>0</v>
      </c>
      <c r="Q43" s="200">
        <f>CLIENTES!S72</f>
        <v>0</v>
      </c>
      <c r="R43" s="200">
        <f>CLIENTES!T72</f>
        <v>0</v>
      </c>
      <c r="S43" s="200">
        <f>CLIENTES!U72</f>
        <v>0</v>
      </c>
      <c r="T43" s="200">
        <f>CLIENTES!V72</f>
        <v>0</v>
      </c>
      <c r="U43" s="200">
        <f>CLIENTES!W72</f>
        <v>0</v>
      </c>
      <c r="V43" s="200">
        <f>CLIENTES!X72</f>
        <v>0</v>
      </c>
      <c r="W43" s="200">
        <f>CLIENTES!Y72</f>
        <v>0</v>
      </c>
      <c r="X43" s="200">
        <f>CLIENTES!Z72</f>
        <v>0</v>
      </c>
      <c r="Y43" s="200">
        <f>CLIENTES!AA72</f>
        <v>0</v>
      </c>
      <c r="Z43" s="200">
        <f>CLIENTES!AB72</f>
        <v>0</v>
      </c>
      <c r="AA43" s="200">
        <f>CLIENTES!AC72</f>
        <v>0</v>
      </c>
      <c r="AB43" s="200">
        <f>CLIENTES!AD72</f>
        <v>0</v>
      </c>
      <c r="AC43" s="200">
        <f>CLIENTES!AE72</f>
        <v>0</v>
      </c>
      <c r="AD43" s="200">
        <f>CLIENTES!AF72</f>
        <v>0</v>
      </c>
      <c r="AE43" s="200">
        <f>CLIENTES!AG72</f>
        <v>0</v>
      </c>
      <c r="AF43" s="200">
        <f>CLIENTES!AH72</f>
        <v>0</v>
      </c>
      <c r="AG43" s="200">
        <f>CLIENTES!AI72</f>
        <v>0</v>
      </c>
      <c r="AH43" s="200">
        <f>CLIENTES!AJ72</f>
        <v>0</v>
      </c>
      <c r="AI43" s="200">
        <f>CLIENTES!AK72</f>
        <v>0</v>
      </c>
      <c r="AJ43" s="200">
        <f>CLIENTES!AL72</f>
        <v>0</v>
      </c>
      <c r="AK43" s="200">
        <f>CLIENTES!AM72</f>
        <v>0</v>
      </c>
      <c r="AL43" s="200">
        <f>CLIENTES!AN72</f>
        <v>0</v>
      </c>
      <c r="AM43" s="200">
        <f>CLIENTES!AO72</f>
        <v>0</v>
      </c>
      <c r="AN43" s="200">
        <f>CLIENTES!AP72</f>
        <v>0</v>
      </c>
      <c r="AO43" s="200">
        <f>CLIENTES!AQ72</f>
        <v>0</v>
      </c>
      <c r="AP43" s="200">
        <f>CLIENTES!AR72</f>
        <v>0</v>
      </c>
      <c r="AQ43" s="200">
        <f>CLIENTES!AS72</f>
        <v>0</v>
      </c>
      <c r="AR43" s="200">
        <f>CLIENTES!AT72</f>
        <v>0</v>
      </c>
      <c r="AS43" s="200">
        <f>CLIENTES!AU72</f>
        <v>0</v>
      </c>
      <c r="AT43" s="200">
        <f>CLIENTES!AV72</f>
        <v>0</v>
      </c>
      <c r="AU43" s="200">
        <f>CLIENTES!AW72</f>
        <v>0</v>
      </c>
      <c r="AV43" s="200">
        <f>CLIENTES!AX72</f>
        <v>0</v>
      </c>
      <c r="AW43" s="200">
        <f>CLIENTES!AY72</f>
        <v>0</v>
      </c>
      <c r="AX43" s="200">
        <f>CLIENTES!AZ72</f>
        <v>0</v>
      </c>
      <c r="AY43" s="200">
        <f>CLIENTES!BA72</f>
        <v>0</v>
      </c>
      <c r="AZ43" s="215">
        <f>CLIENTES!BB72</f>
        <v>0</v>
      </c>
      <c r="BA43" s="200">
        <f>CLIENTES!BC72</f>
        <v>0</v>
      </c>
      <c r="BB43" s="200">
        <f>CLIENTES!BD72</f>
        <v>0</v>
      </c>
      <c r="BC43" s="200">
        <f>CLIENTES!BE72</f>
        <v>0</v>
      </c>
      <c r="BD43" s="200">
        <f>CLIENTES!BF72</f>
        <v>0</v>
      </c>
      <c r="BE43" s="200">
        <f>CLIENTES!BG72</f>
        <v>0</v>
      </c>
      <c r="BF43" s="200">
        <f>CLIENTES!BH72</f>
        <v>0</v>
      </c>
      <c r="BG43" s="200">
        <f>CLIENTES!BI72</f>
        <v>0</v>
      </c>
      <c r="BH43" s="200">
        <f>CLIENTES!BJ72</f>
        <v>0</v>
      </c>
      <c r="BI43" s="200">
        <f>CLIENTES!BK72</f>
        <v>0</v>
      </c>
      <c r="BJ43" s="200">
        <f>CLIENTES!BL72</f>
        <v>0</v>
      </c>
      <c r="BK43" s="200">
        <f>CLIENTES!BM72</f>
        <v>0</v>
      </c>
      <c r="BL43" s="200">
        <f>CLIENTES!BN72</f>
        <v>0</v>
      </c>
    </row>
    <row r="44" spans="2:84" x14ac:dyDescent="0.2">
      <c r="B44" s="326"/>
      <c r="C44" s="58" t="s">
        <v>23</v>
      </c>
      <c r="D44" s="27">
        <f>SUM(E44:BL44)</f>
        <v>0</v>
      </c>
      <c r="E44" s="132">
        <v>0</v>
      </c>
      <c r="F44" s="132">
        <f t="shared" ref="F44:BL44" si="16">(F40+F41-F42)*F43</f>
        <v>0</v>
      </c>
      <c r="G44" s="132">
        <f t="shared" si="16"/>
        <v>0</v>
      </c>
      <c r="H44" s="132">
        <f t="shared" si="16"/>
        <v>0</v>
      </c>
      <c r="I44" s="132">
        <f t="shared" si="16"/>
        <v>0</v>
      </c>
      <c r="J44" s="132">
        <f t="shared" si="16"/>
        <v>0</v>
      </c>
      <c r="K44" s="132">
        <f t="shared" si="16"/>
        <v>0</v>
      </c>
      <c r="L44" s="132">
        <f t="shared" si="16"/>
        <v>0</v>
      </c>
      <c r="M44" s="132">
        <f t="shared" si="16"/>
        <v>0</v>
      </c>
      <c r="N44" s="132">
        <f t="shared" si="16"/>
        <v>0</v>
      </c>
      <c r="O44" s="132">
        <f t="shared" si="16"/>
        <v>0</v>
      </c>
      <c r="P44" s="132">
        <f t="shared" si="16"/>
        <v>0</v>
      </c>
      <c r="Q44" s="132">
        <v>0</v>
      </c>
      <c r="R44" s="132">
        <v>0</v>
      </c>
      <c r="S44" s="132">
        <f t="shared" si="16"/>
        <v>0</v>
      </c>
      <c r="T44" s="132">
        <f t="shared" si="16"/>
        <v>0</v>
      </c>
      <c r="U44" s="132">
        <f t="shared" si="16"/>
        <v>0</v>
      </c>
      <c r="V44" s="132">
        <v>0</v>
      </c>
      <c r="W44" s="132">
        <f t="shared" si="16"/>
        <v>0</v>
      </c>
      <c r="X44" s="132">
        <f t="shared" si="16"/>
        <v>0</v>
      </c>
      <c r="Y44" s="132">
        <f t="shared" si="16"/>
        <v>0</v>
      </c>
      <c r="Z44" s="132">
        <v>0</v>
      </c>
      <c r="AA44" s="132">
        <f t="shared" si="16"/>
        <v>0</v>
      </c>
      <c r="AB44" s="132">
        <f t="shared" si="16"/>
        <v>0</v>
      </c>
      <c r="AC44" s="132">
        <f t="shared" si="16"/>
        <v>0</v>
      </c>
      <c r="AD44" s="132">
        <v>0</v>
      </c>
      <c r="AE44" s="132">
        <f t="shared" si="16"/>
        <v>0</v>
      </c>
      <c r="AF44" s="132">
        <f t="shared" si="16"/>
        <v>0</v>
      </c>
      <c r="AG44" s="132">
        <f t="shared" si="16"/>
        <v>0</v>
      </c>
      <c r="AH44" s="132">
        <f t="shared" si="16"/>
        <v>0</v>
      </c>
      <c r="AI44" s="132">
        <f t="shared" si="16"/>
        <v>0</v>
      </c>
      <c r="AJ44" s="132">
        <f t="shared" si="16"/>
        <v>0</v>
      </c>
      <c r="AK44" s="132">
        <v>0</v>
      </c>
      <c r="AL44" s="132">
        <v>0</v>
      </c>
      <c r="AM44" s="132">
        <f t="shared" si="16"/>
        <v>0</v>
      </c>
      <c r="AN44" s="132">
        <f t="shared" si="16"/>
        <v>0</v>
      </c>
      <c r="AO44" s="132">
        <f t="shared" si="16"/>
        <v>0</v>
      </c>
      <c r="AP44" s="132">
        <f t="shared" si="16"/>
        <v>0</v>
      </c>
      <c r="AQ44" s="132">
        <f t="shared" si="16"/>
        <v>0</v>
      </c>
      <c r="AR44" s="132">
        <f t="shared" si="16"/>
        <v>0</v>
      </c>
      <c r="AS44" s="132">
        <v>0</v>
      </c>
      <c r="AT44" s="132">
        <v>0</v>
      </c>
      <c r="AU44" s="132">
        <f t="shared" si="16"/>
        <v>0</v>
      </c>
      <c r="AV44" s="132">
        <f t="shared" si="16"/>
        <v>0</v>
      </c>
      <c r="AW44" s="132">
        <v>0</v>
      </c>
      <c r="AX44" s="132">
        <f t="shared" si="16"/>
        <v>0</v>
      </c>
      <c r="AY44" s="132">
        <f t="shared" si="16"/>
        <v>0</v>
      </c>
      <c r="AZ44" s="139">
        <f t="shared" si="16"/>
        <v>0</v>
      </c>
      <c r="BA44" s="132">
        <f t="shared" si="16"/>
        <v>0</v>
      </c>
      <c r="BB44" s="132">
        <f t="shared" si="16"/>
        <v>0</v>
      </c>
      <c r="BC44" s="132">
        <f t="shared" si="16"/>
        <v>0</v>
      </c>
      <c r="BD44" s="132">
        <f t="shared" si="16"/>
        <v>0</v>
      </c>
      <c r="BE44" s="132">
        <f t="shared" si="16"/>
        <v>0</v>
      </c>
      <c r="BF44" s="132">
        <f t="shared" si="16"/>
        <v>0</v>
      </c>
      <c r="BG44" s="132">
        <f t="shared" si="16"/>
        <v>0</v>
      </c>
      <c r="BH44" s="132">
        <v>0</v>
      </c>
      <c r="BI44" s="132">
        <f t="shared" si="16"/>
        <v>0</v>
      </c>
      <c r="BJ44" s="132">
        <f t="shared" si="16"/>
        <v>0</v>
      </c>
      <c r="BK44" s="132">
        <v>0</v>
      </c>
      <c r="BL44" s="132">
        <f t="shared" si="16"/>
        <v>0</v>
      </c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</row>
    <row r="45" spans="2:84" ht="13.5" thickBot="1" x14ac:dyDescent="0.25">
      <c r="B45" s="327"/>
      <c r="C45" s="25" t="s">
        <v>22</v>
      </c>
      <c r="D45" s="30">
        <f>SUM(E45:BL45)</f>
        <v>573578.67153243104</v>
      </c>
      <c r="E45" s="146">
        <f>+E40-E42+E41+E44</f>
        <v>270000</v>
      </c>
      <c r="F45" s="146">
        <f t="shared" ref="F45:BL45" si="17">+F40-F42+F41+F44</f>
        <v>303578.67153243104</v>
      </c>
      <c r="G45" s="146">
        <f t="shared" si="17"/>
        <v>0</v>
      </c>
      <c r="H45" s="146">
        <f t="shared" si="17"/>
        <v>0</v>
      </c>
      <c r="I45" s="146">
        <f t="shared" si="17"/>
        <v>0</v>
      </c>
      <c r="J45" s="146">
        <f t="shared" si="17"/>
        <v>0</v>
      </c>
      <c r="K45" s="146">
        <f t="shared" si="17"/>
        <v>0</v>
      </c>
      <c r="L45" s="146">
        <f t="shared" si="17"/>
        <v>0</v>
      </c>
      <c r="M45" s="146">
        <f t="shared" si="17"/>
        <v>0</v>
      </c>
      <c r="N45" s="146">
        <f t="shared" si="17"/>
        <v>0</v>
      </c>
      <c r="O45" s="146">
        <f t="shared" si="17"/>
        <v>0</v>
      </c>
      <c r="P45" s="146">
        <f t="shared" si="17"/>
        <v>0</v>
      </c>
      <c r="Q45" s="146">
        <f t="shared" si="17"/>
        <v>0</v>
      </c>
      <c r="R45" s="146">
        <f t="shared" si="17"/>
        <v>0</v>
      </c>
      <c r="S45" s="146">
        <f t="shared" si="17"/>
        <v>0</v>
      </c>
      <c r="T45" s="146">
        <f t="shared" si="17"/>
        <v>0</v>
      </c>
      <c r="U45" s="146">
        <f t="shared" si="17"/>
        <v>0</v>
      </c>
      <c r="V45" s="146">
        <f t="shared" si="17"/>
        <v>0</v>
      </c>
      <c r="W45" s="146">
        <f t="shared" si="17"/>
        <v>0</v>
      </c>
      <c r="X45" s="146">
        <f t="shared" si="17"/>
        <v>0</v>
      </c>
      <c r="Y45" s="146">
        <f t="shared" si="17"/>
        <v>0</v>
      </c>
      <c r="Z45" s="146">
        <f t="shared" si="17"/>
        <v>0</v>
      </c>
      <c r="AA45" s="146">
        <f t="shared" si="17"/>
        <v>0</v>
      </c>
      <c r="AB45" s="146">
        <f t="shared" si="17"/>
        <v>0</v>
      </c>
      <c r="AC45" s="146">
        <f t="shared" si="17"/>
        <v>0</v>
      </c>
      <c r="AD45" s="146">
        <f t="shared" si="17"/>
        <v>0</v>
      </c>
      <c r="AE45" s="146">
        <f t="shared" si="17"/>
        <v>0</v>
      </c>
      <c r="AF45" s="146">
        <f t="shared" si="17"/>
        <v>0</v>
      </c>
      <c r="AG45" s="146">
        <f t="shared" si="17"/>
        <v>0</v>
      </c>
      <c r="AH45" s="146">
        <f t="shared" si="17"/>
        <v>0</v>
      </c>
      <c r="AI45" s="146">
        <f t="shared" si="17"/>
        <v>0</v>
      </c>
      <c r="AJ45" s="146">
        <f t="shared" si="17"/>
        <v>0</v>
      </c>
      <c r="AK45" s="146">
        <f t="shared" si="17"/>
        <v>0</v>
      </c>
      <c r="AL45" s="146">
        <f t="shared" si="17"/>
        <v>0</v>
      </c>
      <c r="AM45" s="146">
        <f t="shared" si="17"/>
        <v>0</v>
      </c>
      <c r="AN45" s="146">
        <f t="shared" si="17"/>
        <v>0</v>
      </c>
      <c r="AO45" s="146">
        <f t="shared" si="17"/>
        <v>0</v>
      </c>
      <c r="AP45" s="146">
        <f t="shared" si="17"/>
        <v>0</v>
      </c>
      <c r="AQ45" s="146">
        <f t="shared" si="17"/>
        <v>0</v>
      </c>
      <c r="AR45" s="146">
        <f t="shared" si="17"/>
        <v>0</v>
      </c>
      <c r="AS45" s="146">
        <f t="shared" si="17"/>
        <v>0</v>
      </c>
      <c r="AT45" s="146">
        <f t="shared" si="17"/>
        <v>0</v>
      </c>
      <c r="AU45" s="146">
        <f t="shared" si="17"/>
        <v>0</v>
      </c>
      <c r="AV45" s="146">
        <f t="shared" si="17"/>
        <v>0</v>
      </c>
      <c r="AW45" s="146">
        <f t="shared" si="17"/>
        <v>0</v>
      </c>
      <c r="AX45" s="146">
        <f t="shared" si="17"/>
        <v>0</v>
      </c>
      <c r="AY45" s="146">
        <f t="shared" si="17"/>
        <v>0</v>
      </c>
      <c r="AZ45" s="146">
        <f t="shared" si="17"/>
        <v>0</v>
      </c>
      <c r="BA45" s="146">
        <f t="shared" si="17"/>
        <v>0</v>
      </c>
      <c r="BB45" s="146">
        <f t="shared" si="17"/>
        <v>0</v>
      </c>
      <c r="BC45" s="146">
        <f t="shared" si="17"/>
        <v>0</v>
      </c>
      <c r="BD45" s="146">
        <f t="shared" si="17"/>
        <v>0</v>
      </c>
      <c r="BE45" s="146">
        <f t="shared" si="17"/>
        <v>0</v>
      </c>
      <c r="BF45" s="146">
        <f t="shared" si="17"/>
        <v>0</v>
      </c>
      <c r="BG45" s="146">
        <f t="shared" si="17"/>
        <v>0</v>
      </c>
      <c r="BH45" s="146">
        <f t="shared" si="17"/>
        <v>0</v>
      </c>
      <c r="BI45" s="146">
        <f t="shared" si="17"/>
        <v>0</v>
      </c>
      <c r="BJ45" s="146">
        <f t="shared" si="17"/>
        <v>0</v>
      </c>
      <c r="BK45" s="146">
        <f t="shared" si="17"/>
        <v>0</v>
      </c>
      <c r="BL45" s="146">
        <f t="shared" si="17"/>
        <v>0</v>
      </c>
    </row>
    <row r="46" spans="2:84" ht="13.5" thickBot="1" x14ac:dyDescent="0.25">
      <c r="B46" s="325">
        <v>43800</v>
      </c>
      <c r="C46" s="62" t="s">
        <v>6</v>
      </c>
      <c r="D46" s="31">
        <f>SUM(E46:BL46)</f>
        <v>95000</v>
      </c>
      <c r="E46" s="285" cm="1">
        <f t="array" ref="E46">_xlfn._xlws.FILTER(CLIENTES!$E77:$BO77,(CLIENTES!$E$5:$BO$5=E$5)*(CLIENTES!$E$9:$BO$9="VENDA"),0)</f>
        <v>45000</v>
      </c>
      <c r="F46" s="285" cm="1">
        <f t="array" ref="F46">_xlfn._xlws.FILTER(CLIENTES!$E77:$BO77,(CLIENTES!$E$5:$BO$5=F$5)*(CLIENTES!$E$9:$BO$9="VENDA"),0)</f>
        <v>50000</v>
      </c>
      <c r="G46" s="285" cm="1">
        <f t="array" ref="G46">_xlfn._xlws.FILTER(CLIENTES!$E77:$BO77,(CLIENTES!$E$5:$BO$5=G$5)*(CLIENTES!$E$9:$BO$9="VENDA"),0)</f>
        <v>0</v>
      </c>
      <c r="H46" s="285" cm="1">
        <f t="array" ref="H46">_xlfn._xlws.FILTER(CLIENTES!$E77:$BO77,(CLIENTES!$E$5:$BO$5=H$5)*(CLIENTES!$E$9:$BO$9="VENDA"),0)</f>
        <v>0</v>
      </c>
      <c r="I46" s="285" cm="1">
        <f t="array" ref="I46">_xlfn._xlws.FILTER(CLIENTES!$E77:$BO77,(CLIENTES!$E$5:$BO$5=I$5)*(CLIENTES!$E$9:$BO$9="VENDA"),0)</f>
        <v>0</v>
      </c>
      <c r="J46" s="285" cm="1">
        <f t="array" ref="J46">_xlfn._xlws.FILTER(CLIENTES!$E77:$BO77,(CLIENTES!$E$5:$BO$5=J$5)*(CLIENTES!$E$9:$BO$9="VENDA"),0)</f>
        <v>0</v>
      </c>
      <c r="K46" s="285" cm="1">
        <f t="array" ref="K46">_xlfn._xlws.FILTER(CLIENTES!$E77:$BO77,(CLIENTES!$E$5:$BO$5=K$5)*(CLIENTES!$E$9:$BO$9="VENDA"),0)</f>
        <v>0</v>
      </c>
      <c r="L46" s="285" cm="1">
        <f t="array" ref="L46">_xlfn._xlws.FILTER(CLIENTES!$E77:$BO77,(CLIENTES!$E$5:$BO$5=L$5)*(CLIENTES!$E$9:$BO$9="VENDA"),0)</f>
        <v>0</v>
      </c>
      <c r="M46" s="285" cm="1">
        <f t="array" ref="M46">_xlfn._xlws.FILTER(CLIENTES!$E77:$BO77,(CLIENTES!$E$5:$BO$5=M$5)*(CLIENTES!$E$9:$BO$9="VENDA"),0)</f>
        <v>0</v>
      </c>
      <c r="N46" s="285" cm="1">
        <f t="array" ref="N46">_xlfn._xlws.FILTER(CLIENTES!$E77:$BO77,(CLIENTES!$E$5:$BO$5=N$5)*(CLIENTES!$E$9:$BO$9="VENDA"),0)</f>
        <v>0</v>
      </c>
      <c r="O46" s="285" cm="1">
        <f t="array" ref="O46">_xlfn._xlws.FILTER(CLIENTES!$E77:$BO77,(CLIENTES!$E$5:$BO$5=O$5)*(CLIENTES!$E$9:$BO$9="VENDA"),0)</f>
        <v>0</v>
      </c>
      <c r="P46" s="285" cm="1">
        <f t="array" ref="P46">_xlfn._xlws.FILTER(CLIENTES!$E77:$BO77,(CLIENTES!$E$5:$BO$5=P$5)*(CLIENTES!$E$9:$BO$9="VENDA"),0)</f>
        <v>0</v>
      </c>
      <c r="Q46" s="285" cm="1">
        <f t="array" ref="Q46">_xlfn._xlws.FILTER(CLIENTES!$E77:$BO77,(CLIENTES!$E$5:$BO$5=Q$5)*(CLIENTES!$E$9:$BO$9="VENDA"),0)</f>
        <v>0</v>
      </c>
      <c r="R46" s="285" cm="1">
        <f t="array" ref="R46">_xlfn._xlws.FILTER(CLIENTES!$E77:$BO77,(CLIENTES!$E$5:$BO$5=R$5)*(CLIENTES!$E$9:$BO$9="VENDA"),0)</f>
        <v>0</v>
      </c>
      <c r="S46" s="285" cm="1">
        <f t="array" ref="S46">_xlfn._xlws.FILTER(CLIENTES!$E77:$BO77,(CLIENTES!$E$5:$BO$5=S$5)*(CLIENTES!$E$9:$BO$9="VENDA"),0)</f>
        <v>0</v>
      </c>
      <c r="T46" s="285" cm="1">
        <f t="array" ref="T46">_xlfn._xlws.FILTER(CLIENTES!$E77:$BO77,(CLIENTES!$E$5:$BO$5=T$5)*(CLIENTES!$E$9:$BO$9="VENDA"),0)</f>
        <v>0</v>
      </c>
      <c r="U46" s="285" cm="1">
        <f t="array" ref="U46">_xlfn._xlws.FILTER(CLIENTES!$E77:$BO77,(CLIENTES!$E$5:$BO$5=U$5)*(CLIENTES!$E$9:$BO$9="VENDA"),0)</f>
        <v>0</v>
      </c>
      <c r="V46" s="285" cm="1">
        <f t="array" ref="V46">_xlfn._xlws.FILTER(CLIENTES!$E77:$BO77,(CLIENTES!$E$5:$BO$5=V$5)*(CLIENTES!$E$9:$BO$9="VENDA"),0)</f>
        <v>0</v>
      </c>
      <c r="W46" s="285" cm="1">
        <f t="array" ref="W46">_xlfn._xlws.FILTER(CLIENTES!$E77:$BO77,(CLIENTES!$E$5:$BO$5=W$5)*(CLIENTES!$E$9:$BO$9="VENDA"),0)</f>
        <v>0</v>
      </c>
      <c r="X46" s="285" cm="1">
        <f t="array" ref="X46">_xlfn._xlws.FILTER(CLIENTES!$E77:$BO77,(CLIENTES!$E$5:$BO$5=X$5)*(CLIENTES!$E$9:$BO$9="VENDA"),0)</f>
        <v>0</v>
      </c>
      <c r="Y46" s="285" cm="1">
        <f t="array" ref="Y46">_xlfn._xlws.FILTER(CLIENTES!$E77:$BO77,(CLIENTES!$E$5:$BO$5=Y$5)*(CLIENTES!$E$9:$BO$9="VENDA"),0)</f>
        <v>0</v>
      </c>
      <c r="Z46" s="285" cm="1">
        <f t="array" ref="Z46">_xlfn._xlws.FILTER(CLIENTES!$E77:$BO77,(CLIENTES!$E$5:$BO$5=Z$5)*(CLIENTES!$E$9:$BO$9="VENDA"),0)</f>
        <v>0</v>
      </c>
      <c r="AA46" s="285" cm="1">
        <f t="array" ref="AA46">_xlfn._xlws.FILTER(CLIENTES!$E77:$BO77,(CLIENTES!$E$5:$BO$5=AA$5)*(CLIENTES!$E$9:$BO$9="VENDA"),0)</f>
        <v>0</v>
      </c>
      <c r="AB46" s="285" cm="1">
        <f t="array" ref="AB46">_xlfn._xlws.FILTER(CLIENTES!$E77:$BO77,(CLIENTES!$E$5:$BO$5=AB$5)*(CLIENTES!$E$9:$BO$9="VENDA"),0)</f>
        <v>0</v>
      </c>
      <c r="AC46" s="285" cm="1">
        <f t="array" ref="AC46">_xlfn._xlws.FILTER(CLIENTES!$E77:$BO77,(CLIENTES!$E$5:$BO$5=AC$5)*(CLIENTES!$E$9:$BO$9="VENDA"),0)</f>
        <v>0</v>
      </c>
      <c r="AD46" s="285" cm="1">
        <f t="array" ref="AD46">_xlfn._xlws.FILTER(CLIENTES!$E77:$BO77,(CLIENTES!$E$5:$BO$5=AD$5)*(CLIENTES!$E$9:$BO$9="VENDA"),0)</f>
        <v>0</v>
      </c>
      <c r="AE46" s="285" cm="1">
        <f t="array" ref="AE46">_xlfn._xlws.FILTER(CLIENTES!$E77:$BO77,(CLIENTES!$E$5:$BO$5=AE$5)*(CLIENTES!$E$9:$BO$9="VENDA"),0)</f>
        <v>0</v>
      </c>
      <c r="AF46" s="285" cm="1">
        <f t="array" ref="AF46">_xlfn._xlws.FILTER(CLIENTES!$E77:$BO77,(CLIENTES!$E$5:$BO$5=AF$5)*(CLIENTES!$E$9:$BO$9="VENDA"),0)</f>
        <v>0</v>
      </c>
      <c r="AG46" s="285" cm="1">
        <f t="array" ref="AG46">_xlfn._xlws.FILTER(CLIENTES!$E77:$BO77,(CLIENTES!$E$5:$BO$5=AG$5)*(CLIENTES!$E$9:$BO$9="VENDA"),0)</f>
        <v>0</v>
      </c>
      <c r="AH46" s="285" cm="1">
        <f t="array" ref="AH46">_xlfn._xlws.FILTER(CLIENTES!$E77:$BO77,(CLIENTES!$E$5:$BO$5=AH$5)*(CLIENTES!$E$9:$BO$9="VENDA"),0)</f>
        <v>0</v>
      </c>
      <c r="AI46" s="285" cm="1">
        <f t="array" ref="AI46">_xlfn._xlws.FILTER(CLIENTES!$E77:$BO77,(CLIENTES!$E$5:$BO$5=AI$5)*(CLIENTES!$E$9:$BO$9="VENDA"),0)</f>
        <v>0</v>
      </c>
      <c r="AJ46" s="285" cm="1">
        <f t="array" ref="AJ46">_xlfn._xlws.FILTER(CLIENTES!$E77:$BO77,(CLIENTES!$E$5:$BO$5=AJ$5)*(CLIENTES!$E$9:$BO$9="VENDA"),0)</f>
        <v>0</v>
      </c>
      <c r="AK46" s="285" cm="1">
        <f t="array" ref="AK46">_xlfn._xlws.FILTER(CLIENTES!$E77:$BO77,(CLIENTES!$E$5:$BO$5=AK$5)*(CLIENTES!$E$9:$BO$9="VENDA"),0)</f>
        <v>0</v>
      </c>
      <c r="AL46" s="285" cm="1">
        <f t="array" ref="AL46">_xlfn._xlws.FILTER(CLIENTES!$E77:$BO77,(CLIENTES!$E$5:$BO$5=AL$5)*(CLIENTES!$E$9:$BO$9="VENDA"),0)</f>
        <v>0</v>
      </c>
      <c r="AM46" s="285" cm="1">
        <f t="array" ref="AM46">_xlfn._xlws.FILTER(CLIENTES!$E77:$BO77,(CLIENTES!$E$5:$BO$5=AM$5)*(CLIENTES!$E$9:$BO$9="VENDA"),0)</f>
        <v>0</v>
      </c>
      <c r="AN46" s="285" cm="1">
        <f t="array" ref="AN46">_xlfn._xlws.FILTER(CLIENTES!$E77:$BO77,(CLIENTES!$E$5:$BO$5=AN$5)*(CLIENTES!$E$9:$BO$9="VENDA"),0)</f>
        <v>0</v>
      </c>
      <c r="AO46" s="285" cm="1">
        <f t="array" ref="AO46">_xlfn._xlws.FILTER(CLIENTES!$E77:$BO77,(CLIENTES!$E$5:$BO$5=AO$5)*(CLIENTES!$E$9:$BO$9="VENDA"),0)</f>
        <v>0</v>
      </c>
      <c r="AP46" s="285" cm="1">
        <f t="array" ref="AP46">_xlfn._xlws.FILTER(CLIENTES!$E77:$BO77,(CLIENTES!$E$5:$BO$5=AP$5)*(CLIENTES!$E$9:$BO$9="VENDA"),0)</f>
        <v>0</v>
      </c>
      <c r="AQ46" s="285" cm="1">
        <f t="array" ref="AQ46">_xlfn._xlws.FILTER(CLIENTES!$E77:$BO77,(CLIENTES!$E$5:$BO$5=AQ$5)*(CLIENTES!$E$9:$BO$9="VENDA"),0)</f>
        <v>0</v>
      </c>
      <c r="AR46" s="285" cm="1">
        <f t="array" ref="AR46">_xlfn._xlws.FILTER(CLIENTES!$E77:$BO77,(CLIENTES!$E$5:$BO$5=AR$5)*(CLIENTES!$E$9:$BO$9="VENDA"),0)</f>
        <v>0</v>
      </c>
      <c r="AS46" s="285" cm="1">
        <f t="array" ref="AS46">_xlfn._xlws.FILTER(CLIENTES!$E77:$BO77,(CLIENTES!$E$5:$BO$5=AS$5)*(CLIENTES!$E$9:$BO$9="VENDA"),0)</f>
        <v>0</v>
      </c>
      <c r="AT46" s="285" cm="1">
        <f t="array" ref="AT46">_xlfn._xlws.FILTER(CLIENTES!$E77:$BO77,(CLIENTES!$E$5:$BO$5=AT$5)*(CLIENTES!$E$9:$BO$9="VENDA"),0)</f>
        <v>0</v>
      </c>
      <c r="AU46" s="285" cm="1">
        <f t="array" ref="AU46">_xlfn._xlws.FILTER(CLIENTES!$E77:$BO77,(CLIENTES!$E$5:$BO$5=AU$5)*(CLIENTES!$E$9:$BO$9="VENDA"),0)</f>
        <v>0</v>
      </c>
      <c r="AV46" s="285" cm="1">
        <f t="array" ref="AV46">_xlfn._xlws.FILTER(CLIENTES!$E77:$BO77,(CLIENTES!$E$5:$BO$5=AV$5)*(CLIENTES!$E$9:$BO$9="VENDA"),0)</f>
        <v>0</v>
      </c>
      <c r="AW46" s="285" cm="1">
        <f t="array" ref="AW46">_xlfn._xlws.FILTER(CLIENTES!$E77:$BO77,(CLIENTES!$E$5:$BO$5=AW$5)*(CLIENTES!$E$9:$BO$9="VENDA"),0)</f>
        <v>0</v>
      </c>
      <c r="AX46" s="285" cm="1">
        <f t="array" ref="AX46">_xlfn._xlws.FILTER(CLIENTES!$E77:$BO77,(CLIENTES!$E$5:$BO$5=AX$5)*(CLIENTES!$E$9:$BO$9="VENDA"),0)</f>
        <v>0</v>
      </c>
      <c r="AY46" s="285" cm="1">
        <f t="array" ref="AY46">_xlfn._xlws.FILTER(CLIENTES!$E77:$BO77,(CLIENTES!$E$5:$BO$5=AY$5)*(CLIENTES!$E$9:$BO$9="VENDA"),0)</f>
        <v>0</v>
      </c>
      <c r="AZ46" s="285" cm="1">
        <f t="array" ref="AZ46">_xlfn._xlws.FILTER(CLIENTES!$E77:$BO77,(CLIENTES!$E$5:$BO$5=AZ$5)*(CLIENTES!$E$9:$BO$9="VENDA"),0)</f>
        <v>0</v>
      </c>
      <c r="BA46" s="285" cm="1">
        <f t="array" ref="BA46">_xlfn._xlws.FILTER(CLIENTES!$E77:$BO77,(CLIENTES!$E$5:$BO$5=BA$5)*(CLIENTES!$E$9:$BO$9="VENDA"),0)</f>
        <v>0</v>
      </c>
      <c r="BB46" s="285" cm="1">
        <f t="array" ref="BB46">_xlfn._xlws.FILTER(CLIENTES!$E77:$BO77,(CLIENTES!$E$5:$BO$5=BB$5)*(CLIENTES!$E$9:$BO$9="VENDA"),0)</f>
        <v>0</v>
      </c>
      <c r="BC46" s="285" cm="1">
        <f t="array" ref="BC46">_xlfn._xlws.FILTER(CLIENTES!$E77:$BO77,(CLIENTES!$E$5:$BO$5=BC$5)*(CLIENTES!$E$9:$BO$9="VENDA"),0)</f>
        <v>0</v>
      </c>
      <c r="BD46" s="285" cm="1">
        <f t="array" ref="BD46">_xlfn._xlws.FILTER(CLIENTES!$E77:$BO77,(CLIENTES!$E$5:$BO$5=BD$5)*(CLIENTES!$E$9:$BO$9="VENDA"),0)</f>
        <v>0</v>
      </c>
      <c r="BE46" s="285" cm="1">
        <f t="array" ref="BE46">_xlfn._xlws.FILTER(CLIENTES!$E77:$BO77,(CLIENTES!$E$5:$BO$5=BE$5)*(CLIENTES!$E$9:$BO$9="VENDA"),0)</f>
        <v>0</v>
      </c>
      <c r="BF46" s="285" cm="1">
        <f t="array" ref="BF46">_xlfn._xlws.FILTER(CLIENTES!$E77:$BO77,(CLIENTES!$E$5:$BO$5=BF$5)*(CLIENTES!$E$9:$BO$9="VENDA"),0)</f>
        <v>0</v>
      </c>
      <c r="BG46" s="285" cm="1">
        <f t="array" ref="BG46">_xlfn._xlws.FILTER(CLIENTES!$E77:$BO77,(CLIENTES!$E$5:$BO$5=BG$5)*(CLIENTES!$E$9:$BO$9="VENDA"),0)</f>
        <v>0</v>
      </c>
      <c r="BH46" s="285" cm="1">
        <f t="array" ref="BH46">_xlfn._xlws.FILTER(CLIENTES!$E77:$BO77,(CLIENTES!$E$5:$BO$5=BH$5)*(CLIENTES!$E$9:$BO$9="VENDA"),0)</f>
        <v>0</v>
      </c>
      <c r="BI46" s="285" cm="1">
        <f t="array" ref="BI46">_xlfn._xlws.FILTER(CLIENTES!$E77:$BO77,(CLIENTES!$E$5:$BO$5=BI$5)*(CLIENTES!$E$9:$BO$9="VENDA"),0)</f>
        <v>0</v>
      </c>
      <c r="BJ46" s="285" cm="1">
        <f t="array" ref="BJ46">_xlfn._xlws.FILTER(CLIENTES!$E77:$BO77,(CLIENTES!$E$5:$BO$5=BJ$5)*(CLIENTES!$E$9:$BO$9="VENDA"),0)</f>
        <v>0</v>
      </c>
      <c r="BK46" s="285" cm="1">
        <f t="array" ref="BK46">_xlfn._xlws.FILTER(CLIENTES!$E77:$BO77,(CLIENTES!$E$5:$BO$5=BK$5)*(CLIENTES!$E$9:$BO$9="VENDA"),0)</f>
        <v>0</v>
      </c>
      <c r="BL46" s="285" cm="1">
        <f t="array" ref="BL46">_xlfn._xlws.FILTER(CLIENTES!$E77:$BO77,(CLIENTES!$E$5:$BO$5=BL$5)*(CLIENTES!$E$9:$BO$9="VENDA"),0)</f>
        <v>0</v>
      </c>
    </row>
    <row r="47" spans="2:84" ht="13.5" thickBot="1" x14ac:dyDescent="0.25">
      <c r="B47" s="326"/>
      <c r="C47" s="23" t="s">
        <v>9</v>
      </c>
      <c r="D47" s="27">
        <f>SUM(E47:BL47)</f>
        <v>0</v>
      </c>
      <c r="E47" s="285" cm="1">
        <f t="array" ref="E47">_xlfn._xlws.FILTER(CLIENTES!$E78:$BO78,(CLIENTES!$E$5:$BO$5=E$5)*(CLIENTES!$E$9:$BO$9="VENDA"),0)</f>
        <v>0</v>
      </c>
      <c r="F47" s="285" cm="1">
        <f t="array" ref="F47">_xlfn._xlws.FILTER(CLIENTES!$E78:$BO78,(CLIENTES!$E$5:$BO$5=F$5)*(CLIENTES!$E$9:$BO$9="VENDA"),0)</f>
        <v>0</v>
      </c>
      <c r="G47" s="285" cm="1">
        <f t="array" ref="G47">_xlfn._xlws.FILTER(CLIENTES!$E78:$BO78,(CLIENTES!$E$5:$BO$5=G$5)*(CLIENTES!$E$9:$BO$9="VENDA"),0)</f>
        <v>0</v>
      </c>
      <c r="H47" s="285" cm="1">
        <f t="array" ref="H47">_xlfn._xlws.FILTER(CLIENTES!$E78:$BO78,(CLIENTES!$E$5:$BO$5=H$5)*(CLIENTES!$E$9:$BO$9="VENDA"),0)</f>
        <v>0</v>
      </c>
      <c r="I47" s="285" cm="1">
        <f t="array" ref="I47">_xlfn._xlws.FILTER(CLIENTES!$E78:$BO78,(CLIENTES!$E$5:$BO$5=I$5)*(CLIENTES!$E$9:$BO$9="VENDA"),0)</f>
        <v>0</v>
      </c>
      <c r="J47" s="285" cm="1">
        <f t="array" ref="J47">_xlfn._xlws.FILTER(CLIENTES!$E78:$BO78,(CLIENTES!$E$5:$BO$5=J$5)*(CLIENTES!$E$9:$BO$9="VENDA"),0)</f>
        <v>0</v>
      </c>
      <c r="K47" s="285" cm="1">
        <f t="array" ref="K47">_xlfn._xlws.FILTER(CLIENTES!$E78:$BO78,(CLIENTES!$E$5:$BO$5=K$5)*(CLIENTES!$E$9:$BO$9="VENDA"),0)</f>
        <v>0</v>
      </c>
      <c r="L47" s="285" cm="1">
        <f t="array" ref="L47">_xlfn._xlws.FILTER(CLIENTES!$E78:$BO78,(CLIENTES!$E$5:$BO$5=L$5)*(CLIENTES!$E$9:$BO$9="VENDA"),0)</f>
        <v>0</v>
      </c>
      <c r="M47" s="285" cm="1">
        <f t="array" ref="M47">_xlfn._xlws.FILTER(CLIENTES!$E78:$BO78,(CLIENTES!$E$5:$BO$5=M$5)*(CLIENTES!$E$9:$BO$9="VENDA"),0)</f>
        <v>0</v>
      </c>
      <c r="N47" s="285" cm="1">
        <f t="array" ref="N47">_xlfn._xlws.FILTER(CLIENTES!$E78:$BO78,(CLIENTES!$E$5:$BO$5=N$5)*(CLIENTES!$E$9:$BO$9="VENDA"),0)</f>
        <v>0</v>
      </c>
      <c r="O47" s="285" cm="1">
        <f t="array" ref="O47">_xlfn._xlws.FILTER(CLIENTES!$E78:$BO78,(CLIENTES!$E$5:$BO$5=O$5)*(CLIENTES!$E$9:$BO$9="VENDA"),0)</f>
        <v>0</v>
      </c>
      <c r="P47" s="285" cm="1">
        <f t="array" ref="P47">_xlfn._xlws.FILTER(CLIENTES!$E78:$BO78,(CLIENTES!$E$5:$BO$5=P$5)*(CLIENTES!$E$9:$BO$9="VENDA"),0)</f>
        <v>0</v>
      </c>
      <c r="Q47" s="285" cm="1">
        <f t="array" ref="Q47">_xlfn._xlws.FILTER(CLIENTES!$E78:$BO78,(CLIENTES!$E$5:$BO$5=Q$5)*(CLIENTES!$E$9:$BO$9="VENDA"),0)</f>
        <v>0</v>
      </c>
      <c r="R47" s="285" cm="1">
        <f t="array" ref="R47">_xlfn._xlws.FILTER(CLIENTES!$E78:$BO78,(CLIENTES!$E$5:$BO$5=R$5)*(CLIENTES!$E$9:$BO$9="VENDA"),0)</f>
        <v>0</v>
      </c>
      <c r="S47" s="285" cm="1">
        <f t="array" ref="S47">_xlfn._xlws.FILTER(CLIENTES!$E78:$BO78,(CLIENTES!$E$5:$BO$5=S$5)*(CLIENTES!$E$9:$BO$9="VENDA"),0)</f>
        <v>0</v>
      </c>
      <c r="T47" s="285" cm="1">
        <f t="array" ref="T47">_xlfn._xlws.FILTER(CLIENTES!$E78:$BO78,(CLIENTES!$E$5:$BO$5=T$5)*(CLIENTES!$E$9:$BO$9="VENDA"),0)</f>
        <v>0</v>
      </c>
      <c r="U47" s="285" cm="1">
        <f t="array" ref="U47">_xlfn._xlws.FILTER(CLIENTES!$E78:$BO78,(CLIENTES!$E$5:$BO$5=U$5)*(CLIENTES!$E$9:$BO$9="VENDA"),0)</f>
        <v>0</v>
      </c>
      <c r="V47" s="285" cm="1">
        <f t="array" ref="V47">_xlfn._xlws.FILTER(CLIENTES!$E78:$BO78,(CLIENTES!$E$5:$BO$5=V$5)*(CLIENTES!$E$9:$BO$9="VENDA"),0)</f>
        <v>0</v>
      </c>
      <c r="W47" s="285" cm="1">
        <f t="array" ref="W47">_xlfn._xlws.FILTER(CLIENTES!$E78:$BO78,(CLIENTES!$E$5:$BO$5=W$5)*(CLIENTES!$E$9:$BO$9="VENDA"),0)</f>
        <v>0</v>
      </c>
      <c r="X47" s="285" cm="1">
        <f t="array" ref="X47">_xlfn._xlws.FILTER(CLIENTES!$E78:$BO78,(CLIENTES!$E$5:$BO$5=X$5)*(CLIENTES!$E$9:$BO$9="VENDA"),0)</f>
        <v>0</v>
      </c>
      <c r="Y47" s="285" cm="1">
        <f t="array" ref="Y47">_xlfn._xlws.FILTER(CLIENTES!$E78:$BO78,(CLIENTES!$E$5:$BO$5=Y$5)*(CLIENTES!$E$9:$BO$9="VENDA"),0)</f>
        <v>0</v>
      </c>
      <c r="Z47" s="285" cm="1">
        <f t="array" ref="Z47">_xlfn._xlws.FILTER(CLIENTES!$E78:$BO78,(CLIENTES!$E$5:$BO$5=Z$5)*(CLIENTES!$E$9:$BO$9="VENDA"),0)</f>
        <v>0</v>
      </c>
      <c r="AA47" s="285" cm="1">
        <f t="array" ref="AA47">_xlfn._xlws.FILTER(CLIENTES!$E78:$BO78,(CLIENTES!$E$5:$BO$5=AA$5)*(CLIENTES!$E$9:$BO$9="VENDA"),0)</f>
        <v>0</v>
      </c>
      <c r="AB47" s="285" cm="1">
        <f t="array" ref="AB47">_xlfn._xlws.FILTER(CLIENTES!$E78:$BO78,(CLIENTES!$E$5:$BO$5=AB$5)*(CLIENTES!$E$9:$BO$9="VENDA"),0)</f>
        <v>0</v>
      </c>
      <c r="AC47" s="285" cm="1">
        <f t="array" ref="AC47">_xlfn._xlws.FILTER(CLIENTES!$E78:$BO78,(CLIENTES!$E$5:$BO$5=AC$5)*(CLIENTES!$E$9:$BO$9="VENDA"),0)</f>
        <v>0</v>
      </c>
      <c r="AD47" s="285" cm="1">
        <f t="array" ref="AD47">_xlfn._xlws.FILTER(CLIENTES!$E78:$BO78,(CLIENTES!$E$5:$BO$5=AD$5)*(CLIENTES!$E$9:$BO$9="VENDA"),0)</f>
        <v>0</v>
      </c>
      <c r="AE47" s="285" cm="1">
        <f t="array" ref="AE47">_xlfn._xlws.FILTER(CLIENTES!$E78:$BO78,(CLIENTES!$E$5:$BO$5=AE$5)*(CLIENTES!$E$9:$BO$9="VENDA"),0)</f>
        <v>0</v>
      </c>
      <c r="AF47" s="285" cm="1">
        <f t="array" ref="AF47">_xlfn._xlws.FILTER(CLIENTES!$E78:$BO78,(CLIENTES!$E$5:$BO$5=AF$5)*(CLIENTES!$E$9:$BO$9="VENDA"),0)</f>
        <v>0</v>
      </c>
      <c r="AG47" s="285" cm="1">
        <f t="array" ref="AG47">_xlfn._xlws.FILTER(CLIENTES!$E78:$BO78,(CLIENTES!$E$5:$BO$5=AG$5)*(CLIENTES!$E$9:$BO$9="VENDA"),0)</f>
        <v>0</v>
      </c>
      <c r="AH47" s="285" cm="1">
        <f t="array" ref="AH47">_xlfn._xlws.FILTER(CLIENTES!$E78:$BO78,(CLIENTES!$E$5:$BO$5=AH$5)*(CLIENTES!$E$9:$BO$9="VENDA"),0)</f>
        <v>0</v>
      </c>
      <c r="AI47" s="285" cm="1">
        <f t="array" ref="AI47">_xlfn._xlws.FILTER(CLIENTES!$E78:$BO78,(CLIENTES!$E$5:$BO$5=AI$5)*(CLIENTES!$E$9:$BO$9="VENDA"),0)</f>
        <v>0</v>
      </c>
      <c r="AJ47" s="285" cm="1">
        <f t="array" ref="AJ47">_xlfn._xlws.FILTER(CLIENTES!$E78:$BO78,(CLIENTES!$E$5:$BO$5=AJ$5)*(CLIENTES!$E$9:$BO$9="VENDA"),0)</f>
        <v>0</v>
      </c>
      <c r="AK47" s="285" cm="1">
        <f t="array" ref="AK47">_xlfn._xlws.FILTER(CLIENTES!$E78:$BO78,(CLIENTES!$E$5:$BO$5=AK$5)*(CLIENTES!$E$9:$BO$9="VENDA"),0)</f>
        <v>0</v>
      </c>
      <c r="AL47" s="285" cm="1">
        <f t="array" ref="AL47">_xlfn._xlws.FILTER(CLIENTES!$E78:$BO78,(CLIENTES!$E$5:$BO$5=AL$5)*(CLIENTES!$E$9:$BO$9="VENDA"),0)</f>
        <v>0</v>
      </c>
      <c r="AM47" s="285" cm="1">
        <f t="array" ref="AM47">_xlfn._xlws.FILTER(CLIENTES!$E78:$BO78,(CLIENTES!$E$5:$BO$5=AM$5)*(CLIENTES!$E$9:$BO$9="VENDA"),0)</f>
        <v>0</v>
      </c>
      <c r="AN47" s="285" cm="1">
        <f t="array" ref="AN47">_xlfn._xlws.FILTER(CLIENTES!$E78:$BO78,(CLIENTES!$E$5:$BO$5=AN$5)*(CLIENTES!$E$9:$BO$9="VENDA"),0)</f>
        <v>0</v>
      </c>
      <c r="AO47" s="285" cm="1">
        <f t="array" ref="AO47">_xlfn._xlws.FILTER(CLIENTES!$E78:$BO78,(CLIENTES!$E$5:$BO$5=AO$5)*(CLIENTES!$E$9:$BO$9="VENDA"),0)</f>
        <v>0</v>
      </c>
      <c r="AP47" s="285" cm="1">
        <f t="array" ref="AP47">_xlfn._xlws.FILTER(CLIENTES!$E78:$BO78,(CLIENTES!$E$5:$BO$5=AP$5)*(CLIENTES!$E$9:$BO$9="VENDA"),0)</f>
        <v>0</v>
      </c>
      <c r="AQ47" s="285" cm="1">
        <f t="array" ref="AQ47">_xlfn._xlws.FILTER(CLIENTES!$E78:$BO78,(CLIENTES!$E$5:$BO$5=AQ$5)*(CLIENTES!$E$9:$BO$9="VENDA"),0)</f>
        <v>0</v>
      </c>
      <c r="AR47" s="285" cm="1">
        <f t="array" ref="AR47">_xlfn._xlws.FILTER(CLIENTES!$E78:$BO78,(CLIENTES!$E$5:$BO$5=AR$5)*(CLIENTES!$E$9:$BO$9="VENDA"),0)</f>
        <v>0</v>
      </c>
      <c r="AS47" s="285" cm="1">
        <f t="array" ref="AS47">_xlfn._xlws.FILTER(CLIENTES!$E78:$BO78,(CLIENTES!$E$5:$BO$5=AS$5)*(CLIENTES!$E$9:$BO$9="VENDA"),0)</f>
        <v>0</v>
      </c>
      <c r="AT47" s="285" cm="1">
        <f t="array" ref="AT47">_xlfn._xlws.FILTER(CLIENTES!$E78:$BO78,(CLIENTES!$E$5:$BO$5=AT$5)*(CLIENTES!$E$9:$BO$9="VENDA"),0)</f>
        <v>0</v>
      </c>
      <c r="AU47" s="285" cm="1">
        <f t="array" ref="AU47">_xlfn._xlws.FILTER(CLIENTES!$E78:$BO78,(CLIENTES!$E$5:$BO$5=AU$5)*(CLIENTES!$E$9:$BO$9="VENDA"),0)</f>
        <v>0</v>
      </c>
      <c r="AV47" s="285" cm="1">
        <f t="array" ref="AV47">_xlfn._xlws.FILTER(CLIENTES!$E78:$BO78,(CLIENTES!$E$5:$BO$5=AV$5)*(CLIENTES!$E$9:$BO$9="VENDA"),0)</f>
        <v>0</v>
      </c>
      <c r="AW47" s="285" cm="1">
        <f t="array" ref="AW47">_xlfn._xlws.FILTER(CLIENTES!$E78:$BO78,(CLIENTES!$E$5:$BO$5=AW$5)*(CLIENTES!$E$9:$BO$9="VENDA"),0)</f>
        <v>0</v>
      </c>
      <c r="AX47" s="285" cm="1">
        <f t="array" ref="AX47">_xlfn._xlws.FILTER(CLIENTES!$E78:$BO78,(CLIENTES!$E$5:$BO$5=AX$5)*(CLIENTES!$E$9:$BO$9="VENDA"),0)</f>
        <v>0</v>
      </c>
      <c r="AY47" s="285" cm="1">
        <f t="array" ref="AY47">_xlfn._xlws.FILTER(CLIENTES!$E78:$BO78,(CLIENTES!$E$5:$BO$5=AY$5)*(CLIENTES!$E$9:$BO$9="VENDA"),0)</f>
        <v>0</v>
      </c>
      <c r="AZ47" s="285" cm="1">
        <f t="array" ref="AZ47">_xlfn._xlws.FILTER(CLIENTES!$E78:$BO78,(CLIENTES!$E$5:$BO$5=AZ$5)*(CLIENTES!$E$9:$BO$9="VENDA"),0)</f>
        <v>0</v>
      </c>
      <c r="BA47" s="285" cm="1">
        <f t="array" ref="BA47">_xlfn._xlws.FILTER(CLIENTES!$E78:$BO78,(CLIENTES!$E$5:$BO$5=BA$5)*(CLIENTES!$E$9:$BO$9="VENDA"),0)</f>
        <v>0</v>
      </c>
      <c r="BB47" s="285" cm="1">
        <f t="array" ref="BB47">_xlfn._xlws.FILTER(CLIENTES!$E78:$BO78,(CLIENTES!$E$5:$BO$5=BB$5)*(CLIENTES!$E$9:$BO$9="VENDA"),0)</f>
        <v>0</v>
      </c>
      <c r="BC47" s="285" cm="1">
        <f t="array" ref="BC47">_xlfn._xlws.FILTER(CLIENTES!$E78:$BO78,(CLIENTES!$E$5:$BO$5=BC$5)*(CLIENTES!$E$9:$BO$9="VENDA"),0)</f>
        <v>0</v>
      </c>
      <c r="BD47" s="285" cm="1">
        <f t="array" ref="BD47">_xlfn._xlws.FILTER(CLIENTES!$E78:$BO78,(CLIENTES!$E$5:$BO$5=BD$5)*(CLIENTES!$E$9:$BO$9="VENDA"),0)</f>
        <v>0</v>
      </c>
      <c r="BE47" s="285" cm="1">
        <f t="array" ref="BE47">_xlfn._xlws.FILTER(CLIENTES!$E78:$BO78,(CLIENTES!$E$5:$BO$5=BE$5)*(CLIENTES!$E$9:$BO$9="VENDA"),0)</f>
        <v>0</v>
      </c>
      <c r="BF47" s="285" cm="1">
        <f t="array" ref="BF47">_xlfn._xlws.FILTER(CLIENTES!$E78:$BO78,(CLIENTES!$E$5:$BO$5=BF$5)*(CLIENTES!$E$9:$BO$9="VENDA"),0)</f>
        <v>0</v>
      </c>
      <c r="BG47" s="285" cm="1">
        <f t="array" ref="BG47">_xlfn._xlws.FILTER(CLIENTES!$E78:$BO78,(CLIENTES!$E$5:$BO$5=BG$5)*(CLIENTES!$E$9:$BO$9="VENDA"),0)</f>
        <v>0</v>
      </c>
      <c r="BH47" s="285" cm="1">
        <f t="array" ref="BH47">_xlfn._xlws.FILTER(CLIENTES!$E78:$BO78,(CLIENTES!$E$5:$BO$5=BH$5)*(CLIENTES!$E$9:$BO$9="VENDA"),0)</f>
        <v>0</v>
      </c>
      <c r="BI47" s="285" cm="1">
        <f t="array" ref="BI47">_xlfn._xlws.FILTER(CLIENTES!$E78:$BO78,(CLIENTES!$E$5:$BO$5=BI$5)*(CLIENTES!$E$9:$BO$9="VENDA"),0)</f>
        <v>0</v>
      </c>
      <c r="BJ47" s="285" cm="1">
        <f t="array" ref="BJ47">_xlfn._xlws.FILTER(CLIENTES!$E78:$BO78,(CLIENTES!$E$5:$BO$5=BJ$5)*(CLIENTES!$E$9:$BO$9="VENDA"),0)</f>
        <v>0</v>
      </c>
      <c r="BK47" s="285" cm="1">
        <f t="array" ref="BK47">_xlfn._xlws.FILTER(CLIENTES!$E78:$BO78,(CLIENTES!$E$5:$BO$5=BK$5)*(CLIENTES!$E$9:$BO$9="VENDA"),0)</f>
        <v>0</v>
      </c>
      <c r="BL47" s="285" cm="1">
        <f t="array" ref="BL47">_xlfn._xlws.FILTER(CLIENTES!$E78:$BO78,(CLIENTES!$E$5:$BO$5=BL$5)*(CLIENTES!$E$9:$BO$9="VENDA"),0)</f>
        <v>0</v>
      </c>
    </row>
    <row r="48" spans="2:84" x14ac:dyDescent="0.2">
      <c r="B48" s="326"/>
      <c r="C48" s="23" t="s">
        <v>10</v>
      </c>
      <c r="D48" s="72">
        <v>1.8E-3</v>
      </c>
      <c r="E48" s="200">
        <f>CLIENTES!F80</f>
        <v>0</v>
      </c>
      <c r="F48" s="200">
        <f>CLIENTES!H80</f>
        <v>0</v>
      </c>
      <c r="G48" s="200">
        <f>CLIENTES!I80</f>
        <v>0</v>
      </c>
      <c r="H48" s="200">
        <f>CLIENTES!J80</f>
        <v>0</v>
      </c>
      <c r="I48" s="200">
        <f>CLIENTES!K80</f>
        <v>0</v>
      </c>
      <c r="J48" s="200">
        <f>CLIENTES!L80</f>
        <v>0</v>
      </c>
      <c r="K48" s="200">
        <f>CLIENTES!M80</f>
        <v>0</v>
      </c>
      <c r="L48" s="200">
        <f>CLIENTES!N80</f>
        <v>0</v>
      </c>
      <c r="M48" s="200">
        <f>CLIENTES!O80</f>
        <v>0</v>
      </c>
      <c r="N48" s="200">
        <f>CLIENTES!P80</f>
        <v>0</v>
      </c>
      <c r="O48" s="200">
        <f>CLIENTES!Q80</f>
        <v>0</v>
      </c>
      <c r="P48" s="200">
        <f>CLIENTES!R80</f>
        <v>0</v>
      </c>
      <c r="Q48" s="200">
        <f>CLIENTES!S80</f>
        <v>0</v>
      </c>
      <c r="R48" s="200">
        <f>CLIENTES!T80</f>
        <v>0</v>
      </c>
      <c r="S48" s="200">
        <f>CLIENTES!U80</f>
        <v>0</v>
      </c>
      <c r="T48" s="200">
        <f>CLIENTES!V80</f>
        <v>0</v>
      </c>
      <c r="U48" s="200">
        <f>CLIENTES!W80</f>
        <v>0</v>
      </c>
      <c r="V48" s="200">
        <f>CLIENTES!X80</f>
        <v>0</v>
      </c>
      <c r="W48" s="200">
        <f>CLIENTES!Y80</f>
        <v>0</v>
      </c>
      <c r="X48" s="200">
        <f>CLIENTES!Z80</f>
        <v>0</v>
      </c>
      <c r="Y48" s="200">
        <f>CLIENTES!AA80</f>
        <v>0</v>
      </c>
      <c r="Z48" s="200">
        <f>CLIENTES!AB80</f>
        <v>0</v>
      </c>
      <c r="AA48" s="200">
        <f>CLIENTES!AC80</f>
        <v>0</v>
      </c>
      <c r="AB48" s="200">
        <f>CLIENTES!AD80</f>
        <v>0</v>
      </c>
      <c r="AC48" s="200">
        <f>CLIENTES!AE80</f>
        <v>0</v>
      </c>
      <c r="AD48" s="200">
        <f>CLIENTES!AF80</f>
        <v>0</v>
      </c>
      <c r="AE48" s="200">
        <f>CLIENTES!AG80</f>
        <v>0</v>
      </c>
      <c r="AF48" s="200">
        <f>CLIENTES!AH80</f>
        <v>0</v>
      </c>
      <c r="AG48" s="200">
        <f>CLIENTES!AI80</f>
        <v>0</v>
      </c>
      <c r="AH48" s="200">
        <f>CLIENTES!AJ80</f>
        <v>0</v>
      </c>
      <c r="AI48" s="200">
        <f>CLIENTES!AK80</f>
        <v>0</v>
      </c>
      <c r="AJ48" s="200">
        <f>CLIENTES!AL80</f>
        <v>0</v>
      </c>
      <c r="AK48" s="200">
        <f>CLIENTES!AM80</f>
        <v>0</v>
      </c>
      <c r="AL48" s="200">
        <f>CLIENTES!AN80</f>
        <v>0</v>
      </c>
      <c r="AM48" s="200">
        <f>CLIENTES!AO80</f>
        <v>0</v>
      </c>
      <c r="AN48" s="200">
        <f>CLIENTES!AP80</f>
        <v>0</v>
      </c>
      <c r="AO48" s="200">
        <f>CLIENTES!AQ80</f>
        <v>0</v>
      </c>
      <c r="AP48" s="200">
        <f>CLIENTES!AR80</f>
        <v>0</v>
      </c>
      <c r="AQ48" s="200">
        <f>CLIENTES!AS80</f>
        <v>0</v>
      </c>
      <c r="AR48" s="200">
        <f>CLIENTES!AT80</f>
        <v>0</v>
      </c>
      <c r="AS48" s="200">
        <f>CLIENTES!AU80</f>
        <v>0</v>
      </c>
      <c r="AT48" s="200">
        <f>CLIENTES!AV80</f>
        <v>0</v>
      </c>
      <c r="AU48" s="200">
        <f>CLIENTES!AW80</f>
        <v>0</v>
      </c>
      <c r="AV48" s="200">
        <f>CLIENTES!AX80</f>
        <v>0</v>
      </c>
      <c r="AW48" s="200">
        <f>CLIENTES!AY80</f>
        <v>0</v>
      </c>
      <c r="AX48" s="200">
        <f>CLIENTES!AZ80</f>
        <v>0</v>
      </c>
      <c r="AY48" s="200">
        <f>CLIENTES!BA80</f>
        <v>0</v>
      </c>
      <c r="AZ48" s="215">
        <f>CLIENTES!BB80</f>
        <v>0</v>
      </c>
      <c r="BA48" s="200">
        <f>CLIENTES!BC80</f>
        <v>0</v>
      </c>
      <c r="BB48" s="200">
        <f>CLIENTES!BD80</f>
        <v>0</v>
      </c>
      <c r="BC48" s="200">
        <f>CLIENTES!BE80</f>
        <v>0</v>
      </c>
      <c r="BD48" s="200">
        <f>CLIENTES!BF80</f>
        <v>0</v>
      </c>
      <c r="BE48" s="200">
        <f>CLIENTES!BG80</f>
        <v>0</v>
      </c>
      <c r="BF48" s="200">
        <f>CLIENTES!BH80</f>
        <v>0</v>
      </c>
      <c r="BG48" s="200">
        <f>CLIENTES!BI80</f>
        <v>0</v>
      </c>
      <c r="BH48" s="200">
        <f>CLIENTES!BJ80</f>
        <v>0</v>
      </c>
      <c r="BI48" s="200">
        <f>CLIENTES!BK80</f>
        <v>0</v>
      </c>
      <c r="BJ48" s="200">
        <f>CLIENTES!BL80</f>
        <v>0</v>
      </c>
      <c r="BK48" s="200">
        <f>CLIENTES!BM80</f>
        <v>0</v>
      </c>
      <c r="BL48" s="200">
        <f>CLIENTES!BN80</f>
        <v>0</v>
      </c>
    </row>
    <row r="49" spans="2:84" x14ac:dyDescent="0.2">
      <c r="B49" s="326"/>
      <c r="C49" s="58" t="s">
        <v>23</v>
      </c>
      <c r="D49" s="27">
        <f>SUM(E49:BL49)</f>
        <v>0</v>
      </c>
      <c r="E49" s="132">
        <v>0</v>
      </c>
      <c r="F49" s="132">
        <f t="shared" ref="F49:BL49" si="18">(F45+F46-F47)*F48</f>
        <v>0</v>
      </c>
      <c r="G49" s="132">
        <f t="shared" si="18"/>
        <v>0</v>
      </c>
      <c r="H49" s="132">
        <f t="shared" si="18"/>
        <v>0</v>
      </c>
      <c r="I49" s="132">
        <f t="shared" si="18"/>
        <v>0</v>
      </c>
      <c r="J49" s="132">
        <f t="shared" si="18"/>
        <v>0</v>
      </c>
      <c r="K49" s="132">
        <f t="shared" si="18"/>
        <v>0</v>
      </c>
      <c r="L49" s="132">
        <f t="shared" si="18"/>
        <v>0</v>
      </c>
      <c r="M49" s="132">
        <f t="shared" si="18"/>
        <v>0</v>
      </c>
      <c r="N49" s="132">
        <f t="shared" si="18"/>
        <v>0</v>
      </c>
      <c r="O49" s="132">
        <f t="shared" si="18"/>
        <v>0</v>
      </c>
      <c r="P49" s="132">
        <f t="shared" si="18"/>
        <v>0</v>
      </c>
      <c r="Q49" s="132">
        <v>0</v>
      </c>
      <c r="R49" s="132">
        <v>0</v>
      </c>
      <c r="S49" s="132">
        <f t="shared" si="18"/>
        <v>0</v>
      </c>
      <c r="T49" s="132">
        <f t="shared" si="18"/>
        <v>0</v>
      </c>
      <c r="U49" s="132">
        <f t="shared" si="18"/>
        <v>0</v>
      </c>
      <c r="V49" s="132">
        <v>0</v>
      </c>
      <c r="W49" s="132">
        <f t="shared" si="18"/>
        <v>0</v>
      </c>
      <c r="X49" s="132">
        <f t="shared" si="18"/>
        <v>0</v>
      </c>
      <c r="Y49" s="132">
        <f t="shared" si="18"/>
        <v>0</v>
      </c>
      <c r="Z49" s="132">
        <v>0</v>
      </c>
      <c r="AA49" s="132">
        <f t="shared" si="18"/>
        <v>0</v>
      </c>
      <c r="AB49" s="132">
        <f t="shared" si="18"/>
        <v>0</v>
      </c>
      <c r="AC49" s="132">
        <f t="shared" si="18"/>
        <v>0</v>
      </c>
      <c r="AD49" s="132">
        <v>0</v>
      </c>
      <c r="AE49" s="132">
        <f t="shared" si="18"/>
        <v>0</v>
      </c>
      <c r="AF49" s="132">
        <f t="shared" si="18"/>
        <v>0</v>
      </c>
      <c r="AG49" s="132">
        <f t="shared" si="18"/>
        <v>0</v>
      </c>
      <c r="AH49" s="132">
        <f t="shared" si="18"/>
        <v>0</v>
      </c>
      <c r="AI49" s="132">
        <f t="shared" si="18"/>
        <v>0</v>
      </c>
      <c r="AJ49" s="132">
        <f t="shared" si="18"/>
        <v>0</v>
      </c>
      <c r="AK49" s="132">
        <v>0</v>
      </c>
      <c r="AL49" s="132">
        <v>0</v>
      </c>
      <c r="AM49" s="132">
        <f t="shared" si="18"/>
        <v>0</v>
      </c>
      <c r="AN49" s="132">
        <f t="shared" si="18"/>
        <v>0</v>
      </c>
      <c r="AO49" s="132">
        <f t="shared" si="18"/>
        <v>0</v>
      </c>
      <c r="AP49" s="132">
        <f t="shared" si="18"/>
        <v>0</v>
      </c>
      <c r="AQ49" s="132">
        <f t="shared" si="18"/>
        <v>0</v>
      </c>
      <c r="AR49" s="132">
        <f t="shared" si="18"/>
        <v>0</v>
      </c>
      <c r="AS49" s="132">
        <v>0</v>
      </c>
      <c r="AT49" s="132">
        <v>0</v>
      </c>
      <c r="AU49" s="132">
        <f t="shared" si="18"/>
        <v>0</v>
      </c>
      <c r="AV49" s="132">
        <f t="shared" si="18"/>
        <v>0</v>
      </c>
      <c r="AW49" s="132">
        <v>0</v>
      </c>
      <c r="AX49" s="132">
        <f t="shared" si="18"/>
        <v>0</v>
      </c>
      <c r="AY49" s="132">
        <v>0</v>
      </c>
      <c r="AZ49" s="139">
        <f t="shared" si="18"/>
        <v>0</v>
      </c>
      <c r="BA49" s="132">
        <f t="shared" si="18"/>
        <v>0</v>
      </c>
      <c r="BB49" s="132">
        <f t="shared" si="18"/>
        <v>0</v>
      </c>
      <c r="BC49" s="132">
        <f t="shared" si="18"/>
        <v>0</v>
      </c>
      <c r="BD49" s="132">
        <f t="shared" si="18"/>
        <v>0</v>
      </c>
      <c r="BE49" s="132">
        <v>0</v>
      </c>
      <c r="BF49" s="132">
        <v>0</v>
      </c>
      <c r="BG49" s="132">
        <f t="shared" si="18"/>
        <v>0</v>
      </c>
      <c r="BH49" s="132">
        <v>0</v>
      </c>
      <c r="BI49" s="132">
        <f t="shared" si="18"/>
        <v>0</v>
      </c>
      <c r="BJ49" s="132">
        <f t="shared" si="18"/>
        <v>0</v>
      </c>
      <c r="BK49" s="132">
        <v>0</v>
      </c>
      <c r="BL49" s="132">
        <f t="shared" si="18"/>
        <v>0</v>
      </c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</row>
    <row r="50" spans="2:84" ht="13.5" thickBot="1" x14ac:dyDescent="0.25">
      <c r="B50" s="327"/>
      <c r="C50" s="25" t="s">
        <v>22</v>
      </c>
      <c r="D50" s="30">
        <f>SUM(E50:BL50)</f>
        <v>668578.67153243104</v>
      </c>
      <c r="E50" s="146">
        <f>+E45-E47+E46+E49</f>
        <v>315000</v>
      </c>
      <c r="F50" s="146">
        <f t="shared" ref="F50:BL50" si="19">+F45-F47+F46+F49</f>
        <v>353578.67153243104</v>
      </c>
      <c r="G50" s="146">
        <f t="shared" si="19"/>
        <v>0</v>
      </c>
      <c r="H50" s="146">
        <f t="shared" si="19"/>
        <v>0</v>
      </c>
      <c r="I50" s="146">
        <f t="shared" si="19"/>
        <v>0</v>
      </c>
      <c r="J50" s="146">
        <f t="shared" si="19"/>
        <v>0</v>
      </c>
      <c r="K50" s="146">
        <f t="shared" si="19"/>
        <v>0</v>
      </c>
      <c r="L50" s="146">
        <f t="shared" si="19"/>
        <v>0</v>
      </c>
      <c r="M50" s="146">
        <f t="shared" si="19"/>
        <v>0</v>
      </c>
      <c r="N50" s="146">
        <f t="shared" si="19"/>
        <v>0</v>
      </c>
      <c r="O50" s="146">
        <f t="shared" si="19"/>
        <v>0</v>
      </c>
      <c r="P50" s="146">
        <f t="shared" si="19"/>
        <v>0</v>
      </c>
      <c r="Q50" s="146">
        <f t="shared" si="19"/>
        <v>0</v>
      </c>
      <c r="R50" s="146">
        <f t="shared" si="19"/>
        <v>0</v>
      </c>
      <c r="S50" s="146">
        <f t="shared" si="19"/>
        <v>0</v>
      </c>
      <c r="T50" s="146">
        <f t="shared" si="19"/>
        <v>0</v>
      </c>
      <c r="U50" s="146">
        <f t="shared" si="19"/>
        <v>0</v>
      </c>
      <c r="V50" s="146">
        <f t="shared" si="19"/>
        <v>0</v>
      </c>
      <c r="W50" s="146">
        <f t="shared" si="19"/>
        <v>0</v>
      </c>
      <c r="X50" s="146">
        <f t="shared" si="19"/>
        <v>0</v>
      </c>
      <c r="Y50" s="146">
        <f t="shared" si="19"/>
        <v>0</v>
      </c>
      <c r="Z50" s="146">
        <f t="shared" si="19"/>
        <v>0</v>
      </c>
      <c r="AA50" s="146">
        <f t="shared" si="19"/>
        <v>0</v>
      </c>
      <c r="AB50" s="146">
        <f t="shared" si="19"/>
        <v>0</v>
      </c>
      <c r="AC50" s="146">
        <f t="shared" si="19"/>
        <v>0</v>
      </c>
      <c r="AD50" s="146">
        <f t="shared" si="19"/>
        <v>0</v>
      </c>
      <c r="AE50" s="146">
        <f t="shared" si="19"/>
        <v>0</v>
      </c>
      <c r="AF50" s="146">
        <f t="shared" si="19"/>
        <v>0</v>
      </c>
      <c r="AG50" s="146">
        <f t="shared" si="19"/>
        <v>0</v>
      </c>
      <c r="AH50" s="146">
        <f t="shared" si="19"/>
        <v>0</v>
      </c>
      <c r="AI50" s="146">
        <f t="shared" si="19"/>
        <v>0</v>
      </c>
      <c r="AJ50" s="146">
        <f t="shared" si="19"/>
        <v>0</v>
      </c>
      <c r="AK50" s="146">
        <f t="shared" si="19"/>
        <v>0</v>
      </c>
      <c r="AL50" s="146">
        <f t="shared" si="19"/>
        <v>0</v>
      </c>
      <c r="AM50" s="146">
        <f t="shared" si="19"/>
        <v>0</v>
      </c>
      <c r="AN50" s="146">
        <f t="shared" si="19"/>
        <v>0</v>
      </c>
      <c r="AO50" s="146">
        <f t="shared" si="19"/>
        <v>0</v>
      </c>
      <c r="AP50" s="146">
        <f t="shared" si="19"/>
        <v>0</v>
      </c>
      <c r="AQ50" s="146">
        <f t="shared" si="19"/>
        <v>0</v>
      </c>
      <c r="AR50" s="146">
        <f t="shared" si="19"/>
        <v>0</v>
      </c>
      <c r="AS50" s="146">
        <f t="shared" si="19"/>
        <v>0</v>
      </c>
      <c r="AT50" s="146">
        <f t="shared" si="19"/>
        <v>0</v>
      </c>
      <c r="AU50" s="146">
        <f t="shared" si="19"/>
        <v>0</v>
      </c>
      <c r="AV50" s="146">
        <f t="shared" si="19"/>
        <v>0</v>
      </c>
      <c r="AW50" s="146">
        <f t="shared" si="19"/>
        <v>0</v>
      </c>
      <c r="AX50" s="146">
        <f t="shared" si="19"/>
        <v>0</v>
      </c>
      <c r="AY50" s="146">
        <f t="shared" si="19"/>
        <v>0</v>
      </c>
      <c r="AZ50" s="146">
        <f t="shared" si="19"/>
        <v>0</v>
      </c>
      <c r="BA50" s="146">
        <f t="shared" si="19"/>
        <v>0</v>
      </c>
      <c r="BB50" s="146">
        <f t="shared" si="19"/>
        <v>0</v>
      </c>
      <c r="BC50" s="146">
        <f t="shared" si="19"/>
        <v>0</v>
      </c>
      <c r="BD50" s="146">
        <f t="shared" si="19"/>
        <v>0</v>
      </c>
      <c r="BE50" s="146">
        <f t="shared" si="19"/>
        <v>0</v>
      </c>
      <c r="BF50" s="146">
        <f t="shared" si="19"/>
        <v>0</v>
      </c>
      <c r="BG50" s="146">
        <f t="shared" si="19"/>
        <v>0</v>
      </c>
      <c r="BH50" s="146">
        <f t="shared" si="19"/>
        <v>0</v>
      </c>
      <c r="BI50" s="146">
        <f t="shared" si="19"/>
        <v>0</v>
      </c>
      <c r="BJ50" s="146">
        <f t="shared" si="19"/>
        <v>0</v>
      </c>
      <c r="BK50" s="146">
        <f t="shared" si="19"/>
        <v>0</v>
      </c>
      <c r="BL50" s="146">
        <f t="shared" si="19"/>
        <v>0</v>
      </c>
    </row>
    <row r="51" spans="2:84" ht="13.5" thickBot="1" x14ac:dyDescent="0.25">
      <c r="B51" s="325">
        <v>43831</v>
      </c>
      <c r="C51" s="62" t="s">
        <v>6</v>
      </c>
      <c r="D51" s="31">
        <f>SUM(E51:BL51)</f>
        <v>95000</v>
      </c>
      <c r="E51" s="285" cm="1">
        <f t="array" ref="E51">_xlfn._xlws.FILTER(CLIENTES!$E85:$BO85,(CLIENTES!$E$5:$BO$5=E$5)*(CLIENTES!$E$9:$BO$9="VENDA"),0)</f>
        <v>45000</v>
      </c>
      <c r="F51" s="285" cm="1">
        <f t="array" ref="F51">_xlfn._xlws.FILTER(CLIENTES!$E85:$BO85,(CLIENTES!$E$5:$BO$5=F$5)*(CLIENTES!$E$9:$BO$9="VENDA"),0)</f>
        <v>50000</v>
      </c>
      <c r="G51" s="285" cm="1">
        <f t="array" ref="G51">_xlfn._xlws.FILTER(CLIENTES!$E85:$BO85,(CLIENTES!$E$5:$BO$5=G$5)*(CLIENTES!$E$9:$BO$9="VENDA"),0)</f>
        <v>0</v>
      </c>
      <c r="H51" s="285" cm="1">
        <f t="array" ref="H51">_xlfn._xlws.FILTER(CLIENTES!$E85:$BO85,(CLIENTES!$E$5:$BO$5=H$5)*(CLIENTES!$E$9:$BO$9="VENDA"),0)</f>
        <v>0</v>
      </c>
      <c r="I51" s="285" cm="1">
        <f t="array" ref="I51">_xlfn._xlws.FILTER(CLIENTES!$E85:$BO85,(CLIENTES!$E$5:$BO$5=I$5)*(CLIENTES!$E$9:$BO$9="VENDA"),0)</f>
        <v>0</v>
      </c>
      <c r="J51" s="285" cm="1">
        <f t="array" ref="J51">_xlfn._xlws.FILTER(CLIENTES!$E85:$BO85,(CLIENTES!$E$5:$BO$5=J$5)*(CLIENTES!$E$9:$BO$9="VENDA"),0)</f>
        <v>0</v>
      </c>
      <c r="K51" s="285" cm="1">
        <f t="array" ref="K51">_xlfn._xlws.FILTER(CLIENTES!$E85:$BO85,(CLIENTES!$E$5:$BO$5=K$5)*(CLIENTES!$E$9:$BO$9="VENDA"),0)</f>
        <v>0</v>
      </c>
      <c r="L51" s="285" cm="1">
        <f t="array" ref="L51">_xlfn._xlws.FILTER(CLIENTES!$E85:$BO85,(CLIENTES!$E$5:$BO$5=L$5)*(CLIENTES!$E$9:$BO$9="VENDA"),0)</f>
        <v>0</v>
      </c>
      <c r="M51" s="285" cm="1">
        <f t="array" ref="M51">_xlfn._xlws.FILTER(CLIENTES!$E85:$BO85,(CLIENTES!$E$5:$BO$5=M$5)*(CLIENTES!$E$9:$BO$9="VENDA"),0)</f>
        <v>0</v>
      </c>
      <c r="N51" s="285" cm="1">
        <f t="array" ref="N51">_xlfn._xlws.FILTER(CLIENTES!$E85:$BO85,(CLIENTES!$E$5:$BO$5=N$5)*(CLIENTES!$E$9:$BO$9="VENDA"),0)</f>
        <v>0</v>
      </c>
      <c r="O51" s="285" cm="1">
        <f t="array" ref="O51">_xlfn._xlws.FILTER(CLIENTES!$E85:$BO85,(CLIENTES!$E$5:$BO$5=O$5)*(CLIENTES!$E$9:$BO$9="VENDA"),0)</f>
        <v>0</v>
      </c>
      <c r="P51" s="285" cm="1">
        <f t="array" ref="P51">_xlfn._xlws.FILTER(CLIENTES!$E85:$BO85,(CLIENTES!$E$5:$BO$5=P$5)*(CLIENTES!$E$9:$BO$9="VENDA"),0)</f>
        <v>0</v>
      </c>
      <c r="Q51" s="285" cm="1">
        <f t="array" ref="Q51">_xlfn._xlws.FILTER(CLIENTES!$E85:$BO85,(CLIENTES!$E$5:$BO$5=Q$5)*(CLIENTES!$E$9:$BO$9="VENDA"),0)</f>
        <v>0</v>
      </c>
      <c r="R51" s="285" cm="1">
        <f t="array" ref="R51">_xlfn._xlws.FILTER(CLIENTES!$E85:$BO85,(CLIENTES!$E$5:$BO$5=R$5)*(CLIENTES!$E$9:$BO$9="VENDA"),0)</f>
        <v>0</v>
      </c>
      <c r="S51" s="285" cm="1">
        <f t="array" ref="S51">_xlfn._xlws.FILTER(CLIENTES!$E85:$BO85,(CLIENTES!$E$5:$BO$5=S$5)*(CLIENTES!$E$9:$BO$9="VENDA"),0)</f>
        <v>0</v>
      </c>
      <c r="T51" s="285" cm="1">
        <f t="array" ref="T51">_xlfn._xlws.FILTER(CLIENTES!$E85:$BO85,(CLIENTES!$E$5:$BO$5=T$5)*(CLIENTES!$E$9:$BO$9="VENDA"),0)</f>
        <v>0</v>
      </c>
      <c r="U51" s="285" cm="1">
        <f t="array" ref="U51">_xlfn._xlws.FILTER(CLIENTES!$E85:$BO85,(CLIENTES!$E$5:$BO$5=U$5)*(CLIENTES!$E$9:$BO$9="VENDA"),0)</f>
        <v>0</v>
      </c>
      <c r="V51" s="285" cm="1">
        <f t="array" ref="V51">_xlfn._xlws.FILTER(CLIENTES!$E85:$BO85,(CLIENTES!$E$5:$BO$5=V$5)*(CLIENTES!$E$9:$BO$9="VENDA"),0)</f>
        <v>0</v>
      </c>
      <c r="W51" s="285" cm="1">
        <f t="array" ref="W51">_xlfn._xlws.FILTER(CLIENTES!$E85:$BO85,(CLIENTES!$E$5:$BO$5=W$5)*(CLIENTES!$E$9:$BO$9="VENDA"),0)</f>
        <v>0</v>
      </c>
      <c r="X51" s="285" cm="1">
        <f t="array" ref="X51">_xlfn._xlws.FILTER(CLIENTES!$E85:$BO85,(CLIENTES!$E$5:$BO$5=X$5)*(CLIENTES!$E$9:$BO$9="VENDA"),0)</f>
        <v>0</v>
      </c>
      <c r="Y51" s="285" cm="1">
        <f t="array" ref="Y51">_xlfn._xlws.FILTER(CLIENTES!$E85:$BO85,(CLIENTES!$E$5:$BO$5=Y$5)*(CLIENTES!$E$9:$BO$9="VENDA"),0)</f>
        <v>0</v>
      </c>
      <c r="Z51" s="285" cm="1">
        <f t="array" ref="Z51">_xlfn._xlws.FILTER(CLIENTES!$E85:$BO85,(CLIENTES!$E$5:$BO$5=Z$5)*(CLIENTES!$E$9:$BO$9="VENDA"),0)</f>
        <v>0</v>
      </c>
      <c r="AA51" s="285" cm="1">
        <f t="array" ref="AA51">_xlfn._xlws.FILTER(CLIENTES!$E85:$BO85,(CLIENTES!$E$5:$BO$5=AA$5)*(CLIENTES!$E$9:$BO$9="VENDA"),0)</f>
        <v>0</v>
      </c>
      <c r="AB51" s="285" cm="1">
        <f t="array" ref="AB51">_xlfn._xlws.FILTER(CLIENTES!$E85:$BO85,(CLIENTES!$E$5:$BO$5=AB$5)*(CLIENTES!$E$9:$BO$9="VENDA"),0)</f>
        <v>0</v>
      </c>
      <c r="AC51" s="285" cm="1">
        <f t="array" ref="AC51">_xlfn._xlws.FILTER(CLIENTES!$E85:$BO85,(CLIENTES!$E$5:$BO$5=AC$5)*(CLIENTES!$E$9:$BO$9="VENDA"),0)</f>
        <v>0</v>
      </c>
      <c r="AD51" s="285" cm="1">
        <f t="array" ref="AD51">_xlfn._xlws.FILTER(CLIENTES!$E85:$BO85,(CLIENTES!$E$5:$BO$5=AD$5)*(CLIENTES!$E$9:$BO$9="VENDA"),0)</f>
        <v>0</v>
      </c>
      <c r="AE51" s="285" cm="1">
        <f t="array" ref="AE51">_xlfn._xlws.FILTER(CLIENTES!$E85:$BO85,(CLIENTES!$E$5:$BO$5=AE$5)*(CLIENTES!$E$9:$BO$9="VENDA"),0)</f>
        <v>0</v>
      </c>
      <c r="AF51" s="285" cm="1">
        <f t="array" ref="AF51">_xlfn._xlws.FILTER(CLIENTES!$E85:$BO85,(CLIENTES!$E$5:$BO$5=AF$5)*(CLIENTES!$E$9:$BO$9="VENDA"),0)</f>
        <v>0</v>
      </c>
      <c r="AG51" s="285" cm="1">
        <f t="array" ref="AG51">_xlfn._xlws.FILTER(CLIENTES!$E85:$BO85,(CLIENTES!$E$5:$BO$5=AG$5)*(CLIENTES!$E$9:$BO$9="VENDA"),0)</f>
        <v>0</v>
      </c>
      <c r="AH51" s="285" cm="1">
        <f t="array" ref="AH51">_xlfn._xlws.FILTER(CLIENTES!$E85:$BO85,(CLIENTES!$E$5:$BO$5=AH$5)*(CLIENTES!$E$9:$BO$9="VENDA"),0)</f>
        <v>0</v>
      </c>
      <c r="AI51" s="285" cm="1">
        <f t="array" ref="AI51">_xlfn._xlws.FILTER(CLIENTES!$E85:$BO85,(CLIENTES!$E$5:$BO$5=AI$5)*(CLIENTES!$E$9:$BO$9="VENDA"),0)</f>
        <v>0</v>
      </c>
      <c r="AJ51" s="285" cm="1">
        <f t="array" ref="AJ51">_xlfn._xlws.FILTER(CLIENTES!$E85:$BO85,(CLIENTES!$E$5:$BO$5=AJ$5)*(CLIENTES!$E$9:$BO$9="VENDA"),0)</f>
        <v>0</v>
      </c>
      <c r="AK51" s="285" cm="1">
        <f t="array" ref="AK51">_xlfn._xlws.FILTER(CLIENTES!$E85:$BO85,(CLIENTES!$E$5:$BO$5=AK$5)*(CLIENTES!$E$9:$BO$9="VENDA"),0)</f>
        <v>0</v>
      </c>
      <c r="AL51" s="285" cm="1">
        <f t="array" ref="AL51">_xlfn._xlws.FILTER(CLIENTES!$E85:$BO85,(CLIENTES!$E$5:$BO$5=AL$5)*(CLIENTES!$E$9:$BO$9="VENDA"),0)</f>
        <v>0</v>
      </c>
      <c r="AM51" s="285" cm="1">
        <f t="array" ref="AM51">_xlfn._xlws.FILTER(CLIENTES!$E85:$BO85,(CLIENTES!$E$5:$BO$5=AM$5)*(CLIENTES!$E$9:$BO$9="VENDA"),0)</f>
        <v>0</v>
      </c>
      <c r="AN51" s="285" cm="1">
        <f t="array" ref="AN51">_xlfn._xlws.FILTER(CLIENTES!$E85:$BO85,(CLIENTES!$E$5:$BO$5=AN$5)*(CLIENTES!$E$9:$BO$9="VENDA"),0)</f>
        <v>0</v>
      </c>
      <c r="AO51" s="285" cm="1">
        <f t="array" ref="AO51">_xlfn._xlws.FILTER(CLIENTES!$E85:$BO85,(CLIENTES!$E$5:$BO$5=AO$5)*(CLIENTES!$E$9:$BO$9="VENDA"),0)</f>
        <v>0</v>
      </c>
      <c r="AP51" s="285" cm="1">
        <f t="array" ref="AP51">_xlfn._xlws.FILTER(CLIENTES!$E85:$BO85,(CLIENTES!$E$5:$BO$5=AP$5)*(CLIENTES!$E$9:$BO$9="VENDA"),0)</f>
        <v>0</v>
      </c>
      <c r="AQ51" s="285" cm="1">
        <f t="array" ref="AQ51">_xlfn._xlws.FILTER(CLIENTES!$E85:$BO85,(CLIENTES!$E$5:$BO$5=AQ$5)*(CLIENTES!$E$9:$BO$9="VENDA"),0)</f>
        <v>0</v>
      </c>
      <c r="AR51" s="285" cm="1">
        <f t="array" ref="AR51">_xlfn._xlws.FILTER(CLIENTES!$E85:$BO85,(CLIENTES!$E$5:$BO$5=AR$5)*(CLIENTES!$E$9:$BO$9="VENDA"),0)</f>
        <v>0</v>
      </c>
      <c r="AS51" s="285" cm="1">
        <f t="array" ref="AS51">_xlfn._xlws.FILTER(CLIENTES!$E85:$BO85,(CLIENTES!$E$5:$BO$5=AS$5)*(CLIENTES!$E$9:$BO$9="VENDA"),0)</f>
        <v>0</v>
      </c>
      <c r="AT51" s="285" cm="1">
        <f t="array" ref="AT51">_xlfn._xlws.FILTER(CLIENTES!$E85:$BO85,(CLIENTES!$E$5:$BO$5=AT$5)*(CLIENTES!$E$9:$BO$9="VENDA"),0)</f>
        <v>0</v>
      </c>
      <c r="AU51" s="285" cm="1">
        <f t="array" ref="AU51">_xlfn._xlws.FILTER(CLIENTES!$E85:$BO85,(CLIENTES!$E$5:$BO$5=AU$5)*(CLIENTES!$E$9:$BO$9="VENDA"),0)</f>
        <v>0</v>
      </c>
      <c r="AV51" s="285" cm="1">
        <f t="array" ref="AV51">_xlfn._xlws.FILTER(CLIENTES!$E85:$BO85,(CLIENTES!$E$5:$BO$5=AV$5)*(CLIENTES!$E$9:$BO$9="VENDA"),0)</f>
        <v>0</v>
      </c>
      <c r="AW51" s="285" cm="1">
        <f t="array" ref="AW51">_xlfn._xlws.FILTER(CLIENTES!$E85:$BO85,(CLIENTES!$E$5:$BO$5=AW$5)*(CLIENTES!$E$9:$BO$9="VENDA"),0)</f>
        <v>0</v>
      </c>
      <c r="AX51" s="285" cm="1">
        <f t="array" ref="AX51">_xlfn._xlws.FILTER(CLIENTES!$E85:$BO85,(CLIENTES!$E$5:$BO$5=AX$5)*(CLIENTES!$E$9:$BO$9="VENDA"),0)</f>
        <v>0</v>
      </c>
      <c r="AY51" s="285" cm="1">
        <f t="array" ref="AY51">_xlfn._xlws.FILTER(CLIENTES!$E85:$BO85,(CLIENTES!$E$5:$BO$5=AY$5)*(CLIENTES!$E$9:$BO$9="VENDA"),0)</f>
        <v>0</v>
      </c>
      <c r="AZ51" s="285" cm="1">
        <f t="array" ref="AZ51">_xlfn._xlws.FILTER(CLIENTES!$E85:$BO85,(CLIENTES!$E$5:$BO$5=AZ$5)*(CLIENTES!$E$9:$BO$9="VENDA"),0)</f>
        <v>0</v>
      </c>
      <c r="BA51" s="285" cm="1">
        <f t="array" ref="BA51">_xlfn._xlws.FILTER(CLIENTES!$E85:$BO85,(CLIENTES!$E$5:$BO$5=BA$5)*(CLIENTES!$E$9:$BO$9="VENDA"),0)</f>
        <v>0</v>
      </c>
      <c r="BB51" s="285" cm="1">
        <f t="array" ref="BB51">_xlfn._xlws.FILTER(CLIENTES!$E85:$BO85,(CLIENTES!$E$5:$BO$5=BB$5)*(CLIENTES!$E$9:$BO$9="VENDA"),0)</f>
        <v>0</v>
      </c>
      <c r="BC51" s="285" cm="1">
        <f t="array" ref="BC51">_xlfn._xlws.FILTER(CLIENTES!$E85:$BO85,(CLIENTES!$E$5:$BO$5=BC$5)*(CLIENTES!$E$9:$BO$9="VENDA"),0)</f>
        <v>0</v>
      </c>
      <c r="BD51" s="285" cm="1">
        <f t="array" ref="BD51">_xlfn._xlws.FILTER(CLIENTES!$E85:$BO85,(CLIENTES!$E$5:$BO$5=BD$5)*(CLIENTES!$E$9:$BO$9="VENDA"),0)</f>
        <v>0</v>
      </c>
      <c r="BE51" s="285" cm="1">
        <f t="array" ref="BE51">_xlfn._xlws.FILTER(CLIENTES!$E85:$BO85,(CLIENTES!$E$5:$BO$5=BE$5)*(CLIENTES!$E$9:$BO$9="VENDA"),0)</f>
        <v>0</v>
      </c>
      <c r="BF51" s="285" cm="1">
        <f t="array" ref="BF51">_xlfn._xlws.FILTER(CLIENTES!$E85:$BO85,(CLIENTES!$E$5:$BO$5=BF$5)*(CLIENTES!$E$9:$BO$9="VENDA"),0)</f>
        <v>0</v>
      </c>
      <c r="BG51" s="285" cm="1">
        <f t="array" ref="BG51">_xlfn._xlws.FILTER(CLIENTES!$E85:$BO85,(CLIENTES!$E$5:$BO$5=BG$5)*(CLIENTES!$E$9:$BO$9="VENDA"),0)</f>
        <v>0</v>
      </c>
      <c r="BH51" s="285" cm="1">
        <f t="array" ref="BH51">_xlfn._xlws.FILTER(CLIENTES!$E85:$BO85,(CLIENTES!$E$5:$BO$5=BH$5)*(CLIENTES!$E$9:$BO$9="VENDA"),0)</f>
        <v>0</v>
      </c>
      <c r="BI51" s="285" cm="1">
        <f t="array" ref="BI51">_xlfn._xlws.FILTER(CLIENTES!$E85:$BO85,(CLIENTES!$E$5:$BO$5=BI$5)*(CLIENTES!$E$9:$BO$9="VENDA"),0)</f>
        <v>0</v>
      </c>
      <c r="BJ51" s="285" cm="1">
        <f t="array" ref="BJ51">_xlfn._xlws.FILTER(CLIENTES!$E85:$BO85,(CLIENTES!$E$5:$BO$5=BJ$5)*(CLIENTES!$E$9:$BO$9="VENDA"),0)</f>
        <v>0</v>
      </c>
      <c r="BK51" s="285" cm="1">
        <f t="array" ref="BK51">_xlfn._xlws.FILTER(CLIENTES!$E85:$BO85,(CLIENTES!$E$5:$BO$5=BK$5)*(CLIENTES!$E$9:$BO$9="VENDA"),0)</f>
        <v>0</v>
      </c>
      <c r="BL51" s="285" cm="1">
        <f t="array" ref="BL51">_xlfn._xlws.FILTER(CLIENTES!$E85:$BO85,(CLIENTES!$E$5:$BO$5=BL$5)*(CLIENTES!$E$9:$BO$9="VENDA"),0)</f>
        <v>0</v>
      </c>
    </row>
    <row r="52" spans="2:84" ht="13.5" thickBot="1" x14ac:dyDescent="0.25">
      <c r="B52" s="326"/>
      <c r="C52" s="23" t="s">
        <v>9</v>
      </c>
      <c r="D52" s="27">
        <f>SUM(E52:BL52)</f>
        <v>0</v>
      </c>
      <c r="E52" s="285" cm="1">
        <f t="array" ref="E52">_xlfn._xlws.FILTER(CLIENTES!$E86:$BO86,(CLIENTES!$E$5:$BO$5=E$5)*(CLIENTES!$E$9:$BO$9="VENDA"),0)</f>
        <v>0</v>
      </c>
      <c r="F52" s="285" cm="1">
        <f t="array" ref="F52">_xlfn._xlws.FILTER(CLIENTES!$E86:$BO86,(CLIENTES!$E$5:$BO$5=F$5)*(CLIENTES!$E$9:$BO$9="VENDA"),0)</f>
        <v>0</v>
      </c>
      <c r="G52" s="285" cm="1">
        <f t="array" ref="G52">_xlfn._xlws.FILTER(CLIENTES!$E86:$BO86,(CLIENTES!$E$5:$BO$5=G$5)*(CLIENTES!$E$9:$BO$9="VENDA"),0)</f>
        <v>0</v>
      </c>
      <c r="H52" s="285" cm="1">
        <f t="array" ref="H52">_xlfn._xlws.FILTER(CLIENTES!$E86:$BO86,(CLIENTES!$E$5:$BO$5=H$5)*(CLIENTES!$E$9:$BO$9="VENDA"),0)</f>
        <v>0</v>
      </c>
      <c r="I52" s="285" cm="1">
        <f t="array" ref="I52">_xlfn._xlws.FILTER(CLIENTES!$E86:$BO86,(CLIENTES!$E$5:$BO$5=I$5)*(CLIENTES!$E$9:$BO$9="VENDA"),0)</f>
        <v>0</v>
      </c>
      <c r="J52" s="285" cm="1">
        <f t="array" ref="J52">_xlfn._xlws.FILTER(CLIENTES!$E86:$BO86,(CLIENTES!$E$5:$BO$5=J$5)*(CLIENTES!$E$9:$BO$9="VENDA"),0)</f>
        <v>0</v>
      </c>
      <c r="K52" s="285" cm="1">
        <f t="array" ref="K52">_xlfn._xlws.FILTER(CLIENTES!$E86:$BO86,(CLIENTES!$E$5:$BO$5=K$5)*(CLIENTES!$E$9:$BO$9="VENDA"),0)</f>
        <v>0</v>
      </c>
      <c r="L52" s="285" cm="1">
        <f t="array" ref="L52">_xlfn._xlws.FILTER(CLIENTES!$E86:$BO86,(CLIENTES!$E$5:$BO$5=L$5)*(CLIENTES!$E$9:$BO$9="VENDA"),0)</f>
        <v>0</v>
      </c>
      <c r="M52" s="285" cm="1">
        <f t="array" ref="M52">_xlfn._xlws.FILTER(CLIENTES!$E86:$BO86,(CLIENTES!$E$5:$BO$5=M$5)*(CLIENTES!$E$9:$BO$9="VENDA"),0)</f>
        <v>0</v>
      </c>
      <c r="N52" s="285" cm="1">
        <f t="array" ref="N52">_xlfn._xlws.FILTER(CLIENTES!$E86:$BO86,(CLIENTES!$E$5:$BO$5=N$5)*(CLIENTES!$E$9:$BO$9="VENDA"),0)</f>
        <v>0</v>
      </c>
      <c r="O52" s="285" cm="1">
        <f t="array" ref="O52">_xlfn._xlws.FILTER(CLIENTES!$E86:$BO86,(CLIENTES!$E$5:$BO$5=O$5)*(CLIENTES!$E$9:$BO$9="VENDA"),0)</f>
        <v>0</v>
      </c>
      <c r="P52" s="285" cm="1">
        <f t="array" ref="P52">_xlfn._xlws.FILTER(CLIENTES!$E86:$BO86,(CLIENTES!$E$5:$BO$5=P$5)*(CLIENTES!$E$9:$BO$9="VENDA"),0)</f>
        <v>0</v>
      </c>
      <c r="Q52" s="285" cm="1">
        <f t="array" ref="Q52">_xlfn._xlws.FILTER(CLIENTES!$E86:$BO86,(CLIENTES!$E$5:$BO$5=Q$5)*(CLIENTES!$E$9:$BO$9="VENDA"),0)</f>
        <v>0</v>
      </c>
      <c r="R52" s="285" cm="1">
        <f t="array" ref="R52">_xlfn._xlws.FILTER(CLIENTES!$E86:$BO86,(CLIENTES!$E$5:$BO$5=R$5)*(CLIENTES!$E$9:$BO$9="VENDA"),0)</f>
        <v>0</v>
      </c>
      <c r="S52" s="285" cm="1">
        <f t="array" ref="S52">_xlfn._xlws.FILTER(CLIENTES!$E86:$BO86,(CLIENTES!$E$5:$BO$5=S$5)*(CLIENTES!$E$9:$BO$9="VENDA"),0)</f>
        <v>0</v>
      </c>
      <c r="T52" s="285" cm="1">
        <f t="array" ref="T52">_xlfn._xlws.FILTER(CLIENTES!$E86:$BO86,(CLIENTES!$E$5:$BO$5=T$5)*(CLIENTES!$E$9:$BO$9="VENDA"),0)</f>
        <v>0</v>
      </c>
      <c r="U52" s="285" cm="1">
        <f t="array" ref="U52">_xlfn._xlws.FILTER(CLIENTES!$E86:$BO86,(CLIENTES!$E$5:$BO$5=U$5)*(CLIENTES!$E$9:$BO$9="VENDA"),0)</f>
        <v>0</v>
      </c>
      <c r="V52" s="285" cm="1">
        <f t="array" ref="V52">_xlfn._xlws.FILTER(CLIENTES!$E86:$BO86,(CLIENTES!$E$5:$BO$5=V$5)*(CLIENTES!$E$9:$BO$9="VENDA"),0)</f>
        <v>0</v>
      </c>
      <c r="W52" s="285" cm="1">
        <f t="array" ref="W52">_xlfn._xlws.FILTER(CLIENTES!$E86:$BO86,(CLIENTES!$E$5:$BO$5=W$5)*(CLIENTES!$E$9:$BO$9="VENDA"),0)</f>
        <v>0</v>
      </c>
      <c r="X52" s="285" cm="1">
        <f t="array" ref="X52">_xlfn._xlws.FILTER(CLIENTES!$E86:$BO86,(CLIENTES!$E$5:$BO$5=X$5)*(CLIENTES!$E$9:$BO$9="VENDA"),0)</f>
        <v>0</v>
      </c>
      <c r="Y52" s="285" cm="1">
        <f t="array" ref="Y52">_xlfn._xlws.FILTER(CLIENTES!$E86:$BO86,(CLIENTES!$E$5:$BO$5=Y$5)*(CLIENTES!$E$9:$BO$9="VENDA"),0)</f>
        <v>0</v>
      </c>
      <c r="Z52" s="285" cm="1">
        <f t="array" ref="Z52">_xlfn._xlws.FILTER(CLIENTES!$E86:$BO86,(CLIENTES!$E$5:$BO$5=Z$5)*(CLIENTES!$E$9:$BO$9="VENDA"),0)</f>
        <v>0</v>
      </c>
      <c r="AA52" s="285" cm="1">
        <f t="array" ref="AA52">_xlfn._xlws.FILTER(CLIENTES!$E86:$BO86,(CLIENTES!$E$5:$BO$5=AA$5)*(CLIENTES!$E$9:$BO$9="VENDA"),0)</f>
        <v>0</v>
      </c>
      <c r="AB52" s="285" cm="1">
        <f t="array" ref="AB52">_xlfn._xlws.FILTER(CLIENTES!$E86:$BO86,(CLIENTES!$E$5:$BO$5=AB$5)*(CLIENTES!$E$9:$BO$9="VENDA"),0)</f>
        <v>0</v>
      </c>
      <c r="AC52" s="285" cm="1">
        <f t="array" ref="AC52">_xlfn._xlws.FILTER(CLIENTES!$E86:$BO86,(CLIENTES!$E$5:$BO$5=AC$5)*(CLIENTES!$E$9:$BO$9="VENDA"),0)</f>
        <v>0</v>
      </c>
      <c r="AD52" s="285" cm="1">
        <f t="array" ref="AD52">_xlfn._xlws.FILTER(CLIENTES!$E86:$BO86,(CLIENTES!$E$5:$BO$5=AD$5)*(CLIENTES!$E$9:$BO$9="VENDA"),0)</f>
        <v>0</v>
      </c>
      <c r="AE52" s="285" cm="1">
        <f t="array" ref="AE52">_xlfn._xlws.FILTER(CLIENTES!$E86:$BO86,(CLIENTES!$E$5:$BO$5=AE$5)*(CLIENTES!$E$9:$BO$9="VENDA"),0)</f>
        <v>0</v>
      </c>
      <c r="AF52" s="285" cm="1">
        <f t="array" ref="AF52">_xlfn._xlws.FILTER(CLIENTES!$E86:$BO86,(CLIENTES!$E$5:$BO$5=AF$5)*(CLIENTES!$E$9:$BO$9="VENDA"),0)</f>
        <v>0</v>
      </c>
      <c r="AG52" s="285" cm="1">
        <f t="array" ref="AG52">_xlfn._xlws.FILTER(CLIENTES!$E86:$BO86,(CLIENTES!$E$5:$BO$5=AG$5)*(CLIENTES!$E$9:$BO$9="VENDA"),0)</f>
        <v>0</v>
      </c>
      <c r="AH52" s="285" cm="1">
        <f t="array" ref="AH52">_xlfn._xlws.FILTER(CLIENTES!$E86:$BO86,(CLIENTES!$E$5:$BO$5=AH$5)*(CLIENTES!$E$9:$BO$9="VENDA"),0)</f>
        <v>0</v>
      </c>
      <c r="AI52" s="285" cm="1">
        <f t="array" ref="AI52">_xlfn._xlws.FILTER(CLIENTES!$E86:$BO86,(CLIENTES!$E$5:$BO$5=AI$5)*(CLIENTES!$E$9:$BO$9="VENDA"),0)</f>
        <v>0</v>
      </c>
      <c r="AJ52" s="285" cm="1">
        <f t="array" ref="AJ52">_xlfn._xlws.FILTER(CLIENTES!$E86:$BO86,(CLIENTES!$E$5:$BO$5=AJ$5)*(CLIENTES!$E$9:$BO$9="VENDA"),0)</f>
        <v>0</v>
      </c>
      <c r="AK52" s="285" cm="1">
        <f t="array" ref="AK52">_xlfn._xlws.FILTER(CLIENTES!$E86:$BO86,(CLIENTES!$E$5:$BO$5=AK$5)*(CLIENTES!$E$9:$BO$9="VENDA"),0)</f>
        <v>0</v>
      </c>
      <c r="AL52" s="285" cm="1">
        <f t="array" ref="AL52">_xlfn._xlws.FILTER(CLIENTES!$E86:$BO86,(CLIENTES!$E$5:$BO$5=AL$5)*(CLIENTES!$E$9:$BO$9="VENDA"),0)</f>
        <v>0</v>
      </c>
      <c r="AM52" s="285" cm="1">
        <f t="array" ref="AM52">_xlfn._xlws.FILTER(CLIENTES!$E86:$BO86,(CLIENTES!$E$5:$BO$5=AM$5)*(CLIENTES!$E$9:$BO$9="VENDA"),0)</f>
        <v>0</v>
      </c>
      <c r="AN52" s="285" cm="1">
        <f t="array" ref="AN52">_xlfn._xlws.FILTER(CLIENTES!$E86:$BO86,(CLIENTES!$E$5:$BO$5=AN$5)*(CLIENTES!$E$9:$BO$9="VENDA"),0)</f>
        <v>0</v>
      </c>
      <c r="AO52" s="285" cm="1">
        <f t="array" ref="AO52">_xlfn._xlws.FILTER(CLIENTES!$E86:$BO86,(CLIENTES!$E$5:$BO$5=AO$5)*(CLIENTES!$E$9:$BO$9="VENDA"),0)</f>
        <v>0</v>
      </c>
      <c r="AP52" s="285" cm="1">
        <f t="array" ref="AP52">_xlfn._xlws.FILTER(CLIENTES!$E86:$BO86,(CLIENTES!$E$5:$BO$5=AP$5)*(CLIENTES!$E$9:$BO$9="VENDA"),0)</f>
        <v>0</v>
      </c>
      <c r="AQ52" s="285" cm="1">
        <f t="array" ref="AQ52">_xlfn._xlws.FILTER(CLIENTES!$E86:$BO86,(CLIENTES!$E$5:$BO$5=AQ$5)*(CLIENTES!$E$9:$BO$9="VENDA"),0)</f>
        <v>0</v>
      </c>
      <c r="AR52" s="285" cm="1">
        <f t="array" ref="AR52">_xlfn._xlws.FILTER(CLIENTES!$E86:$BO86,(CLIENTES!$E$5:$BO$5=AR$5)*(CLIENTES!$E$9:$BO$9="VENDA"),0)</f>
        <v>0</v>
      </c>
      <c r="AS52" s="285" cm="1">
        <f t="array" ref="AS52">_xlfn._xlws.FILTER(CLIENTES!$E86:$BO86,(CLIENTES!$E$5:$BO$5=AS$5)*(CLIENTES!$E$9:$BO$9="VENDA"),0)</f>
        <v>0</v>
      </c>
      <c r="AT52" s="285" cm="1">
        <f t="array" ref="AT52">_xlfn._xlws.FILTER(CLIENTES!$E86:$BO86,(CLIENTES!$E$5:$BO$5=AT$5)*(CLIENTES!$E$9:$BO$9="VENDA"),0)</f>
        <v>0</v>
      </c>
      <c r="AU52" s="285" cm="1">
        <f t="array" ref="AU52">_xlfn._xlws.FILTER(CLIENTES!$E86:$BO86,(CLIENTES!$E$5:$BO$5=AU$5)*(CLIENTES!$E$9:$BO$9="VENDA"),0)</f>
        <v>0</v>
      </c>
      <c r="AV52" s="285" cm="1">
        <f t="array" ref="AV52">_xlfn._xlws.FILTER(CLIENTES!$E86:$BO86,(CLIENTES!$E$5:$BO$5=AV$5)*(CLIENTES!$E$9:$BO$9="VENDA"),0)</f>
        <v>0</v>
      </c>
      <c r="AW52" s="285" cm="1">
        <f t="array" ref="AW52">_xlfn._xlws.FILTER(CLIENTES!$E86:$BO86,(CLIENTES!$E$5:$BO$5=AW$5)*(CLIENTES!$E$9:$BO$9="VENDA"),0)</f>
        <v>0</v>
      </c>
      <c r="AX52" s="285" cm="1">
        <f t="array" ref="AX52">_xlfn._xlws.FILTER(CLIENTES!$E86:$BO86,(CLIENTES!$E$5:$BO$5=AX$5)*(CLIENTES!$E$9:$BO$9="VENDA"),0)</f>
        <v>0</v>
      </c>
      <c r="AY52" s="285" cm="1">
        <f t="array" ref="AY52">_xlfn._xlws.FILTER(CLIENTES!$E86:$BO86,(CLIENTES!$E$5:$BO$5=AY$5)*(CLIENTES!$E$9:$BO$9="VENDA"),0)</f>
        <v>0</v>
      </c>
      <c r="AZ52" s="285" cm="1">
        <f t="array" ref="AZ52">_xlfn._xlws.FILTER(CLIENTES!$E86:$BO86,(CLIENTES!$E$5:$BO$5=AZ$5)*(CLIENTES!$E$9:$BO$9="VENDA"),0)</f>
        <v>0</v>
      </c>
      <c r="BA52" s="285" cm="1">
        <f t="array" ref="BA52">_xlfn._xlws.FILTER(CLIENTES!$E86:$BO86,(CLIENTES!$E$5:$BO$5=BA$5)*(CLIENTES!$E$9:$BO$9="VENDA"),0)</f>
        <v>0</v>
      </c>
      <c r="BB52" s="285" cm="1">
        <f t="array" ref="BB52">_xlfn._xlws.FILTER(CLIENTES!$E86:$BO86,(CLIENTES!$E$5:$BO$5=BB$5)*(CLIENTES!$E$9:$BO$9="VENDA"),0)</f>
        <v>0</v>
      </c>
      <c r="BC52" s="285" cm="1">
        <f t="array" ref="BC52">_xlfn._xlws.FILTER(CLIENTES!$E86:$BO86,(CLIENTES!$E$5:$BO$5=BC$5)*(CLIENTES!$E$9:$BO$9="VENDA"),0)</f>
        <v>0</v>
      </c>
      <c r="BD52" s="285" cm="1">
        <f t="array" ref="BD52">_xlfn._xlws.FILTER(CLIENTES!$E86:$BO86,(CLIENTES!$E$5:$BO$5=BD$5)*(CLIENTES!$E$9:$BO$9="VENDA"),0)</f>
        <v>0</v>
      </c>
      <c r="BE52" s="285" cm="1">
        <f t="array" ref="BE52">_xlfn._xlws.FILTER(CLIENTES!$E86:$BO86,(CLIENTES!$E$5:$BO$5=BE$5)*(CLIENTES!$E$9:$BO$9="VENDA"),0)</f>
        <v>0</v>
      </c>
      <c r="BF52" s="285" cm="1">
        <f t="array" ref="BF52">_xlfn._xlws.FILTER(CLIENTES!$E86:$BO86,(CLIENTES!$E$5:$BO$5=BF$5)*(CLIENTES!$E$9:$BO$9="VENDA"),0)</f>
        <v>0</v>
      </c>
      <c r="BG52" s="285" cm="1">
        <f t="array" ref="BG52">_xlfn._xlws.FILTER(CLIENTES!$E86:$BO86,(CLIENTES!$E$5:$BO$5=BG$5)*(CLIENTES!$E$9:$BO$9="VENDA"),0)</f>
        <v>0</v>
      </c>
      <c r="BH52" s="285" cm="1">
        <f t="array" ref="BH52">_xlfn._xlws.FILTER(CLIENTES!$E86:$BO86,(CLIENTES!$E$5:$BO$5=BH$5)*(CLIENTES!$E$9:$BO$9="VENDA"),0)</f>
        <v>0</v>
      </c>
      <c r="BI52" s="285" cm="1">
        <f t="array" ref="BI52">_xlfn._xlws.FILTER(CLIENTES!$E86:$BO86,(CLIENTES!$E$5:$BO$5=BI$5)*(CLIENTES!$E$9:$BO$9="VENDA"),0)</f>
        <v>0</v>
      </c>
      <c r="BJ52" s="285" cm="1">
        <f t="array" ref="BJ52">_xlfn._xlws.FILTER(CLIENTES!$E86:$BO86,(CLIENTES!$E$5:$BO$5=BJ$5)*(CLIENTES!$E$9:$BO$9="VENDA"),0)</f>
        <v>0</v>
      </c>
      <c r="BK52" s="285" cm="1">
        <f t="array" ref="BK52">_xlfn._xlws.FILTER(CLIENTES!$E86:$BO86,(CLIENTES!$E$5:$BO$5=BK$5)*(CLIENTES!$E$9:$BO$9="VENDA"),0)</f>
        <v>0</v>
      </c>
      <c r="BL52" s="285" cm="1">
        <f t="array" ref="BL52">_xlfn._xlws.FILTER(CLIENTES!$E86:$BO86,(CLIENTES!$E$5:$BO$5=BL$5)*(CLIENTES!$E$9:$BO$9="VENDA"),0)</f>
        <v>0</v>
      </c>
    </row>
    <row r="53" spans="2:84" x14ac:dyDescent="0.2">
      <c r="B53" s="326"/>
      <c r="C53" s="23" t="s">
        <v>10</v>
      </c>
      <c r="D53" s="72">
        <v>4.0000000000000002E-4</v>
      </c>
      <c r="E53" s="200">
        <f>CLIENTES!F88</f>
        <v>4.0000000000000002E-4</v>
      </c>
      <c r="F53" s="200">
        <f>CLIENTES!H88</f>
        <v>4.0000000000000002E-4</v>
      </c>
      <c r="G53" s="200">
        <f>CLIENTES!I88</f>
        <v>4.0000000000000002E-4</v>
      </c>
      <c r="H53" s="200">
        <f>CLIENTES!J88</f>
        <v>4.0000000000000002E-4</v>
      </c>
      <c r="I53" s="200">
        <f>CLIENTES!K88</f>
        <v>4.0000000000000002E-4</v>
      </c>
      <c r="J53" s="200">
        <f>CLIENTES!L88</f>
        <v>4.0000000000000002E-4</v>
      </c>
      <c r="K53" s="200">
        <f>CLIENTES!M88</f>
        <v>4.0000000000000002E-4</v>
      </c>
      <c r="L53" s="200">
        <f>CLIENTES!N88</f>
        <v>4.0000000000000002E-4</v>
      </c>
      <c r="M53" s="200">
        <f>CLIENTES!O88</f>
        <v>4.0000000000000002E-4</v>
      </c>
      <c r="N53" s="200">
        <f>CLIENTES!P88</f>
        <v>4.0000000000000002E-4</v>
      </c>
      <c r="O53" s="200">
        <f>CLIENTES!Q88</f>
        <v>4.0000000000000002E-4</v>
      </c>
      <c r="P53" s="200">
        <f>CLIENTES!R88</f>
        <v>4.0000000000000002E-4</v>
      </c>
      <c r="Q53" s="200">
        <f>CLIENTES!S88</f>
        <v>4.0000000000000002E-4</v>
      </c>
      <c r="R53" s="200">
        <f>CLIENTES!T88</f>
        <v>4.0000000000000002E-4</v>
      </c>
      <c r="S53" s="200">
        <f>CLIENTES!U88</f>
        <v>4.0000000000000002E-4</v>
      </c>
      <c r="T53" s="200">
        <f>CLIENTES!V88</f>
        <v>4.0000000000000002E-4</v>
      </c>
      <c r="U53" s="200">
        <f>CLIENTES!W88</f>
        <v>4.0000000000000002E-4</v>
      </c>
      <c r="V53" s="200">
        <f>CLIENTES!X88</f>
        <v>4.0000000000000002E-4</v>
      </c>
      <c r="W53" s="200">
        <f>CLIENTES!Y88</f>
        <v>4.0000000000000002E-4</v>
      </c>
      <c r="X53" s="200">
        <f>CLIENTES!Z88</f>
        <v>4.0000000000000002E-4</v>
      </c>
      <c r="Y53" s="200">
        <f>CLIENTES!AA88</f>
        <v>4.0000000000000002E-4</v>
      </c>
      <c r="Z53" s="200">
        <f>CLIENTES!AB88</f>
        <v>4.0000000000000002E-4</v>
      </c>
      <c r="AA53" s="200">
        <f>CLIENTES!AC88</f>
        <v>4.0000000000000002E-4</v>
      </c>
      <c r="AB53" s="200">
        <f>CLIENTES!AD88</f>
        <v>4.0000000000000002E-4</v>
      </c>
      <c r="AC53" s="200">
        <f>CLIENTES!AE88</f>
        <v>4.0000000000000002E-4</v>
      </c>
      <c r="AD53" s="200">
        <f>CLIENTES!AF88</f>
        <v>4.0000000000000002E-4</v>
      </c>
      <c r="AE53" s="200">
        <f>CLIENTES!AG88</f>
        <v>4.0000000000000002E-4</v>
      </c>
      <c r="AF53" s="200">
        <f>CLIENTES!AH88</f>
        <v>4.0000000000000002E-4</v>
      </c>
      <c r="AG53" s="200">
        <f>CLIENTES!AI88</f>
        <v>4.0000000000000002E-4</v>
      </c>
      <c r="AH53" s="200">
        <f>CLIENTES!AJ88</f>
        <v>4.0000000000000002E-4</v>
      </c>
      <c r="AI53" s="200">
        <f>CLIENTES!AK88</f>
        <v>4.0000000000000002E-4</v>
      </c>
      <c r="AJ53" s="200">
        <f>CLIENTES!AL88</f>
        <v>4.0000000000000002E-4</v>
      </c>
      <c r="AK53" s="200">
        <f>CLIENTES!AM88</f>
        <v>4.0000000000000002E-4</v>
      </c>
      <c r="AL53" s="200">
        <f>CLIENTES!AN88</f>
        <v>4.0000000000000002E-4</v>
      </c>
      <c r="AM53" s="200">
        <f>CLIENTES!AO88</f>
        <v>4.0000000000000002E-4</v>
      </c>
      <c r="AN53" s="200">
        <f>CLIENTES!AP88</f>
        <v>4.0000000000000002E-4</v>
      </c>
      <c r="AO53" s="200">
        <f>CLIENTES!AQ88</f>
        <v>4.0000000000000002E-4</v>
      </c>
      <c r="AP53" s="200">
        <f>CLIENTES!AR88</f>
        <v>4.0000000000000002E-4</v>
      </c>
      <c r="AQ53" s="200">
        <f>CLIENTES!AS88</f>
        <v>4.0000000000000002E-4</v>
      </c>
      <c r="AR53" s="200">
        <f>CLIENTES!AT88</f>
        <v>4.0000000000000002E-4</v>
      </c>
      <c r="AS53" s="200">
        <f>CLIENTES!AU88</f>
        <v>4.0000000000000002E-4</v>
      </c>
      <c r="AT53" s="200">
        <f>CLIENTES!AV88</f>
        <v>4.0000000000000002E-4</v>
      </c>
      <c r="AU53" s="200">
        <f>CLIENTES!AW88</f>
        <v>4.0000000000000002E-4</v>
      </c>
      <c r="AV53" s="200">
        <f>CLIENTES!AX88</f>
        <v>4.0000000000000002E-4</v>
      </c>
      <c r="AW53" s="200">
        <f>CLIENTES!AY88</f>
        <v>4.0000000000000002E-4</v>
      </c>
      <c r="AX53" s="200">
        <f>CLIENTES!AZ88</f>
        <v>4.0000000000000002E-4</v>
      </c>
      <c r="AY53" s="200">
        <f>CLIENTES!BA88</f>
        <v>4.0000000000000002E-4</v>
      </c>
      <c r="AZ53" s="215">
        <f>CLIENTES!BB88</f>
        <v>4.0000000000000002E-4</v>
      </c>
      <c r="BA53" s="200">
        <f>CLIENTES!BC88</f>
        <v>4.0000000000000002E-4</v>
      </c>
      <c r="BB53" s="200">
        <f>CLIENTES!BD88</f>
        <v>4.0000000000000002E-4</v>
      </c>
      <c r="BC53" s="200">
        <f>CLIENTES!BE88</f>
        <v>4.0000000000000002E-4</v>
      </c>
      <c r="BD53" s="200">
        <f>CLIENTES!BF88</f>
        <v>4.0000000000000002E-4</v>
      </c>
      <c r="BE53" s="200">
        <f>CLIENTES!BG88</f>
        <v>4.0000000000000002E-4</v>
      </c>
      <c r="BF53" s="200">
        <f>CLIENTES!BH88</f>
        <v>4.0000000000000002E-4</v>
      </c>
      <c r="BG53" s="200">
        <f>CLIENTES!BI88</f>
        <v>4.0000000000000002E-4</v>
      </c>
      <c r="BH53" s="200">
        <f>CLIENTES!BJ88</f>
        <v>4.0000000000000002E-4</v>
      </c>
      <c r="BI53" s="200">
        <f>CLIENTES!BK88</f>
        <v>4.0000000000000002E-4</v>
      </c>
      <c r="BJ53" s="200">
        <f>CLIENTES!BL88</f>
        <v>4.0000000000000002E-4</v>
      </c>
      <c r="BK53" s="200">
        <f>CLIENTES!BM88</f>
        <v>4.0000000000000002E-4</v>
      </c>
      <c r="BL53" s="200">
        <f>CLIENTES!BN88</f>
        <v>4.0000000000000002E-4</v>
      </c>
    </row>
    <row r="54" spans="2:84" x14ac:dyDescent="0.2">
      <c r="B54" s="326"/>
      <c r="C54" s="58" t="s">
        <v>23</v>
      </c>
      <c r="D54" s="27">
        <f>SUM(E54:BL54)</f>
        <v>161.43146861297242</v>
      </c>
      <c r="E54" s="132">
        <v>0</v>
      </c>
      <c r="F54" s="132">
        <f t="shared" ref="F54:BL54" si="20">(F50+F51-F52)*F53</f>
        <v>161.43146861297242</v>
      </c>
      <c r="G54" s="132">
        <f t="shared" si="20"/>
        <v>0</v>
      </c>
      <c r="H54" s="132">
        <f t="shared" si="20"/>
        <v>0</v>
      </c>
      <c r="I54" s="132">
        <f t="shared" si="20"/>
        <v>0</v>
      </c>
      <c r="J54" s="132">
        <f t="shared" si="20"/>
        <v>0</v>
      </c>
      <c r="K54" s="132">
        <f t="shared" si="20"/>
        <v>0</v>
      </c>
      <c r="L54" s="132">
        <f t="shared" si="20"/>
        <v>0</v>
      </c>
      <c r="M54" s="132">
        <f t="shared" si="20"/>
        <v>0</v>
      </c>
      <c r="N54" s="132">
        <f t="shared" si="20"/>
        <v>0</v>
      </c>
      <c r="O54" s="132">
        <f t="shared" si="20"/>
        <v>0</v>
      </c>
      <c r="P54" s="132">
        <f t="shared" si="20"/>
        <v>0</v>
      </c>
      <c r="Q54" s="132">
        <v>0</v>
      </c>
      <c r="R54" s="132">
        <v>0</v>
      </c>
      <c r="S54" s="132">
        <f t="shared" si="20"/>
        <v>0</v>
      </c>
      <c r="T54" s="132">
        <f t="shared" si="20"/>
        <v>0</v>
      </c>
      <c r="U54" s="132">
        <v>0</v>
      </c>
      <c r="V54" s="132">
        <v>0</v>
      </c>
      <c r="W54" s="132">
        <f t="shared" si="20"/>
        <v>0</v>
      </c>
      <c r="X54" s="132">
        <f t="shared" si="20"/>
        <v>0</v>
      </c>
      <c r="Y54" s="132">
        <f t="shared" si="20"/>
        <v>0</v>
      </c>
      <c r="Z54" s="132">
        <v>0</v>
      </c>
      <c r="AA54" s="132">
        <f t="shared" si="20"/>
        <v>0</v>
      </c>
      <c r="AB54" s="132">
        <f t="shared" si="20"/>
        <v>0</v>
      </c>
      <c r="AC54" s="132">
        <f t="shared" si="20"/>
        <v>0</v>
      </c>
      <c r="AD54" s="132">
        <v>0</v>
      </c>
      <c r="AE54" s="132">
        <f t="shared" si="20"/>
        <v>0</v>
      </c>
      <c r="AF54" s="132">
        <f t="shared" si="20"/>
        <v>0</v>
      </c>
      <c r="AG54" s="132">
        <f t="shared" si="20"/>
        <v>0</v>
      </c>
      <c r="AH54" s="132">
        <f t="shared" si="20"/>
        <v>0</v>
      </c>
      <c r="AI54" s="132">
        <f t="shared" si="20"/>
        <v>0</v>
      </c>
      <c r="AJ54" s="132">
        <f t="shared" si="20"/>
        <v>0</v>
      </c>
      <c r="AK54" s="132">
        <v>0</v>
      </c>
      <c r="AL54" s="132">
        <v>0</v>
      </c>
      <c r="AM54" s="132">
        <f t="shared" si="20"/>
        <v>0</v>
      </c>
      <c r="AN54" s="132">
        <f t="shared" si="20"/>
        <v>0</v>
      </c>
      <c r="AO54" s="132">
        <f t="shared" si="20"/>
        <v>0</v>
      </c>
      <c r="AP54" s="132">
        <f t="shared" si="20"/>
        <v>0</v>
      </c>
      <c r="AQ54" s="132">
        <f t="shared" si="20"/>
        <v>0</v>
      </c>
      <c r="AR54" s="132">
        <f t="shared" si="20"/>
        <v>0</v>
      </c>
      <c r="AS54" s="132">
        <v>0</v>
      </c>
      <c r="AT54" s="132">
        <v>0</v>
      </c>
      <c r="AU54" s="132">
        <f t="shared" si="20"/>
        <v>0</v>
      </c>
      <c r="AV54" s="132">
        <f t="shared" si="20"/>
        <v>0</v>
      </c>
      <c r="AW54" s="132">
        <v>0</v>
      </c>
      <c r="AX54" s="132">
        <f t="shared" si="20"/>
        <v>0</v>
      </c>
      <c r="AY54" s="132">
        <v>0</v>
      </c>
      <c r="AZ54" s="139">
        <f t="shared" si="20"/>
        <v>0</v>
      </c>
      <c r="BA54" s="132">
        <f t="shared" si="20"/>
        <v>0</v>
      </c>
      <c r="BB54" s="132">
        <f t="shared" si="20"/>
        <v>0</v>
      </c>
      <c r="BC54" s="132">
        <f t="shared" si="20"/>
        <v>0</v>
      </c>
      <c r="BD54" s="132">
        <f t="shared" si="20"/>
        <v>0</v>
      </c>
      <c r="BE54" s="132"/>
      <c r="BF54" s="132"/>
      <c r="BG54" s="132">
        <f t="shared" si="20"/>
        <v>0</v>
      </c>
      <c r="BH54" s="132">
        <v>0</v>
      </c>
      <c r="BI54" s="132">
        <f t="shared" si="20"/>
        <v>0</v>
      </c>
      <c r="BJ54" s="132">
        <f t="shared" si="20"/>
        <v>0</v>
      </c>
      <c r="BK54" s="132">
        <v>0</v>
      </c>
      <c r="BL54" s="132">
        <f t="shared" si="20"/>
        <v>0</v>
      </c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</row>
    <row r="55" spans="2:84" ht="13.5" thickBot="1" x14ac:dyDescent="0.25">
      <c r="B55" s="327"/>
      <c r="C55" s="25" t="s">
        <v>22</v>
      </c>
      <c r="D55" s="30">
        <f>SUM(E55:BL55)</f>
        <v>763740.10300104402</v>
      </c>
      <c r="E55" s="146">
        <f>+E50-E52+E51+E54</f>
        <v>360000</v>
      </c>
      <c r="F55" s="146">
        <f t="shared" ref="F55:BL55" si="21">+F50-F52+F51+F54</f>
        <v>403740.10300104402</v>
      </c>
      <c r="G55" s="146">
        <f t="shared" si="21"/>
        <v>0</v>
      </c>
      <c r="H55" s="146">
        <f t="shared" si="21"/>
        <v>0</v>
      </c>
      <c r="I55" s="146">
        <f t="shared" si="21"/>
        <v>0</v>
      </c>
      <c r="J55" s="146">
        <f t="shared" si="21"/>
        <v>0</v>
      </c>
      <c r="K55" s="146">
        <f t="shared" si="21"/>
        <v>0</v>
      </c>
      <c r="L55" s="146">
        <f t="shared" si="21"/>
        <v>0</v>
      </c>
      <c r="M55" s="146">
        <f t="shared" si="21"/>
        <v>0</v>
      </c>
      <c r="N55" s="146">
        <f t="shared" si="21"/>
        <v>0</v>
      </c>
      <c r="O55" s="146">
        <f t="shared" si="21"/>
        <v>0</v>
      </c>
      <c r="P55" s="146">
        <f t="shared" si="21"/>
        <v>0</v>
      </c>
      <c r="Q55" s="146">
        <f t="shared" si="21"/>
        <v>0</v>
      </c>
      <c r="R55" s="146">
        <f t="shared" si="21"/>
        <v>0</v>
      </c>
      <c r="S55" s="146">
        <f t="shared" si="21"/>
        <v>0</v>
      </c>
      <c r="T55" s="146">
        <f t="shared" si="21"/>
        <v>0</v>
      </c>
      <c r="U55" s="146">
        <f t="shared" si="21"/>
        <v>0</v>
      </c>
      <c r="V55" s="146">
        <f t="shared" si="21"/>
        <v>0</v>
      </c>
      <c r="W55" s="146">
        <f t="shared" si="21"/>
        <v>0</v>
      </c>
      <c r="X55" s="146">
        <f t="shared" si="21"/>
        <v>0</v>
      </c>
      <c r="Y55" s="146">
        <f t="shared" si="21"/>
        <v>0</v>
      </c>
      <c r="Z55" s="146">
        <f t="shared" si="21"/>
        <v>0</v>
      </c>
      <c r="AA55" s="146">
        <f t="shared" si="21"/>
        <v>0</v>
      </c>
      <c r="AB55" s="146">
        <f t="shared" si="21"/>
        <v>0</v>
      </c>
      <c r="AC55" s="212" t="s">
        <v>49</v>
      </c>
      <c r="AD55" s="146">
        <f t="shared" si="21"/>
        <v>0</v>
      </c>
      <c r="AE55" s="146">
        <f t="shared" si="21"/>
        <v>0</v>
      </c>
      <c r="AF55" s="146">
        <f t="shared" si="21"/>
        <v>0</v>
      </c>
      <c r="AG55" s="146">
        <f t="shared" si="21"/>
        <v>0</v>
      </c>
      <c r="AH55" s="146">
        <f t="shared" si="21"/>
        <v>0</v>
      </c>
      <c r="AI55" s="146">
        <f t="shared" si="21"/>
        <v>0</v>
      </c>
      <c r="AJ55" s="146">
        <f t="shared" si="21"/>
        <v>0</v>
      </c>
      <c r="AK55" s="146">
        <f t="shared" si="21"/>
        <v>0</v>
      </c>
      <c r="AL55" s="146">
        <f t="shared" si="21"/>
        <v>0</v>
      </c>
      <c r="AM55" s="146">
        <f t="shared" si="21"/>
        <v>0</v>
      </c>
      <c r="AN55" s="146">
        <f t="shared" si="21"/>
        <v>0</v>
      </c>
      <c r="AO55" s="146">
        <f t="shared" si="21"/>
        <v>0</v>
      </c>
      <c r="AP55" s="146">
        <f t="shared" si="21"/>
        <v>0</v>
      </c>
      <c r="AQ55" s="146">
        <f t="shared" si="21"/>
        <v>0</v>
      </c>
      <c r="AR55" s="146">
        <f t="shared" si="21"/>
        <v>0</v>
      </c>
      <c r="AS55" s="146">
        <f t="shared" si="21"/>
        <v>0</v>
      </c>
      <c r="AT55" s="146">
        <f t="shared" si="21"/>
        <v>0</v>
      </c>
      <c r="AU55" s="146">
        <f t="shared" si="21"/>
        <v>0</v>
      </c>
      <c r="AV55" s="146">
        <f t="shared" si="21"/>
        <v>0</v>
      </c>
      <c r="AW55" s="146">
        <f t="shared" si="21"/>
        <v>0</v>
      </c>
      <c r="AX55" s="146">
        <f t="shared" si="21"/>
        <v>0</v>
      </c>
      <c r="AY55" s="146">
        <f t="shared" si="21"/>
        <v>0</v>
      </c>
      <c r="AZ55" s="146">
        <f t="shared" si="21"/>
        <v>0</v>
      </c>
      <c r="BA55" s="146">
        <f t="shared" si="21"/>
        <v>0</v>
      </c>
      <c r="BB55" s="146">
        <f t="shared" si="21"/>
        <v>0</v>
      </c>
      <c r="BC55" s="146">
        <f t="shared" si="21"/>
        <v>0</v>
      </c>
      <c r="BD55" s="146">
        <f t="shared" si="21"/>
        <v>0</v>
      </c>
      <c r="BE55" s="146">
        <f t="shared" si="21"/>
        <v>0</v>
      </c>
      <c r="BF55" s="146">
        <f t="shared" si="21"/>
        <v>0</v>
      </c>
      <c r="BG55" s="146">
        <f t="shared" si="21"/>
        <v>0</v>
      </c>
      <c r="BH55" s="146">
        <f t="shared" si="21"/>
        <v>0</v>
      </c>
      <c r="BI55" s="146">
        <f t="shared" si="21"/>
        <v>0</v>
      </c>
      <c r="BJ55" s="146">
        <f t="shared" si="21"/>
        <v>0</v>
      </c>
      <c r="BK55" s="146">
        <f t="shared" si="21"/>
        <v>0</v>
      </c>
      <c r="BL55" s="146">
        <f t="shared" si="21"/>
        <v>0</v>
      </c>
    </row>
    <row r="56" spans="2:84" ht="13.5" thickBot="1" x14ac:dyDescent="0.25">
      <c r="B56" s="325">
        <v>43862</v>
      </c>
      <c r="C56" s="62" t="s">
        <v>6</v>
      </c>
      <c r="D56" s="31">
        <f>SUM(E56:BL56)</f>
        <v>95000</v>
      </c>
      <c r="E56" s="285" cm="1">
        <f t="array" ref="E56">_xlfn._xlws.FILTER(CLIENTES!$E93:$BO93,(CLIENTES!$E$5:$BO$5=E$5)*(CLIENTES!$E$9:$BO$9="VENDA"),0)</f>
        <v>45000</v>
      </c>
      <c r="F56" s="285" cm="1">
        <f t="array" ref="F56">_xlfn._xlws.FILTER(CLIENTES!$E93:$BO93,(CLIENTES!$E$5:$BO$5=F$5)*(CLIENTES!$E$9:$BO$9="VENDA"),0)</f>
        <v>50000</v>
      </c>
      <c r="G56" s="285" cm="1">
        <f t="array" ref="G56">_xlfn._xlws.FILTER(CLIENTES!$E93:$BO93,(CLIENTES!$E$5:$BO$5=G$5)*(CLIENTES!$E$9:$BO$9="VENDA"),0)</f>
        <v>0</v>
      </c>
      <c r="H56" s="285" cm="1">
        <f t="array" ref="H56">_xlfn._xlws.FILTER(CLIENTES!$E93:$BO93,(CLIENTES!$E$5:$BO$5=H$5)*(CLIENTES!$E$9:$BO$9="VENDA"),0)</f>
        <v>0</v>
      </c>
      <c r="I56" s="285" cm="1">
        <f t="array" ref="I56">_xlfn._xlws.FILTER(CLIENTES!$E93:$BO93,(CLIENTES!$E$5:$BO$5=I$5)*(CLIENTES!$E$9:$BO$9="VENDA"),0)</f>
        <v>0</v>
      </c>
      <c r="J56" s="285" cm="1">
        <f t="array" ref="J56">_xlfn._xlws.FILTER(CLIENTES!$E93:$BO93,(CLIENTES!$E$5:$BO$5=J$5)*(CLIENTES!$E$9:$BO$9="VENDA"),0)</f>
        <v>0</v>
      </c>
      <c r="K56" s="285" cm="1">
        <f t="array" ref="K56">_xlfn._xlws.FILTER(CLIENTES!$E93:$BO93,(CLIENTES!$E$5:$BO$5=K$5)*(CLIENTES!$E$9:$BO$9="VENDA"),0)</f>
        <v>0</v>
      </c>
      <c r="L56" s="285" cm="1">
        <f t="array" ref="L56">_xlfn._xlws.FILTER(CLIENTES!$E93:$BO93,(CLIENTES!$E$5:$BO$5=L$5)*(CLIENTES!$E$9:$BO$9="VENDA"),0)</f>
        <v>0</v>
      </c>
      <c r="M56" s="285" cm="1">
        <f t="array" ref="M56">_xlfn._xlws.FILTER(CLIENTES!$E93:$BO93,(CLIENTES!$E$5:$BO$5=M$5)*(CLIENTES!$E$9:$BO$9="VENDA"),0)</f>
        <v>0</v>
      </c>
      <c r="N56" s="285" cm="1">
        <f t="array" ref="N56">_xlfn._xlws.FILTER(CLIENTES!$E93:$BO93,(CLIENTES!$E$5:$BO$5=N$5)*(CLIENTES!$E$9:$BO$9="VENDA"),0)</f>
        <v>0</v>
      </c>
      <c r="O56" s="285" cm="1">
        <f t="array" ref="O56">_xlfn._xlws.FILTER(CLIENTES!$E93:$BO93,(CLIENTES!$E$5:$BO$5=O$5)*(CLIENTES!$E$9:$BO$9="VENDA"),0)</f>
        <v>0</v>
      </c>
      <c r="P56" s="285" cm="1">
        <f t="array" ref="P56">_xlfn._xlws.FILTER(CLIENTES!$E93:$BO93,(CLIENTES!$E$5:$BO$5=P$5)*(CLIENTES!$E$9:$BO$9="VENDA"),0)</f>
        <v>0</v>
      </c>
      <c r="Q56" s="285" cm="1">
        <f t="array" ref="Q56">_xlfn._xlws.FILTER(CLIENTES!$E93:$BO93,(CLIENTES!$E$5:$BO$5=Q$5)*(CLIENTES!$E$9:$BO$9="VENDA"),0)</f>
        <v>0</v>
      </c>
      <c r="R56" s="285" cm="1">
        <f t="array" ref="R56">_xlfn._xlws.FILTER(CLIENTES!$E93:$BO93,(CLIENTES!$E$5:$BO$5=R$5)*(CLIENTES!$E$9:$BO$9="VENDA"),0)</f>
        <v>0</v>
      </c>
      <c r="S56" s="285" cm="1">
        <f t="array" ref="S56">_xlfn._xlws.FILTER(CLIENTES!$E93:$BO93,(CLIENTES!$E$5:$BO$5=S$5)*(CLIENTES!$E$9:$BO$9="VENDA"),0)</f>
        <v>0</v>
      </c>
      <c r="T56" s="285" cm="1">
        <f t="array" ref="T56">_xlfn._xlws.FILTER(CLIENTES!$E93:$BO93,(CLIENTES!$E$5:$BO$5=T$5)*(CLIENTES!$E$9:$BO$9="VENDA"),0)</f>
        <v>0</v>
      </c>
      <c r="U56" s="285" cm="1">
        <f t="array" ref="U56">_xlfn._xlws.FILTER(CLIENTES!$E93:$BO93,(CLIENTES!$E$5:$BO$5=U$5)*(CLIENTES!$E$9:$BO$9="VENDA"),0)</f>
        <v>0</v>
      </c>
      <c r="V56" s="285" cm="1">
        <f t="array" ref="V56">_xlfn._xlws.FILTER(CLIENTES!$E93:$BO93,(CLIENTES!$E$5:$BO$5=V$5)*(CLIENTES!$E$9:$BO$9="VENDA"),0)</f>
        <v>0</v>
      </c>
      <c r="W56" s="285" cm="1">
        <f t="array" ref="W56">_xlfn._xlws.FILTER(CLIENTES!$E93:$BO93,(CLIENTES!$E$5:$BO$5=W$5)*(CLIENTES!$E$9:$BO$9="VENDA"),0)</f>
        <v>0</v>
      </c>
      <c r="X56" s="285" cm="1">
        <f t="array" ref="X56">_xlfn._xlws.FILTER(CLIENTES!$E93:$BO93,(CLIENTES!$E$5:$BO$5=X$5)*(CLIENTES!$E$9:$BO$9="VENDA"),0)</f>
        <v>0</v>
      </c>
      <c r="Y56" s="285" cm="1">
        <f t="array" ref="Y56">_xlfn._xlws.FILTER(CLIENTES!$E93:$BO93,(CLIENTES!$E$5:$BO$5=Y$5)*(CLIENTES!$E$9:$BO$9="VENDA"),0)</f>
        <v>0</v>
      </c>
      <c r="Z56" s="285" cm="1">
        <f t="array" ref="Z56">_xlfn._xlws.FILTER(CLIENTES!$E93:$BO93,(CLIENTES!$E$5:$BO$5=Z$5)*(CLIENTES!$E$9:$BO$9="VENDA"),0)</f>
        <v>0</v>
      </c>
      <c r="AA56" s="285" cm="1">
        <f t="array" ref="AA56">_xlfn._xlws.FILTER(CLIENTES!$E93:$BO93,(CLIENTES!$E$5:$BO$5=AA$5)*(CLIENTES!$E$9:$BO$9="VENDA"),0)</f>
        <v>0</v>
      </c>
      <c r="AB56" s="285" cm="1">
        <f t="array" ref="AB56">_xlfn._xlws.FILTER(CLIENTES!$E93:$BO93,(CLIENTES!$E$5:$BO$5=AB$5)*(CLIENTES!$E$9:$BO$9="VENDA"),0)</f>
        <v>0</v>
      </c>
      <c r="AC56" s="285" cm="1">
        <f t="array" ref="AC56">_xlfn._xlws.FILTER(CLIENTES!$E93:$BO93,(CLIENTES!$E$5:$BO$5=AC$5)*(CLIENTES!$E$9:$BO$9="VENDA"),0)</f>
        <v>0</v>
      </c>
      <c r="AD56" s="285" cm="1">
        <f t="array" ref="AD56">_xlfn._xlws.FILTER(CLIENTES!$E93:$BO93,(CLIENTES!$E$5:$BO$5=AD$5)*(CLIENTES!$E$9:$BO$9="VENDA"),0)</f>
        <v>0</v>
      </c>
      <c r="AE56" s="285" cm="1">
        <f t="array" ref="AE56">_xlfn._xlws.FILTER(CLIENTES!$E93:$BO93,(CLIENTES!$E$5:$BO$5=AE$5)*(CLIENTES!$E$9:$BO$9="VENDA"),0)</f>
        <v>0</v>
      </c>
      <c r="AF56" s="285" cm="1">
        <f t="array" ref="AF56">_xlfn._xlws.FILTER(CLIENTES!$E93:$BO93,(CLIENTES!$E$5:$BO$5=AF$5)*(CLIENTES!$E$9:$BO$9="VENDA"),0)</f>
        <v>0</v>
      </c>
      <c r="AG56" s="285" cm="1">
        <f t="array" ref="AG56">_xlfn._xlws.FILTER(CLIENTES!$E93:$BO93,(CLIENTES!$E$5:$BO$5=AG$5)*(CLIENTES!$E$9:$BO$9="VENDA"),0)</f>
        <v>0</v>
      </c>
      <c r="AH56" s="285" cm="1">
        <f t="array" ref="AH56">_xlfn._xlws.FILTER(CLIENTES!$E93:$BO93,(CLIENTES!$E$5:$BO$5=AH$5)*(CLIENTES!$E$9:$BO$9="VENDA"),0)</f>
        <v>0</v>
      </c>
      <c r="AI56" s="285" cm="1">
        <f t="array" ref="AI56">_xlfn._xlws.FILTER(CLIENTES!$E93:$BO93,(CLIENTES!$E$5:$BO$5=AI$5)*(CLIENTES!$E$9:$BO$9="VENDA"),0)</f>
        <v>0</v>
      </c>
      <c r="AJ56" s="285" cm="1">
        <f t="array" ref="AJ56">_xlfn._xlws.FILTER(CLIENTES!$E93:$BO93,(CLIENTES!$E$5:$BO$5=AJ$5)*(CLIENTES!$E$9:$BO$9="VENDA"),0)</f>
        <v>0</v>
      </c>
      <c r="AK56" s="285" cm="1">
        <f t="array" ref="AK56">_xlfn._xlws.FILTER(CLIENTES!$E93:$BO93,(CLIENTES!$E$5:$BO$5=AK$5)*(CLIENTES!$E$9:$BO$9="VENDA"),0)</f>
        <v>0</v>
      </c>
      <c r="AL56" s="285" cm="1">
        <f t="array" ref="AL56">_xlfn._xlws.FILTER(CLIENTES!$E93:$BO93,(CLIENTES!$E$5:$BO$5=AL$5)*(CLIENTES!$E$9:$BO$9="VENDA"),0)</f>
        <v>0</v>
      </c>
      <c r="AM56" s="285" cm="1">
        <f t="array" ref="AM56">_xlfn._xlws.FILTER(CLIENTES!$E93:$BO93,(CLIENTES!$E$5:$BO$5=AM$5)*(CLIENTES!$E$9:$BO$9="VENDA"),0)</f>
        <v>0</v>
      </c>
      <c r="AN56" s="285" cm="1">
        <f t="array" ref="AN56">_xlfn._xlws.FILTER(CLIENTES!$E93:$BO93,(CLIENTES!$E$5:$BO$5=AN$5)*(CLIENTES!$E$9:$BO$9="VENDA"),0)</f>
        <v>0</v>
      </c>
      <c r="AO56" s="285" cm="1">
        <f t="array" ref="AO56">_xlfn._xlws.FILTER(CLIENTES!$E93:$BO93,(CLIENTES!$E$5:$BO$5=AO$5)*(CLIENTES!$E$9:$BO$9="VENDA"),0)</f>
        <v>0</v>
      </c>
      <c r="AP56" s="285" cm="1">
        <f t="array" ref="AP56">_xlfn._xlws.FILTER(CLIENTES!$E93:$BO93,(CLIENTES!$E$5:$BO$5=AP$5)*(CLIENTES!$E$9:$BO$9="VENDA"),0)</f>
        <v>0</v>
      </c>
      <c r="AQ56" s="285" cm="1">
        <f t="array" ref="AQ56">_xlfn._xlws.FILTER(CLIENTES!$E93:$BO93,(CLIENTES!$E$5:$BO$5=AQ$5)*(CLIENTES!$E$9:$BO$9="VENDA"),0)</f>
        <v>0</v>
      </c>
      <c r="AR56" s="285" cm="1">
        <f t="array" ref="AR56">_xlfn._xlws.FILTER(CLIENTES!$E93:$BO93,(CLIENTES!$E$5:$BO$5=AR$5)*(CLIENTES!$E$9:$BO$9="VENDA"),0)</f>
        <v>0</v>
      </c>
      <c r="AS56" s="285" cm="1">
        <f t="array" ref="AS56">_xlfn._xlws.FILTER(CLIENTES!$E93:$BO93,(CLIENTES!$E$5:$BO$5=AS$5)*(CLIENTES!$E$9:$BO$9="VENDA"),0)</f>
        <v>0</v>
      </c>
      <c r="AT56" s="285" cm="1">
        <f t="array" ref="AT56">_xlfn._xlws.FILTER(CLIENTES!$E93:$BO93,(CLIENTES!$E$5:$BO$5=AT$5)*(CLIENTES!$E$9:$BO$9="VENDA"),0)</f>
        <v>0</v>
      </c>
      <c r="AU56" s="285" cm="1">
        <f t="array" ref="AU56">_xlfn._xlws.FILTER(CLIENTES!$E93:$BO93,(CLIENTES!$E$5:$BO$5=AU$5)*(CLIENTES!$E$9:$BO$9="VENDA"),0)</f>
        <v>0</v>
      </c>
      <c r="AV56" s="285" cm="1">
        <f t="array" ref="AV56">_xlfn._xlws.FILTER(CLIENTES!$E93:$BO93,(CLIENTES!$E$5:$BO$5=AV$5)*(CLIENTES!$E$9:$BO$9="VENDA"),0)</f>
        <v>0</v>
      </c>
      <c r="AW56" s="285" cm="1">
        <f t="array" ref="AW56">_xlfn._xlws.FILTER(CLIENTES!$E93:$BO93,(CLIENTES!$E$5:$BO$5=AW$5)*(CLIENTES!$E$9:$BO$9="VENDA"),0)</f>
        <v>0</v>
      </c>
      <c r="AX56" s="285" cm="1">
        <f t="array" ref="AX56">_xlfn._xlws.FILTER(CLIENTES!$E93:$BO93,(CLIENTES!$E$5:$BO$5=AX$5)*(CLIENTES!$E$9:$BO$9="VENDA"),0)</f>
        <v>0</v>
      </c>
      <c r="AY56" s="285" cm="1">
        <f t="array" ref="AY56">_xlfn._xlws.FILTER(CLIENTES!$E93:$BO93,(CLIENTES!$E$5:$BO$5=AY$5)*(CLIENTES!$E$9:$BO$9="VENDA"),0)</f>
        <v>0</v>
      </c>
      <c r="AZ56" s="285" cm="1">
        <f t="array" ref="AZ56">_xlfn._xlws.FILTER(CLIENTES!$E93:$BO93,(CLIENTES!$E$5:$BO$5=AZ$5)*(CLIENTES!$E$9:$BO$9="VENDA"),0)</f>
        <v>0</v>
      </c>
      <c r="BA56" s="285" cm="1">
        <f t="array" ref="BA56">_xlfn._xlws.FILTER(CLIENTES!$E93:$BO93,(CLIENTES!$E$5:$BO$5=BA$5)*(CLIENTES!$E$9:$BO$9="VENDA"),0)</f>
        <v>0</v>
      </c>
      <c r="BB56" s="285" cm="1">
        <f t="array" ref="BB56">_xlfn._xlws.FILTER(CLIENTES!$E93:$BO93,(CLIENTES!$E$5:$BO$5=BB$5)*(CLIENTES!$E$9:$BO$9="VENDA"),0)</f>
        <v>0</v>
      </c>
      <c r="BC56" s="285" cm="1">
        <f t="array" ref="BC56">_xlfn._xlws.FILTER(CLIENTES!$E93:$BO93,(CLIENTES!$E$5:$BO$5=BC$5)*(CLIENTES!$E$9:$BO$9="VENDA"),0)</f>
        <v>0</v>
      </c>
      <c r="BD56" s="285" cm="1">
        <f t="array" ref="BD56">_xlfn._xlws.FILTER(CLIENTES!$E93:$BO93,(CLIENTES!$E$5:$BO$5=BD$5)*(CLIENTES!$E$9:$BO$9="VENDA"),0)</f>
        <v>0</v>
      </c>
      <c r="BE56" s="285" cm="1">
        <f t="array" ref="BE56">_xlfn._xlws.FILTER(CLIENTES!$E93:$BO93,(CLIENTES!$E$5:$BO$5=BE$5)*(CLIENTES!$E$9:$BO$9="VENDA"),0)</f>
        <v>0</v>
      </c>
      <c r="BF56" s="285" cm="1">
        <f t="array" ref="BF56">_xlfn._xlws.FILTER(CLIENTES!$E93:$BO93,(CLIENTES!$E$5:$BO$5=BF$5)*(CLIENTES!$E$9:$BO$9="VENDA"),0)</f>
        <v>0</v>
      </c>
      <c r="BG56" s="285" cm="1">
        <f t="array" ref="BG56">_xlfn._xlws.FILTER(CLIENTES!$E93:$BO93,(CLIENTES!$E$5:$BO$5=BG$5)*(CLIENTES!$E$9:$BO$9="VENDA"),0)</f>
        <v>0</v>
      </c>
      <c r="BH56" s="285" cm="1">
        <f t="array" ref="BH56">_xlfn._xlws.FILTER(CLIENTES!$E93:$BO93,(CLIENTES!$E$5:$BO$5=BH$5)*(CLIENTES!$E$9:$BO$9="VENDA"),0)</f>
        <v>0</v>
      </c>
      <c r="BI56" s="285" cm="1">
        <f t="array" ref="BI56">_xlfn._xlws.FILTER(CLIENTES!$E93:$BO93,(CLIENTES!$E$5:$BO$5=BI$5)*(CLIENTES!$E$9:$BO$9="VENDA"),0)</f>
        <v>0</v>
      </c>
      <c r="BJ56" s="285" cm="1">
        <f t="array" ref="BJ56">_xlfn._xlws.FILTER(CLIENTES!$E93:$BO93,(CLIENTES!$E$5:$BO$5=BJ$5)*(CLIENTES!$E$9:$BO$9="VENDA"),0)</f>
        <v>0</v>
      </c>
      <c r="BK56" s="285" cm="1">
        <f t="array" ref="BK56">_xlfn._xlws.FILTER(CLIENTES!$E93:$BO93,(CLIENTES!$E$5:$BO$5=BK$5)*(CLIENTES!$E$9:$BO$9="VENDA"),0)</f>
        <v>0</v>
      </c>
      <c r="BL56" s="285" cm="1">
        <f t="array" ref="BL56">_xlfn._xlws.FILTER(CLIENTES!$E93:$BO93,(CLIENTES!$E$5:$BO$5=BL$5)*(CLIENTES!$E$9:$BO$9="VENDA"),0)</f>
        <v>0</v>
      </c>
    </row>
    <row r="57" spans="2:84" ht="13.5" thickBot="1" x14ac:dyDescent="0.25">
      <c r="B57" s="326"/>
      <c r="C57" s="23" t="s">
        <v>9</v>
      </c>
      <c r="D57" s="27">
        <f>SUM(E57:BL57)</f>
        <v>0</v>
      </c>
      <c r="E57" s="285" cm="1">
        <f t="array" ref="E57">_xlfn._xlws.FILTER(CLIENTES!$E94:$BO94,(CLIENTES!$E$5:$BO$5=E$5)*(CLIENTES!$E$9:$BO$9="VENDA"),0)</f>
        <v>0</v>
      </c>
      <c r="F57" s="285" cm="1">
        <f t="array" ref="F57">_xlfn._xlws.FILTER(CLIENTES!$E94:$BO94,(CLIENTES!$E$5:$BO$5=F$5)*(CLIENTES!$E$9:$BO$9="VENDA"),0)</f>
        <v>0</v>
      </c>
      <c r="G57" s="285" cm="1">
        <f t="array" ref="G57">_xlfn._xlws.FILTER(CLIENTES!$E94:$BO94,(CLIENTES!$E$5:$BO$5=G$5)*(CLIENTES!$E$9:$BO$9="VENDA"),0)</f>
        <v>0</v>
      </c>
      <c r="H57" s="285" cm="1">
        <f t="array" ref="H57">_xlfn._xlws.FILTER(CLIENTES!$E94:$BO94,(CLIENTES!$E$5:$BO$5=H$5)*(CLIENTES!$E$9:$BO$9="VENDA"),0)</f>
        <v>0</v>
      </c>
      <c r="I57" s="285" cm="1">
        <f t="array" ref="I57">_xlfn._xlws.FILTER(CLIENTES!$E94:$BO94,(CLIENTES!$E$5:$BO$5=I$5)*(CLIENTES!$E$9:$BO$9="VENDA"),0)</f>
        <v>0</v>
      </c>
      <c r="J57" s="285" cm="1">
        <f t="array" ref="J57">_xlfn._xlws.FILTER(CLIENTES!$E94:$BO94,(CLIENTES!$E$5:$BO$5=J$5)*(CLIENTES!$E$9:$BO$9="VENDA"),0)</f>
        <v>0</v>
      </c>
      <c r="K57" s="285" cm="1">
        <f t="array" ref="K57">_xlfn._xlws.FILTER(CLIENTES!$E94:$BO94,(CLIENTES!$E$5:$BO$5=K$5)*(CLIENTES!$E$9:$BO$9="VENDA"),0)</f>
        <v>0</v>
      </c>
      <c r="L57" s="285" cm="1">
        <f t="array" ref="L57">_xlfn._xlws.FILTER(CLIENTES!$E94:$BO94,(CLIENTES!$E$5:$BO$5=L$5)*(CLIENTES!$E$9:$BO$9="VENDA"),0)</f>
        <v>0</v>
      </c>
      <c r="M57" s="285" cm="1">
        <f t="array" ref="M57">_xlfn._xlws.FILTER(CLIENTES!$E94:$BO94,(CLIENTES!$E$5:$BO$5=M$5)*(CLIENTES!$E$9:$BO$9="VENDA"),0)</f>
        <v>0</v>
      </c>
      <c r="N57" s="285" cm="1">
        <f t="array" ref="N57">_xlfn._xlws.FILTER(CLIENTES!$E94:$BO94,(CLIENTES!$E$5:$BO$5=N$5)*(CLIENTES!$E$9:$BO$9="VENDA"),0)</f>
        <v>0</v>
      </c>
      <c r="O57" s="285" cm="1">
        <f t="array" ref="O57">_xlfn._xlws.FILTER(CLIENTES!$E94:$BO94,(CLIENTES!$E$5:$BO$5=O$5)*(CLIENTES!$E$9:$BO$9="VENDA"),0)</f>
        <v>0</v>
      </c>
      <c r="P57" s="285" cm="1">
        <f t="array" ref="P57">_xlfn._xlws.FILTER(CLIENTES!$E94:$BO94,(CLIENTES!$E$5:$BO$5=P$5)*(CLIENTES!$E$9:$BO$9="VENDA"),0)</f>
        <v>0</v>
      </c>
      <c r="Q57" s="285" cm="1">
        <f t="array" ref="Q57">_xlfn._xlws.FILTER(CLIENTES!$E94:$BO94,(CLIENTES!$E$5:$BO$5=Q$5)*(CLIENTES!$E$9:$BO$9="VENDA"),0)</f>
        <v>0</v>
      </c>
      <c r="R57" s="285" cm="1">
        <f t="array" ref="R57">_xlfn._xlws.FILTER(CLIENTES!$E94:$BO94,(CLIENTES!$E$5:$BO$5=R$5)*(CLIENTES!$E$9:$BO$9="VENDA"),0)</f>
        <v>0</v>
      </c>
      <c r="S57" s="285" cm="1">
        <f t="array" ref="S57">_xlfn._xlws.FILTER(CLIENTES!$E94:$BO94,(CLIENTES!$E$5:$BO$5=S$5)*(CLIENTES!$E$9:$BO$9="VENDA"),0)</f>
        <v>0</v>
      </c>
      <c r="T57" s="285" cm="1">
        <f t="array" ref="T57">_xlfn._xlws.FILTER(CLIENTES!$E94:$BO94,(CLIENTES!$E$5:$BO$5=T$5)*(CLIENTES!$E$9:$BO$9="VENDA"),0)</f>
        <v>0</v>
      </c>
      <c r="U57" s="285" cm="1">
        <f t="array" ref="U57">_xlfn._xlws.FILTER(CLIENTES!$E94:$BO94,(CLIENTES!$E$5:$BO$5=U$5)*(CLIENTES!$E$9:$BO$9="VENDA"),0)</f>
        <v>0</v>
      </c>
      <c r="V57" s="285" cm="1">
        <f t="array" ref="V57">_xlfn._xlws.FILTER(CLIENTES!$E94:$BO94,(CLIENTES!$E$5:$BO$5=V$5)*(CLIENTES!$E$9:$BO$9="VENDA"),0)</f>
        <v>0</v>
      </c>
      <c r="W57" s="285" cm="1">
        <f t="array" ref="W57">_xlfn._xlws.FILTER(CLIENTES!$E94:$BO94,(CLIENTES!$E$5:$BO$5=W$5)*(CLIENTES!$E$9:$BO$9="VENDA"),0)</f>
        <v>0</v>
      </c>
      <c r="X57" s="285" cm="1">
        <f t="array" ref="X57">_xlfn._xlws.FILTER(CLIENTES!$E94:$BO94,(CLIENTES!$E$5:$BO$5=X$5)*(CLIENTES!$E$9:$BO$9="VENDA"),0)</f>
        <v>0</v>
      </c>
      <c r="Y57" s="285" cm="1">
        <f t="array" ref="Y57">_xlfn._xlws.FILTER(CLIENTES!$E94:$BO94,(CLIENTES!$E$5:$BO$5=Y$5)*(CLIENTES!$E$9:$BO$9="VENDA"),0)</f>
        <v>0</v>
      </c>
      <c r="Z57" s="285" cm="1">
        <f t="array" ref="Z57">_xlfn._xlws.FILTER(CLIENTES!$E94:$BO94,(CLIENTES!$E$5:$BO$5=Z$5)*(CLIENTES!$E$9:$BO$9="VENDA"),0)</f>
        <v>0</v>
      </c>
      <c r="AA57" s="285" cm="1">
        <f t="array" ref="AA57">_xlfn._xlws.FILTER(CLIENTES!$E94:$BO94,(CLIENTES!$E$5:$BO$5=AA$5)*(CLIENTES!$E$9:$BO$9="VENDA"),0)</f>
        <v>0</v>
      </c>
      <c r="AB57" s="285" cm="1">
        <f t="array" ref="AB57">_xlfn._xlws.FILTER(CLIENTES!$E94:$BO94,(CLIENTES!$E$5:$BO$5=AB$5)*(CLIENTES!$E$9:$BO$9="VENDA"),0)</f>
        <v>0</v>
      </c>
      <c r="AC57" s="285" cm="1">
        <f t="array" ref="AC57">_xlfn._xlws.FILTER(CLIENTES!$E94:$BO94,(CLIENTES!$E$5:$BO$5=AC$5)*(CLIENTES!$E$9:$BO$9="VENDA"),0)</f>
        <v>0</v>
      </c>
      <c r="AD57" s="285" cm="1">
        <f t="array" ref="AD57">_xlfn._xlws.FILTER(CLIENTES!$E94:$BO94,(CLIENTES!$E$5:$BO$5=AD$5)*(CLIENTES!$E$9:$BO$9="VENDA"),0)</f>
        <v>0</v>
      </c>
      <c r="AE57" s="285" cm="1">
        <f t="array" ref="AE57">_xlfn._xlws.FILTER(CLIENTES!$E94:$BO94,(CLIENTES!$E$5:$BO$5=AE$5)*(CLIENTES!$E$9:$BO$9="VENDA"),0)</f>
        <v>0</v>
      </c>
      <c r="AF57" s="285" cm="1">
        <f t="array" ref="AF57">_xlfn._xlws.FILTER(CLIENTES!$E94:$BO94,(CLIENTES!$E$5:$BO$5=AF$5)*(CLIENTES!$E$9:$BO$9="VENDA"),0)</f>
        <v>0</v>
      </c>
      <c r="AG57" s="285" cm="1">
        <f t="array" ref="AG57">_xlfn._xlws.FILTER(CLIENTES!$E94:$BO94,(CLIENTES!$E$5:$BO$5=AG$5)*(CLIENTES!$E$9:$BO$9="VENDA"),0)</f>
        <v>0</v>
      </c>
      <c r="AH57" s="285" cm="1">
        <f t="array" ref="AH57">_xlfn._xlws.FILTER(CLIENTES!$E94:$BO94,(CLIENTES!$E$5:$BO$5=AH$5)*(CLIENTES!$E$9:$BO$9="VENDA"),0)</f>
        <v>0</v>
      </c>
      <c r="AI57" s="285" cm="1">
        <f t="array" ref="AI57">_xlfn._xlws.FILTER(CLIENTES!$E94:$BO94,(CLIENTES!$E$5:$BO$5=AI$5)*(CLIENTES!$E$9:$BO$9="VENDA"),0)</f>
        <v>0</v>
      </c>
      <c r="AJ57" s="285" cm="1">
        <f t="array" ref="AJ57">_xlfn._xlws.FILTER(CLIENTES!$E94:$BO94,(CLIENTES!$E$5:$BO$5=AJ$5)*(CLIENTES!$E$9:$BO$9="VENDA"),0)</f>
        <v>0</v>
      </c>
      <c r="AK57" s="285" cm="1">
        <f t="array" ref="AK57">_xlfn._xlws.FILTER(CLIENTES!$E94:$BO94,(CLIENTES!$E$5:$BO$5=AK$5)*(CLIENTES!$E$9:$BO$9="VENDA"),0)</f>
        <v>0</v>
      </c>
      <c r="AL57" s="285" cm="1">
        <f t="array" ref="AL57">_xlfn._xlws.FILTER(CLIENTES!$E94:$BO94,(CLIENTES!$E$5:$BO$5=AL$5)*(CLIENTES!$E$9:$BO$9="VENDA"),0)</f>
        <v>0</v>
      </c>
      <c r="AM57" s="285" cm="1">
        <f t="array" ref="AM57">_xlfn._xlws.FILTER(CLIENTES!$E94:$BO94,(CLIENTES!$E$5:$BO$5=AM$5)*(CLIENTES!$E$9:$BO$9="VENDA"),0)</f>
        <v>0</v>
      </c>
      <c r="AN57" s="285" cm="1">
        <f t="array" ref="AN57">_xlfn._xlws.FILTER(CLIENTES!$E94:$BO94,(CLIENTES!$E$5:$BO$5=AN$5)*(CLIENTES!$E$9:$BO$9="VENDA"),0)</f>
        <v>0</v>
      </c>
      <c r="AO57" s="285" cm="1">
        <f t="array" ref="AO57">_xlfn._xlws.FILTER(CLIENTES!$E94:$BO94,(CLIENTES!$E$5:$BO$5=AO$5)*(CLIENTES!$E$9:$BO$9="VENDA"),0)</f>
        <v>0</v>
      </c>
      <c r="AP57" s="285" cm="1">
        <f t="array" ref="AP57">_xlfn._xlws.FILTER(CLIENTES!$E94:$BO94,(CLIENTES!$E$5:$BO$5=AP$5)*(CLIENTES!$E$9:$BO$9="VENDA"),0)</f>
        <v>0</v>
      </c>
      <c r="AQ57" s="285" cm="1">
        <f t="array" ref="AQ57">_xlfn._xlws.FILTER(CLIENTES!$E94:$BO94,(CLIENTES!$E$5:$BO$5=AQ$5)*(CLIENTES!$E$9:$BO$9="VENDA"),0)</f>
        <v>0</v>
      </c>
      <c r="AR57" s="285" cm="1">
        <f t="array" ref="AR57">_xlfn._xlws.FILTER(CLIENTES!$E94:$BO94,(CLIENTES!$E$5:$BO$5=AR$5)*(CLIENTES!$E$9:$BO$9="VENDA"),0)</f>
        <v>0</v>
      </c>
      <c r="AS57" s="285" cm="1">
        <f t="array" ref="AS57">_xlfn._xlws.FILTER(CLIENTES!$E94:$BO94,(CLIENTES!$E$5:$BO$5=AS$5)*(CLIENTES!$E$9:$BO$9="VENDA"),0)</f>
        <v>0</v>
      </c>
      <c r="AT57" s="285" cm="1">
        <f t="array" ref="AT57">_xlfn._xlws.FILTER(CLIENTES!$E94:$BO94,(CLIENTES!$E$5:$BO$5=AT$5)*(CLIENTES!$E$9:$BO$9="VENDA"),0)</f>
        <v>0</v>
      </c>
      <c r="AU57" s="285" cm="1">
        <f t="array" ref="AU57">_xlfn._xlws.FILTER(CLIENTES!$E94:$BO94,(CLIENTES!$E$5:$BO$5=AU$5)*(CLIENTES!$E$9:$BO$9="VENDA"),0)</f>
        <v>0</v>
      </c>
      <c r="AV57" s="285" cm="1">
        <f t="array" ref="AV57">_xlfn._xlws.FILTER(CLIENTES!$E94:$BO94,(CLIENTES!$E$5:$BO$5=AV$5)*(CLIENTES!$E$9:$BO$9="VENDA"),0)</f>
        <v>0</v>
      </c>
      <c r="AW57" s="285" cm="1">
        <f t="array" ref="AW57">_xlfn._xlws.FILTER(CLIENTES!$E94:$BO94,(CLIENTES!$E$5:$BO$5=AW$5)*(CLIENTES!$E$9:$BO$9="VENDA"),0)</f>
        <v>0</v>
      </c>
      <c r="AX57" s="285" cm="1">
        <f t="array" ref="AX57">_xlfn._xlws.FILTER(CLIENTES!$E94:$BO94,(CLIENTES!$E$5:$BO$5=AX$5)*(CLIENTES!$E$9:$BO$9="VENDA"),0)</f>
        <v>0</v>
      </c>
      <c r="AY57" s="285" cm="1">
        <f t="array" ref="AY57">_xlfn._xlws.FILTER(CLIENTES!$E94:$BO94,(CLIENTES!$E$5:$BO$5=AY$5)*(CLIENTES!$E$9:$BO$9="VENDA"),0)</f>
        <v>0</v>
      </c>
      <c r="AZ57" s="285" cm="1">
        <f t="array" ref="AZ57">_xlfn._xlws.FILTER(CLIENTES!$E94:$BO94,(CLIENTES!$E$5:$BO$5=AZ$5)*(CLIENTES!$E$9:$BO$9="VENDA"),0)</f>
        <v>0</v>
      </c>
      <c r="BA57" s="285" cm="1">
        <f t="array" ref="BA57">_xlfn._xlws.FILTER(CLIENTES!$E94:$BO94,(CLIENTES!$E$5:$BO$5=BA$5)*(CLIENTES!$E$9:$BO$9="VENDA"),0)</f>
        <v>0</v>
      </c>
      <c r="BB57" s="285" cm="1">
        <f t="array" ref="BB57">_xlfn._xlws.FILTER(CLIENTES!$E94:$BO94,(CLIENTES!$E$5:$BO$5=BB$5)*(CLIENTES!$E$9:$BO$9="VENDA"),0)</f>
        <v>0</v>
      </c>
      <c r="BC57" s="285" cm="1">
        <f t="array" ref="BC57">_xlfn._xlws.FILTER(CLIENTES!$E94:$BO94,(CLIENTES!$E$5:$BO$5=BC$5)*(CLIENTES!$E$9:$BO$9="VENDA"),0)</f>
        <v>0</v>
      </c>
      <c r="BD57" s="285" cm="1">
        <f t="array" ref="BD57">_xlfn._xlws.FILTER(CLIENTES!$E94:$BO94,(CLIENTES!$E$5:$BO$5=BD$5)*(CLIENTES!$E$9:$BO$9="VENDA"),0)</f>
        <v>0</v>
      </c>
      <c r="BE57" s="285" cm="1">
        <f t="array" ref="BE57">_xlfn._xlws.FILTER(CLIENTES!$E94:$BO94,(CLIENTES!$E$5:$BO$5=BE$5)*(CLIENTES!$E$9:$BO$9="VENDA"),0)</f>
        <v>0</v>
      </c>
      <c r="BF57" s="285" cm="1">
        <f t="array" ref="BF57">_xlfn._xlws.FILTER(CLIENTES!$E94:$BO94,(CLIENTES!$E$5:$BO$5=BF$5)*(CLIENTES!$E$9:$BO$9="VENDA"),0)</f>
        <v>0</v>
      </c>
      <c r="BG57" s="285" cm="1">
        <f t="array" ref="BG57">_xlfn._xlws.FILTER(CLIENTES!$E94:$BO94,(CLIENTES!$E$5:$BO$5=BG$5)*(CLIENTES!$E$9:$BO$9="VENDA"),0)</f>
        <v>0</v>
      </c>
      <c r="BH57" s="285" cm="1">
        <f t="array" ref="BH57">_xlfn._xlws.FILTER(CLIENTES!$E94:$BO94,(CLIENTES!$E$5:$BO$5=BH$5)*(CLIENTES!$E$9:$BO$9="VENDA"),0)</f>
        <v>0</v>
      </c>
      <c r="BI57" s="285" cm="1">
        <f t="array" ref="BI57">_xlfn._xlws.FILTER(CLIENTES!$E94:$BO94,(CLIENTES!$E$5:$BO$5=BI$5)*(CLIENTES!$E$9:$BO$9="VENDA"),0)</f>
        <v>0</v>
      </c>
      <c r="BJ57" s="285" cm="1">
        <f t="array" ref="BJ57">_xlfn._xlws.FILTER(CLIENTES!$E94:$BO94,(CLIENTES!$E$5:$BO$5=BJ$5)*(CLIENTES!$E$9:$BO$9="VENDA"),0)</f>
        <v>0</v>
      </c>
      <c r="BK57" s="285" cm="1">
        <f t="array" ref="BK57">_xlfn._xlws.FILTER(CLIENTES!$E94:$BO94,(CLIENTES!$E$5:$BO$5=BK$5)*(CLIENTES!$E$9:$BO$9="VENDA"),0)</f>
        <v>0</v>
      </c>
      <c r="BL57" s="285" cm="1">
        <f t="array" ref="BL57">_xlfn._xlws.FILTER(CLIENTES!$E94:$BO94,(CLIENTES!$E$5:$BO$5=BL$5)*(CLIENTES!$E$9:$BO$9="VENDA"),0)</f>
        <v>0</v>
      </c>
    </row>
    <row r="58" spans="2:84" x14ac:dyDescent="0.2">
      <c r="B58" s="326"/>
      <c r="C58" s="23" t="s">
        <v>10</v>
      </c>
      <c r="D58" s="72">
        <v>2.0999999999999999E-3</v>
      </c>
      <c r="E58" s="200">
        <f>CLIENTES!F96</f>
        <v>2.0999999999999999E-3</v>
      </c>
      <c r="F58" s="200">
        <f>CLIENTES!H96</f>
        <v>2.0999999999999999E-3</v>
      </c>
      <c r="G58" s="200">
        <f>CLIENTES!I96</f>
        <v>2.0999999999999999E-3</v>
      </c>
      <c r="H58" s="200">
        <f>CLIENTES!J96</f>
        <v>2.0999999999999999E-3</v>
      </c>
      <c r="I58" s="200">
        <f>CLIENTES!K96</f>
        <v>2.0999999999999999E-3</v>
      </c>
      <c r="J58" s="200">
        <f>CLIENTES!L96</f>
        <v>2.0999999999999999E-3</v>
      </c>
      <c r="K58" s="200">
        <f>CLIENTES!M96</f>
        <v>2.0999999999999999E-3</v>
      </c>
      <c r="L58" s="200">
        <f>CLIENTES!N96</f>
        <v>2.0999999999999999E-3</v>
      </c>
      <c r="M58" s="200">
        <f>CLIENTES!O96</f>
        <v>2.0999999999999999E-3</v>
      </c>
      <c r="N58" s="200">
        <f>CLIENTES!P96</f>
        <v>2.0999999999999999E-3</v>
      </c>
      <c r="O58" s="200">
        <f>CLIENTES!Q96</f>
        <v>2.0999999999999999E-3</v>
      </c>
      <c r="P58" s="200">
        <f>CLIENTES!R96</f>
        <v>2.0999999999999999E-3</v>
      </c>
      <c r="Q58" s="200">
        <f>CLIENTES!S96</f>
        <v>2.0999999999999999E-3</v>
      </c>
      <c r="R58" s="200">
        <f>CLIENTES!T96</f>
        <v>2.0999999999999999E-3</v>
      </c>
      <c r="S58" s="200">
        <f>CLIENTES!U96</f>
        <v>2.0999999999999999E-3</v>
      </c>
      <c r="T58" s="200">
        <f>CLIENTES!V96</f>
        <v>2.0999999999999999E-3</v>
      </c>
      <c r="U58" s="200">
        <f>CLIENTES!W96</f>
        <v>2.0999999999999999E-3</v>
      </c>
      <c r="V58" s="200">
        <f>CLIENTES!X96</f>
        <v>2.0999999999999999E-3</v>
      </c>
      <c r="W58" s="200">
        <f>CLIENTES!Y96</f>
        <v>2.0999999999999999E-3</v>
      </c>
      <c r="X58" s="200">
        <f>CLIENTES!Z96</f>
        <v>2.0999999999999999E-3</v>
      </c>
      <c r="Y58" s="200">
        <f>CLIENTES!AA96</f>
        <v>2.0999999999999999E-3</v>
      </c>
      <c r="Z58" s="200">
        <f>CLIENTES!AB96</f>
        <v>2.0999999999999999E-3</v>
      </c>
      <c r="AA58" s="200">
        <f>CLIENTES!AC96</f>
        <v>2.0999999999999999E-3</v>
      </c>
      <c r="AB58" s="200">
        <f>CLIENTES!AD96</f>
        <v>2.0999999999999999E-3</v>
      </c>
      <c r="AC58" s="200">
        <f>CLIENTES!AE96</f>
        <v>2.0999999999999999E-3</v>
      </c>
      <c r="AD58" s="200">
        <f>CLIENTES!AF96</f>
        <v>2.0999999999999999E-3</v>
      </c>
      <c r="AE58" s="200">
        <f>CLIENTES!AG96</f>
        <v>2.0999999999999999E-3</v>
      </c>
      <c r="AF58" s="200">
        <f>CLIENTES!AH96</f>
        <v>2.0999999999999999E-3</v>
      </c>
      <c r="AG58" s="200">
        <f>CLIENTES!AI96</f>
        <v>2.0999999999999999E-3</v>
      </c>
      <c r="AH58" s="200">
        <f>CLIENTES!AJ96</f>
        <v>2.0999999999999999E-3</v>
      </c>
      <c r="AI58" s="200">
        <f>CLIENTES!AK96</f>
        <v>2.0999999999999999E-3</v>
      </c>
      <c r="AJ58" s="200">
        <f>CLIENTES!AL96</f>
        <v>2.0999999999999999E-3</v>
      </c>
      <c r="AK58" s="200">
        <f>CLIENTES!AM96</f>
        <v>2.0999999999999999E-3</v>
      </c>
      <c r="AL58" s="200">
        <f>CLIENTES!AN96</f>
        <v>2.0999999999999999E-3</v>
      </c>
      <c r="AM58" s="200">
        <f>CLIENTES!AO96</f>
        <v>2.0999999999999999E-3</v>
      </c>
      <c r="AN58" s="200">
        <f>CLIENTES!AP96</f>
        <v>2.0999999999999999E-3</v>
      </c>
      <c r="AO58" s="200">
        <f>CLIENTES!AQ96</f>
        <v>2.0999999999999999E-3</v>
      </c>
      <c r="AP58" s="200">
        <f>CLIENTES!AR96</f>
        <v>2.0999999999999999E-3</v>
      </c>
      <c r="AQ58" s="200">
        <f>CLIENTES!AS96</f>
        <v>2.0999999999999999E-3</v>
      </c>
      <c r="AR58" s="200">
        <f>CLIENTES!AT96</f>
        <v>2.0999999999999999E-3</v>
      </c>
      <c r="AS58" s="200">
        <f>CLIENTES!AU96</f>
        <v>2.0999999999999999E-3</v>
      </c>
      <c r="AT58" s="200">
        <f>CLIENTES!AV96</f>
        <v>2.0999999999999999E-3</v>
      </c>
      <c r="AU58" s="200">
        <f>CLIENTES!AW96</f>
        <v>2.0999999999999999E-3</v>
      </c>
      <c r="AV58" s="200">
        <f>CLIENTES!AX96</f>
        <v>2.0999999999999999E-3</v>
      </c>
      <c r="AW58" s="200">
        <f>CLIENTES!AY96</f>
        <v>2.0999999999999999E-3</v>
      </c>
      <c r="AX58" s="200">
        <f>CLIENTES!AZ96</f>
        <v>2.0999999999999999E-3</v>
      </c>
      <c r="AY58" s="200">
        <f>CLIENTES!BA96</f>
        <v>2.0999999999999999E-3</v>
      </c>
      <c r="AZ58" s="215">
        <f>CLIENTES!BB96</f>
        <v>2.0999999999999999E-3</v>
      </c>
      <c r="BA58" s="200">
        <f>CLIENTES!BC96</f>
        <v>2.0999999999999999E-3</v>
      </c>
      <c r="BB58" s="200">
        <f>CLIENTES!BD96</f>
        <v>2.0999999999999999E-3</v>
      </c>
      <c r="BC58" s="200">
        <f>CLIENTES!BE96</f>
        <v>2.0999999999999999E-3</v>
      </c>
      <c r="BD58" s="200">
        <f>CLIENTES!BF96</f>
        <v>2.0999999999999999E-3</v>
      </c>
      <c r="BE58" s="200">
        <f>CLIENTES!BG96</f>
        <v>2.0999999999999999E-3</v>
      </c>
      <c r="BF58" s="200">
        <f>CLIENTES!BH96</f>
        <v>2.0999999999999999E-3</v>
      </c>
      <c r="BG58" s="200">
        <f>CLIENTES!BI96</f>
        <v>2.0999999999999999E-3</v>
      </c>
      <c r="BH58" s="200">
        <f>CLIENTES!BJ96</f>
        <v>2.0999999999999999E-3</v>
      </c>
      <c r="BI58" s="200">
        <f>CLIENTES!BK96</f>
        <v>2.0999999999999999E-3</v>
      </c>
      <c r="BJ58" s="200">
        <f>CLIENTES!BL96</f>
        <v>2.0999999999999999E-3</v>
      </c>
      <c r="BK58" s="200">
        <f>CLIENTES!BM96</f>
        <v>2.0999999999999999E-3</v>
      </c>
      <c r="BL58" s="200">
        <f>CLIENTES!BN96</f>
        <v>2.0999999999999999E-3</v>
      </c>
    </row>
    <row r="59" spans="2:84" x14ac:dyDescent="0.2">
      <c r="B59" s="326"/>
      <c r="C59" s="58" t="s">
        <v>23</v>
      </c>
      <c r="D59" s="27">
        <f>SUM(E59:BL59)</f>
        <v>952.85421630219241</v>
      </c>
      <c r="E59" s="132">
        <v>0</v>
      </c>
      <c r="F59" s="132">
        <f t="shared" ref="F59:BJ59" si="22">(F55+F56-F57)*F58</f>
        <v>952.85421630219241</v>
      </c>
      <c r="G59" s="132">
        <f t="shared" si="22"/>
        <v>0</v>
      </c>
      <c r="H59" s="132">
        <f t="shared" si="22"/>
        <v>0</v>
      </c>
      <c r="I59" s="132">
        <f t="shared" si="22"/>
        <v>0</v>
      </c>
      <c r="J59" s="132">
        <f t="shared" si="22"/>
        <v>0</v>
      </c>
      <c r="K59" s="132">
        <f t="shared" si="22"/>
        <v>0</v>
      </c>
      <c r="L59" s="132">
        <f t="shared" si="22"/>
        <v>0</v>
      </c>
      <c r="M59" s="132">
        <f t="shared" si="22"/>
        <v>0</v>
      </c>
      <c r="N59" s="132">
        <f t="shared" si="22"/>
        <v>0</v>
      </c>
      <c r="O59" s="132">
        <f t="shared" si="22"/>
        <v>0</v>
      </c>
      <c r="P59" s="132">
        <f t="shared" si="22"/>
        <v>0</v>
      </c>
      <c r="Q59" s="132">
        <v>0</v>
      </c>
      <c r="R59" s="132">
        <v>0</v>
      </c>
      <c r="S59" s="132">
        <f t="shared" si="22"/>
        <v>0</v>
      </c>
      <c r="T59" s="132">
        <f t="shared" si="22"/>
        <v>0</v>
      </c>
      <c r="U59" s="132">
        <v>0</v>
      </c>
      <c r="V59" s="132">
        <v>0</v>
      </c>
      <c r="W59" s="132">
        <f t="shared" si="22"/>
        <v>0</v>
      </c>
      <c r="X59" s="132">
        <f t="shared" si="22"/>
        <v>0</v>
      </c>
      <c r="Y59" s="132">
        <f t="shared" si="22"/>
        <v>0</v>
      </c>
      <c r="Z59" s="132">
        <v>0</v>
      </c>
      <c r="AA59" s="132">
        <f t="shared" si="22"/>
        <v>0</v>
      </c>
      <c r="AB59" s="132">
        <v>0</v>
      </c>
      <c r="AC59" s="132">
        <v>0</v>
      </c>
      <c r="AD59" s="132">
        <v>0</v>
      </c>
      <c r="AE59" s="132">
        <f t="shared" si="22"/>
        <v>0</v>
      </c>
      <c r="AF59" s="132">
        <f t="shared" si="22"/>
        <v>0</v>
      </c>
      <c r="AG59" s="132">
        <f t="shared" si="22"/>
        <v>0</v>
      </c>
      <c r="AH59" s="132">
        <f t="shared" si="22"/>
        <v>0</v>
      </c>
      <c r="AI59" s="132">
        <f t="shared" si="22"/>
        <v>0</v>
      </c>
      <c r="AJ59" s="132">
        <f t="shared" si="22"/>
        <v>0</v>
      </c>
      <c r="AK59" s="132">
        <v>0</v>
      </c>
      <c r="AL59" s="132">
        <v>0</v>
      </c>
      <c r="AM59" s="132">
        <v>0</v>
      </c>
      <c r="AN59" s="132">
        <f t="shared" si="22"/>
        <v>0</v>
      </c>
      <c r="AO59" s="132">
        <f t="shared" si="22"/>
        <v>0</v>
      </c>
      <c r="AP59" s="132">
        <f t="shared" si="22"/>
        <v>0</v>
      </c>
      <c r="AQ59" s="132">
        <f t="shared" si="22"/>
        <v>0</v>
      </c>
      <c r="AR59" s="132">
        <v>0</v>
      </c>
      <c r="AS59" s="132">
        <v>0</v>
      </c>
      <c r="AT59" s="132">
        <v>0</v>
      </c>
      <c r="AU59" s="132">
        <f t="shared" si="22"/>
        <v>0</v>
      </c>
      <c r="AV59" s="132">
        <f t="shared" si="22"/>
        <v>0</v>
      </c>
      <c r="AW59" s="132">
        <v>0</v>
      </c>
      <c r="AX59" s="132">
        <f t="shared" si="22"/>
        <v>0</v>
      </c>
      <c r="AY59" s="132">
        <v>0</v>
      </c>
      <c r="AZ59" s="139">
        <f t="shared" si="22"/>
        <v>0</v>
      </c>
      <c r="BA59" s="132">
        <f t="shared" si="22"/>
        <v>0</v>
      </c>
      <c r="BB59" s="132">
        <f t="shared" si="22"/>
        <v>0</v>
      </c>
      <c r="BC59" s="132">
        <f t="shared" si="22"/>
        <v>0</v>
      </c>
      <c r="BD59" s="132">
        <f t="shared" si="22"/>
        <v>0</v>
      </c>
      <c r="BE59" s="132">
        <v>0</v>
      </c>
      <c r="BF59" s="132">
        <v>0</v>
      </c>
      <c r="BG59" s="132">
        <v>0</v>
      </c>
      <c r="BH59" s="132">
        <v>0</v>
      </c>
      <c r="BI59" s="132">
        <v>0</v>
      </c>
      <c r="BJ59" s="132">
        <f t="shared" si="22"/>
        <v>0</v>
      </c>
      <c r="BK59" s="132">
        <v>0</v>
      </c>
      <c r="BL59" s="132">
        <v>0</v>
      </c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</row>
    <row r="60" spans="2:84" ht="13.5" thickBot="1" x14ac:dyDescent="0.25">
      <c r="B60" s="327"/>
      <c r="C60" s="25" t="s">
        <v>22</v>
      </c>
      <c r="D60" s="30">
        <f>SUM(E60:BL60)</f>
        <v>859692.95721734618</v>
      </c>
      <c r="E60" s="146">
        <f>+E55-E57+E56+E59</f>
        <v>405000</v>
      </c>
      <c r="F60" s="146">
        <f t="shared" ref="F60:BL60" si="23">+F55-F57+F56+F59</f>
        <v>454692.95721734624</v>
      </c>
      <c r="G60" s="146">
        <f t="shared" si="23"/>
        <v>0</v>
      </c>
      <c r="H60" s="146">
        <f t="shared" si="23"/>
        <v>0</v>
      </c>
      <c r="I60" s="146">
        <f t="shared" si="23"/>
        <v>0</v>
      </c>
      <c r="J60" s="146">
        <f t="shared" si="23"/>
        <v>0</v>
      </c>
      <c r="K60" s="146">
        <f t="shared" si="23"/>
        <v>0</v>
      </c>
      <c r="L60" s="146">
        <f t="shared" si="23"/>
        <v>0</v>
      </c>
      <c r="M60" s="146">
        <f t="shared" si="23"/>
        <v>0</v>
      </c>
      <c r="N60" s="146">
        <f t="shared" si="23"/>
        <v>0</v>
      </c>
      <c r="O60" s="146">
        <f t="shared" si="23"/>
        <v>0</v>
      </c>
      <c r="P60" s="146">
        <f t="shared" si="23"/>
        <v>0</v>
      </c>
      <c r="Q60" s="146">
        <f t="shared" si="23"/>
        <v>0</v>
      </c>
      <c r="R60" s="146">
        <f t="shared" si="23"/>
        <v>0</v>
      </c>
      <c r="S60" s="146">
        <f t="shared" si="23"/>
        <v>0</v>
      </c>
      <c r="T60" s="146">
        <f t="shared" si="23"/>
        <v>0</v>
      </c>
      <c r="U60" s="146">
        <f t="shared" si="23"/>
        <v>0</v>
      </c>
      <c r="V60" s="146">
        <f t="shared" si="23"/>
        <v>0</v>
      </c>
      <c r="W60" s="146">
        <f t="shared" si="23"/>
        <v>0</v>
      </c>
      <c r="X60" s="146">
        <f t="shared" si="23"/>
        <v>0</v>
      </c>
      <c r="Y60" s="146">
        <f t="shared" si="23"/>
        <v>0</v>
      </c>
      <c r="Z60" s="146">
        <f t="shared" si="23"/>
        <v>0</v>
      </c>
      <c r="AA60" s="146">
        <f t="shared" si="23"/>
        <v>0</v>
      </c>
      <c r="AB60" s="146">
        <f t="shared" si="23"/>
        <v>0</v>
      </c>
      <c r="AC60" s="146">
        <v>0</v>
      </c>
      <c r="AD60" s="146">
        <f t="shared" si="23"/>
        <v>0</v>
      </c>
      <c r="AE60" s="146">
        <f t="shared" si="23"/>
        <v>0</v>
      </c>
      <c r="AF60" s="146">
        <f t="shared" si="23"/>
        <v>0</v>
      </c>
      <c r="AG60" s="146">
        <f t="shared" si="23"/>
        <v>0</v>
      </c>
      <c r="AH60" s="146">
        <f t="shared" si="23"/>
        <v>0</v>
      </c>
      <c r="AI60" s="146">
        <f t="shared" si="23"/>
        <v>0</v>
      </c>
      <c r="AJ60" s="146">
        <f t="shared" si="23"/>
        <v>0</v>
      </c>
      <c r="AK60" s="146">
        <f t="shared" si="23"/>
        <v>0</v>
      </c>
      <c r="AL60" s="146">
        <f t="shared" si="23"/>
        <v>0</v>
      </c>
      <c r="AM60" s="146">
        <f t="shared" si="23"/>
        <v>0</v>
      </c>
      <c r="AN60" s="146">
        <f t="shared" si="23"/>
        <v>0</v>
      </c>
      <c r="AO60" s="146">
        <f t="shared" si="23"/>
        <v>0</v>
      </c>
      <c r="AP60" s="146">
        <f t="shared" si="23"/>
        <v>0</v>
      </c>
      <c r="AQ60" s="146">
        <f t="shared" si="23"/>
        <v>0</v>
      </c>
      <c r="AR60" s="146">
        <f t="shared" si="23"/>
        <v>0</v>
      </c>
      <c r="AS60" s="146">
        <f t="shared" si="23"/>
        <v>0</v>
      </c>
      <c r="AT60" s="146">
        <f t="shared" si="23"/>
        <v>0</v>
      </c>
      <c r="AU60" s="146">
        <f t="shared" si="23"/>
        <v>0</v>
      </c>
      <c r="AV60" s="146">
        <f t="shared" si="23"/>
        <v>0</v>
      </c>
      <c r="AW60" s="146">
        <f t="shared" si="23"/>
        <v>0</v>
      </c>
      <c r="AX60" s="146">
        <f t="shared" si="23"/>
        <v>0</v>
      </c>
      <c r="AY60" s="146">
        <f t="shared" si="23"/>
        <v>0</v>
      </c>
      <c r="AZ60" s="146">
        <f t="shared" si="23"/>
        <v>0</v>
      </c>
      <c r="BA60" s="146">
        <f t="shared" si="23"/>
        <v>0</v>
      </c>
      <c r="BB60" s="146">
        <f t="shared" si="23"/>
        <v>0</v>
      </c>
      <c r="BC60" s="146">
        <f t="shared" si="23"/>
        <v>0</v>
      </c>
      <c r="BD60" s="146">
        <f t="shared" si="23"/>
        <v>0</v>
      </c>
      <c r="BE60" s="146">
        <f t="shared" si="23"/>
        <v>0</v>
      </c>
      <c r="BF60" s="146">
        <f t="shared" si="23"/>
        <v>0</v>
      </c>
      <c r="BG60" s="146">
        <f t="shared" si="23"/>
        <v>0</v>
      </c>
      <c r="BH60" s="146">
        <f t="shared" si="23"/>
        <v>0</v>
      </c>
      <c r="BI60" s="146">
        <f t="shared" si="23"/>
        <v>0</v>
      </c>
      <c r="BJ60" s="146">
        <f t="shared" si="23"/>
        <v>0</v>
      </c>
      <c r="BK60" s="146">
        <f t="shared" si="23"/>
        <v>0</v>
      </c>
      <c r="BL60" s="146">
        <f t="shared" si="23"/>
        <v>0</v>
      </c>
    </row>
    <row r="61" spans="2:84" ht="13.5" thickBot="1" x14ac:dyDescent="0.25">
      <c r="B61" s="325">
        <v>43891</v>
      </c>
      <c r="C61" s="62" t="s">
        <v>6</v>
      </c>
      <c r="D61" s="31">
        <f>SUM(E61:BL61)</f>
        <v>95000</v>
      </c>
      <c r="E61" s="285" cm="1">
        <f t="array" ref="E61">_xlfn._xlws.FILTER(CLIENTES!$E101:$BO101,(CLIENTES!$E$5:$BO$5=E$5)*(CLIENTES!$E$9:$BO$9="VENDA"),0)</f>
        <v>45000</v>
      </c>
      <c r="F61" s="285" cm="1">
        <f t="array" ref="F61">_xlfn._xlws.FILTER(CLIENTES!$E101:$BO101,(CLIENTES!$E$5:$BO$5=F$5)*(CLIENTES!$E$9:$BO$9="VENDA"),0)</f>
        <v>50000</v>
      </c>
      <c r="G61" s="285" cm="1">
        <f t="array" ref="G61">_xlfn._xlws.FILTER(CLIENTES!$E101:$BO101,(CLIENTES!$E$5:$BO$5=G$5)*(CLIENTES!$E$9:$BO$9="VENDA"),0)</f>
        <v>0</v>
      </c>
      <c r="H61" s="285" cm="1">
        <f t="array" ref="H61">_xlfn._xlws.FILTER(CLIENTES!$E101:$BO101,(CLIENTES!$E$5:$BO$5=H$5)*(CLIENTES!$E$9:$BO$9="VENDA"),0)</f>
        <v>0</v>
      </c>
      <c r="I61" s="285" cm="1">
        <f t="array" ref="I61">_xlfn._xlws.FILTER(CLIENTES!$E101:$BO101,(CLIENTES!$E$5:$BO$5=I$5)*(CLIENTES!$E$9:$BO$9="VENDA"),0)</f>
        <v>0</v>
      </c>
      <c r="J61" s="285" cm="1">
        <f t="array" ref="J61">_xlfn._xlws.FILTER(CLIENTES!$E101:$BO101,(CLIENTES!$E$5:$BO$5=J$5)*(CLIENTES!$E$9:$BO$9="VENDA"),0)</f>
        <v>0</v>
      </c>
      <c r="K61" s="285" cm="1">
        <f t="array" ref="K61">_xlfn._xlws.FILTER(CLIENTES!$E101:$BO101,(CLIENTES!$E$5:$BO$5=K$5)*(CLIENTES!$E$9:$BO$9="VENDA"),0)</f>
        <v>0</v>
      </c>
      <c r="L61" s="285" cm="1">
        <f t="array" ref="L61">_xlfn._xlws.FILTER(CLIENTES!$E101:$BO101,(CLIENTES!$E$5:$BO$5=L$5)*(CLIENTES!$E$9:$BO$9="VENDA"),0)</f>
        <v>0</v>
      </c>
      <c r="M61" s="285" cm="1">
        <f t="array" ref="M61">_xlfn._xlws.FILTER(CLIENTES!$E101:$BO101,(CLIENTES!$E$5:$BO$5=M$5)*(CLIENTES!$E$9:$BO$9="VENDA"),0)</f>
        <v>0</v>
      </c>
      <c r="N61" s="285" cm="1">
        <f t="array" ref="N61">_xlfn._xlws.FILTER(CLIENTES!$E101:$BO101,(CLIENTES!$E$5:$BO$5=N$5)*(CLIENTES!$E$9:$BO$9="VENDA"),0)</f>
        <v>0</v>
      </c>
      <c r="O61" s="285" cm="1">
        <f t="array" ref="O61">_xlfn._xlws.FILTER(CLIENTES!$E101:$BO101,(CLIENTES!$E$5:$BO$5=O$5)*(CLIENTES!$E$9:$BO$9="VENDA"),0)</f>
        <v>0</v>
      </c>
      <c r="P61" s="285" cm="1">
        <f t="array" ref="P61">_xlfn._xlws.FILTER(CLIENTES!$E101:$BO101,(CLIENTES!$E$5:$BO$5=P$5)*(CLIENTES!$E$9:$BO$9="VENDA"),0)</f>
        <v>0</v>
      </c>
      <c r="Q61" s="285" cm="1">
        <f t="array" ref="Q61">_xlfn._xlws.FILTER(CLIENTES!$E101:$BO101,(CLIENTES!$E$5:$BO$5=Q$5)*(CLIENTES!$E$9:$BO$9="VENDA"),0)</f>
        <v>0</v>
      </c>
      <c r="R61" s="285" cm="1">
        <f t="array" ref="R61">_xlfn._xlws.FILTER(CLIENTES!$E101:$BO101,(CLIENTES!$E$5:$BO$5=R$5)*(CLIENTES!$E$9:$BO$9="VENDA"),0)</f>
        <v>0</v>
      </c>
      <c r="S61" s="285" cm="1">
        <f t="array" ref="S61">_xlfn._xlws.FILTER(CLIENTES!$E101:$BO101,(CLIENTES!$E$5:$BO$5=S$5)*(CLIENTES!$E$9:$BO$9="VENDA"),0)</f>
        <v>0</v>
      </c>
      <c r="T61" s="285" cm="1">
        <f t="array" ref="T61">_xlfn._xlws.FILTER(CLIENTES!$E101:$BO101,(CLIENTES!$E$5:$BO$5=T$5)*(CLIENTES!$E$9:$BO$9="VENDA"),0)</f>
        <v>0</v>
      </c>
      <c r="U61" s="285" cm="1">
        <f t="array" ref="U61">_xlfn._xlws.FILTER(CLIENTES!$E101:$BO101,(CLIENTES!$E$5:$BO$5=U$5)*(CLIENTES!$E$9:$BO$9="VENDA"),0)</f>
        <v>0</v>
      </c>
      <c r="V61" s="285" cm="1">
        <f t="array" ref="V61">_xlfn._xlws.FILTER(CLIENTES!$E101:$BO101,(CLIENTES!$E$5:$BO$5=V$5)*(CLIENTES!$E$9:$BO$9="VENDA"),0)</f>
        <v>0</v>
      </c>
      <c r="W61" s="285" cm="1">
        <f t="array" ref="W61">_xlfn._xlws.FILTER(CLIENTES!$E101:$BO101,(CLIENTES!$E$5:$BO$5=W$5)*(CLIENTES!$E$9:$BO$9="VENDA"),0)</f>
        <v>0</v>
      </c>
      <c r="X61" s="285" cm="1">
        <f t="array" ref="X61">_xlfn._xlws.FILTER(CLIENTES!$E101:$BO101,(CLIENTES!$E$5:$BO$5=X$5)*(CLIENTES!$E$9:$BO$9="VENDA"),0)</f>
        <v>0</v>
      </c>
      <c r="Y61" s="285" cm="1">
        <f t="array" ref="Y61">_xlfn._xlws.FILTER(CLIENTES!$E101:$BO101,(CLIENTES!$E$5:$BO$5=Y$5)*(CLIENTES!$E$9:$BO$9="VENDA"),0)</f>
        <v>0</v>
      </c>
      <c r="Z61" s="285" cm="1">
        <f t="array" ref="Z61">_xlfn._xlws.FILTER(CLIENTES!$E101:$BO101,(CLIENTES!$E$5:$BO$5=Z$5)*(CLIENTES!$E$9:$BO$9="VENDA"),0)</f>
        <v>0</v>
      </c>
      <c r="AA61" s="285" cm="1">
        <f t="array" ref="AA61">_xlfn._xlws.FILTER(CLIENTES!$E101:$BO101,(CLIENTES!$E$5:$BO$5=AA$5)*(CLIENTES!$E$9:$BO$9="VENDA"),0)</f>
        <v>0</v>
      </c>
      <c r="AB61" s="285" cm="1">
        <f t="array" ref="AB61">_xlfn._xlws.FILTER(CLIENTES!$E101:$BO101,(CLIENTES!$E$5:$BO$5=AB$5)*(CLIENTES!$E$9:$BO$9="VENDA"),0)</f>
        <v>0</v>
      </c>
      <c r="AC61" s="285" cm="1">
        <f t="array" ref="AC61">_xlfn._xlws.FILTER(CLIENTES!$E101:$BO101,(CLIENTES!$E$5:$BO$5=AC$5)*(CLIENTES!$E$9:$BO$9="VENDA"),0)</f>
        <v>0</v>
      </c>
      <c r="AD61" s="285" cm="1">
        <f t="array" ref="AD61">_xlfn._xlws.FILTER(CLIENTES!$E101:$BO101,(CLIENTES!$E$5:$BO$5=AD$5)*(CLIENTES!$E$9:$BO$9="VENDA"),0)</f>
        <v>0</v>
      </c>
      <c r="AE61" s="285" cm="1">
        <f t="array" ref="AE61">_xlfn._xlws.FILTER(CLIENTES!$E101:$BO101,(CLIENTES!$E$5:$BO$5=AE$5)*(CLIENTES!$E$9:$BO$9="VENDA"),0)</f>
        <v>0</v>
      </c>
      <c r="AF61" s="285" cm="1">
        <f t="array" ref="AF61">_xlfn._xlws.FILTER(CLIENTES!$E101:$BO101,(CLIENTES!$E$5:$BO$5=AF$5)*(CLIENTES!$E$9:$BO$9="VENDA"),0)</f>
        <v>0</v>
      </c>
      <c r="AG61" s="285" cm="1">
        <f t="array" ref="AG61">_xlfn._xlws.FILTER(CLIENTES!$E101:$BO101,(CLIENTES!$E$5:$BO$5=AG$5)*(CLIENTES!$E$9:$BO$9="VENDA"),0)</f>
        <v>0</v>
      </c>
      <c r="AH61" s="285" cm="1">
        <f t="array" ref="AH61">_xlfn._xlws.FILTER(CLIENTES!$E101:$BO101,(CLIENTES!$E$5:$BO$5=AH$5)*(CLIENTES!$E$9:$BO$9="VENDA"),0)</f>
        <v>0</v>
      </c>
      <c r="AI61" s="285" cm="1">
        <f t="array" ref="AI61">_xlfn._xlws.FILTER(CLIENTES!$E101:$BO101,(CLIENTES!$E$5:$BO$5=AI$5)*(CLIENTES!$E$9:$BO$9="VENDA"),0)</f>
        <v>0</v>
      </c>
      <c r="AJ61" s="285" cm="1">
        <f t="array" ref="AJ61">_xlfn._xlws.FILTER(CLIENTES!$E101:$BO101,(CLIENTES!$E$5:$BO$5=AJ$5)*(CLIENTES!$E$9:$BO$9="VENDA"),0)</f>
        <v>0</v>
      </c>
      <c r="AK61" s="285" cm="1">
        <f t="array" ref="AK61">_xlfn._xlws.FILTER(CLIENTES!$E101:$BO101,(CLIENTES!$E$5:$BO$5=AK$5)*(CLIENTES!$E$9:$BO$9="VENDA"),0)</f>
        <v>0</v>
      </c>
      <c r="AL61" s="285" cm="1">
        <f t="array" ref="AL61">_xlfn._xlws.FILTER(CLIENTES!$E101:$BO101,(CLIENTES!$E$5:$BO$5=AL$5)*(CLIENTES!$E$9:$BO$9="VENDA"),0)</f>
        <v>0</v>
      </c>
      <c r="AM61" s="285" cm="1">
        <f t="array" ref="AM61">_xlfn._xlws.FILTER(CLIENTES!$E101:$BO101,(CLIENTES!$E$5:$BO$5=AM$5)*(CLIENTES!$E$9:$BO$9="VENDA"),0)</f>
        <v>0</v>
      </c>
      <c r="AN61" s="285" cm="1">
        <f t="array" ref="AN61">_xlfn._xlws.FILTER(CLIENTES!$E101:$BO101,(CLIENTES!$E$5:$BO$5=AN$5)*(CLIENTES!$E$9:$BO$9="VENDA"),0)</f>
        <v>0</v>
      </c>
      <c r="AO61" s="285" cm="1">
        <f t="array" ref="AO61">_xlfn._xlws.FILTER(CLIENTES!$E101:$BO101,(CLIENTES!$E$5:$BO$5=AO$5)*(CLIENTES!$E$9:$BO$9="VENDA"),0)</f>
        <v>0</v>
      </c>
      <c r="AP61" s="285" cm="1">
        <f t="array" ref="AP61">_xlfn._xlws.FILTER(CLIENTES!$E101:$BO101,(CLIENTES!$E$5:$BO$5=AP$5)*(CLIENTES!$E$9:$BO$9="VENDA"),0)</f>
        <v>0</v>
      </c>
      <c r="AQ61" s="285" cm="1">
        <f t="array" ref="AQ61">_xlfn._xlws.FILTER(CLIENTES!$E101:$BO101,(CLIENTES!$E$5:$BO$5=AQ$5)*(CLIENTES!$E$9:$BO$9="VENDA"),0)</f>
        <v>0</v>
      </c>
      <c r="AR61" s="285" cm="1">
        <f t="array" ref="AR61">_xlfn._xlws.FILTER(CLIENTES!$E101:$BO101,(CLIENTES!$E$5:$BO$5=AR$5)*(CLIENTES!$E$9:$BO$9="VENDA"),0)</f>
        <v>0</v>
      </c>
      <c r="AS61" s="285" cm="1">
        <f t="array" ref="AS61">_xlfn._xlws.FILTER(CLIENTES!$E101:$BO101,(CLIENTES!$E$5:$BO$5=AS$5)*(CLIENTES!$E$9:$BO$9="VENDA"),0)</f>
        <v>0</v>
      </c>
      <c r="AT61" s="285" cm="1">
        <f t="array" ref="AT61">_xlfn._xlws.FILTER(CLIENTES!$E101:$BO101,(CLIENTES!$E$5:$BO$5=AT$5)*(CLIENTES!$E$9:$BO$9="VENDA"),0)</f>
        <v>0</v>
      </c>
      <c r="AU61" s="285" cm="1">
        <f t="array" ref="AU61">_xlfn._xlws.FILTER(CLIENTES!$E101:$BO101,(CLIENTES!$E$5:$BO$5=AU$5)*(CLIENTES!$E$9:$BO$9="VENDA"),0)</f>
        <v>0</v>
      </c>
      <c r="AV61" s="285" cm="1">
        <f t="array" ref="AV61">_xlfn._xlws.FILTER(CLIENTES!$E101:$BO101,(CLIENTES!$E$5:$BO$5=AV$5)*(CLIENTES!$E$9:$BO$9="VENDA"),0)</f>
        <v>0</v>
      </c>
      <c r="AW61" s="285" cm="1">
        <f t="array" ref="AW61">_xlfn._xlws.FILTER(CLIENTES!$E101:$BO101,(CLIENTES!$E$5:$BO$5=AW$5)*(CLIENTES!$E$9:$BO$9="VENDA"),0)</f>
        <v>0</v>
      </c>
      <c r="AX61" s="285" cm="1">
        <f t="array" ref="AX61">_xlfn._xlws.FILTER(CLIENTES!$E101:$BO101,(CLIENTES!$E$5:$BO$5=AX$5)*(CLIENTES!$E$9:$BO$9="VENDA"),0)</f>
        <v>0</v>
      </c>
      <c r="AY61" s="285" cm="1">
        <f t="array" ref="AY61">_xlfn._xlws.FILTER(CLIENTES!$E101:$BO101,(CLIENTES!$E$5:$BO$5=AY$5)*(CLIENTES!$E$9:$BO$9="VENDA"),0)</f>
        <v>0</v>
      </c>
      <c r="AZ61" s="285" cm="1">
        <f t="array" ref="AZ61">_xlfn._xlws.FILTER(CLIENTES!$E101:$BO101,(CLIENTES!$E$5:$BO$5=AZ$5)*(CLIENTES!$E$9:$BO$9="VENDA"),0)</f>
        <v>0</v>
      </c>
      <c r="BA61" s="285" cm="1">
        <f t="array" ref="BA61">_xlfn._xlws.FILTER(CLIENTES!$E101:$BO101,(CLIENTES!$E$5:$BO$5=BA$5)*(CLIENTES!$E$9:$BO$9="VENDA"),0)</f>
        <v>0</v>
      </c>
      <c r="BB61" s="285" cm="1">
        <f t="array" ref="BB61">_xlfn._xlws.FILTER(CLIENTES!$E101:$BO101,(CLIENTES!$E$5:$BO$5=BB$5)*(CLIENTES!$E$9:$BO$9="VENDA"),0)</f>
        <v>0</v>
      </c>
      <c r="BC61" s="285" cm="1">
        <f t="array" ref="BC61">_xlfn._xlws.FILTER(CLIENTES!$E101:$BO101,(CLIENTES!$E$5:$BO$5=BC$5)*(CLIENTES!$E$9:$BO$9="VENDA"),0)</f>
        <v>0</v>
      </c>
      <c r="BD61" s="285" cm="1">
        <f t="array" ref="BD61">_xlfn._xlws.FILTER(CLIENTES!$E101:$BO101,(CLIENTES!$E$5:$BO$5=BD$5)*(CLIENTES!$E$9:$BO$9="VENDA"),0)</f>
        <v>0</v>
      </c>
      <c r="BE61" s="285" cm="1">
        <f t="array" ref="BE61">_xlfn._xlws.FILTER(CLIENTES!$E101:$BO101,(CLIENTES!$E$5:$BO$5=BE$5)*(CLIENTES!$E$9:$BO$9="VENDA"),0)</f>
        <v>0</v>
      </c>
      <c r="BF61" s="285" cm="1">
        <f t="array" ref="BF61">_xlfn._xlws.FILTER(CLIENTES!$E101:$BO101,(CLIENTES!$E$5:$BO$5=BF$5)*(CLIENTES!$E$9:$BO$9="VENDA"),0)</f>
        <v>0</v>
      </c>
      <c r="BG61" s="285" cm="1">
        <f t="array" ref="BG61">_xlfn._xlws.FILTER(CLIENTES!$E101:$BO101,(CLIENTES!$E$5:$BO$5=BG$5)*(CLIENTES!$E$9:$BO$9="VENDA"),0)</f>
        <v>0</v>
      </c>
      <c r="BH61" s="285" cm="1">
        <f t="array" ref="BH61">_xlfn._xlws.FILTER(CLIENTES!$E101:$BO101,(CLIENTES!$E$5:$BO$5=BH$5)*(CLIENTES!$E$9:$BO$9="VENDA"),0)</f>
        <v>0</v>
      </c>
      <c r="BI61" s="285" cm="1">
        <f t="array" ref="BI61">_xlfn._xlws.FILTER(CLIENTES!$E101:$BO101,(CLIENTES!$E$5:$BO$5=BI$5)*(CLIENTES!$E$9:$BO$9="VENDA"),0)</f>
        <v>0</v>
      </c>
      <c r="BJ61" s="285" cm="1">
        <f t="array" ref="BJ61">_xlfn._xlws.FILTER(CLIENTES!$E101:$BO101,(CLIENTES!$E$5:$BO$5=BJ$5)*(CLIENTES!$E$9:$BO$9="VENDA"),0)</f>
        <v>0</v>
      </c>
      <c r="BK61" s="285" cm="1">
        <f t="array" ref="BK61">_xlfn._xlws.FILTER(CLIENTES!$E101:$BO101,(CLIENTES!$E$5:$BO$5=BK$5)*(CLIENTES!$E$9:$BO$9="VENDA"),0)</f>
        <v>0</v>
      </c>
      <c r="BL61" s="285" cm="1">
        <f t="array" ref="BL61">_xlfn._xlws.FILTER(CLIENTES!$E101:$BO101,(CLIENTES!$E$5:$BO$5=BL$5)*(CLIENTES!$E$9:$BO$9="VENDA"),0)</f>
        <v>0</v>
      </c>
    </row>
    <row r="62" spans="2:84" ht="13.5" thickBot="1" x14ac:dyDescent="0.25">
      <c r="B62" s="326"/>
      <c r="C62" s="23" t="s">
        <v>9</v>
      </c>
      <c r="D62" s="27">
        <f>SUM(E62:BL62)</f>
        <v>0</v>
      </c>
      <c r="E62" s="285" cm="1">
        <f t="array" ref="E62">_xlfn._xlws.FILTER(CLIENTES!$E102:$BO102,(CLIENTES!$E$5:$BO$5=E$5)*(CLIENTES!$E$9:$BO$9="VENDA"),0)</f>
        <v>0</v>
      </c>
      <c r="F62" s="285" cm="1">
        <f t="array" ref="F62">_xlfn._xlws.FILTER(CLIENTES!$E102:$BO102,(CLIENTES!$E$5:$BO$5=F$5)*(CLIENTES!$E$9:$BO$9="VENDA"),0)</f>
        <v>0</v>
      </c>
      <c r="G62" s="285" cm="1">
        <f t="array" ref="G62">_xlfn._xlws.FILTER(CLIENTES!$E102:$BO102,(CLIENTES!$E$5:$BO$5=G$5)*(CLIENTES!$E$9:$BO$9="VENDA"),0)</f>
        <v>0</v>
      </c>
      <c r="H62" s="285" cm="1">
        <f t="array" ref="H62">_xlfn._xlws.FILTER(CLIENTES!$E102:$BO102,(CLIENTES!$E$5:$BO$5=H$5)*(CLIENTES!$E$9:$BO$9="VENDA"),0)</f>
        <v>0</v>
      </c>
      <c r="I62" s="285" cm="1">
        <f t="array" ref="I62">_xlfn._xlws.FILTER(CLIENTES!$E102:$BO102,(CLIENTES!$E$5:$BO$5=I$5)*(CLIENTES!$E$9:$BO$9="VENDA"),0)</f>
        <v>0</v>
      </c>
      <c r="J62" s="285" cm="1">
        <f t="array" ref="J62">_xlfn._xlws.FILTER(CLIENTES!$E102:$BO102,(CLIENTES!$E$5:$BO$5=J$5)*(CLIENTES!$E$9:$BO$9="VENDA"),0)</f>
        <v>0</v>
      </c>
      <c r="K62" s="285" cm="1">
        <f t="array" ref="K62">_xlfn._xlws.FILTER(CLIENTES!$E102:$BO102,(CLIENTES!$E$5:$BO$5=K$5)*(CLIENTES!$E$9:$BO$9="VENDA"),0)</f>
        <v>0</v>
      </c>
      <c r="L62" s="285" cm="1">
        <f t="array" ref="L62">_xlfn._xlws.FILTER(CLIENTES!$E102:$BO102,(CLIENTES!$E$5:$BO$5=L$5)*(CLIENTES!$E$9:$BO$9="VENDA"),0)</f>
        <v>0</v>
      </c>
      <c r="M62" s="285" cm="1">
        <f t="array" ref="M62">_xlfn._xlws.FILTER(CLIENTES!$E102:$BO102,(CLIENTES!$E$5:$BO$5=M$5)*(CLIENTES!$E$9:$BO$9="VENDA"),0)</f>
        <v>0</v>
      </c>
      <c r="N62" s="285" cm="1">
        <f t="array" ref="N62">_xlfn._xlws.FILTER(CLIENTES!$E102:$BO102,(CLIENTES!$E$5:$BO$5=N$5)*(CLIENTES!$E$9:$BO$9="VENDA"),0)</f>
        <v>0</v>
      </c>
      <c r="O62" s="285" cm="1">
        <f t="array" ref="O62">_xlfn._xlws.FILTER(CLIENTES!$E102:$BO102,(CLIENTES!$E$5:$BO$5=O$5)*(CLIENTES!$E$9:$BO$9="VENDA"),0)</f>
        <v>0</v>
      </c>
      <c r="P62" s="285" cm="1">
        <f t="array" ref="P62">_xlfn._xlws.FILTER(CLIENTES!$E102:$BO102,(CLIENTES!$E$5:$BO$5=P$5)*(CLIENTES!$E$9:$BO$9="VENDA"),0)</f>
        <v>0</v>
      </c>
      <c r="Q62" s="285" cm="1">
        <f t="array" ref="Q62">_xlfn._xlws.FILTER(CLIENTES!$E102:$BO102,(CLIENTES!$E$5:$BO$5=Q$5)*(CLIENTES!$E$9:$BO$9="VENDA"),0)</f>
        <v>0</v>
      </c>
      <c r="R62" s="285" cm="1">
        <f t="array" ref="R62">_xlfn._xlws.FILTER(CLIENTES!$E102:$BO102,(CLIENTES!$E$5:$BO$5=R$5)*(CLIENTES!$E$9:$BO$9="VENDA"),0)</f>
        <v>0</v>
      </c>
      <c r="S62" s="285" cm="1">
        <f t="array" ref="S62">_xlfn._xlws.FILTER(CLIENTES!$E102:$BO102,(CLIENTES!$E$5:$BO$5=S$5)*(CLIENTES!$E$9:$BO$9="VENDA"),0)</f>
        <v>0</v>
      </c>
      <c r="T62" s="285" cm="1">
        <f t="array" ref="T62">_xlfn._xlws.FILTER(CLIENTES!$E102:$BO102,(CLIENTES!$E$5:$BO$5=T$5)*(CLIENTES!$E$9:$BO$9="VENDA"),0)</f>
        <v>0</v>
      </c>
      <c r="U62" s="285" cm="1">
        <f t="array" ref="U62">_xlfn._xlws.FILTER(CLIENTES!$E102:$BO102,(CLIENTES!$E$5:$BO$5=U$5)*(CLIENTES!$E$9:$BO$9="VENDA"),0)</f>
        <v>0</v>
      </c>
      <c r="V62" s="285" cm="1">
        <f t="array" ref="V62">_xlfn._xlws.FILTER(CLIENTES!$E102:$BO102,(CLIENTES!$E$5:$BO$5=V$5)*(CLIENTES!$E$9:$BO$9="VENDA"),0)</f>
        <v>0</v>
      </c>
      <c r="W62" s="285" cm="1">
        <f t="array" ref="W62">_xlfn._xlws.FILTER(CLIENTES!$E102:$BO102,(CLIENTES!$E$5:$BO$5=W$5)*(CLIENTES!$E$9:$BO$9="VENDA"),0)</f>
        <v>0</v>
      </c>
      <c r="X62" s="285" cm="1">
        <f t="array" ref="X62">_xlfn._xlws.FILTER(CLIENTES!$E102:$BO102,(CLIENTES!$E$5:$BO$5=X$5)*(CLIENTES!$E$9:$BO$9="VENDA"),0)</f>
        <v>0</v>
      </c>
      <c r="Y62" s="285" cm="1">
        <f t="array" ref="Y62">_xlfn._xlws.FILTER(CLIENTES!$E102:$BO102,(CLIENTES!$E$5:$BO$5=Y$5)*(CLIENTES!$E$9:$BO$9="VENDA"),0)</f>
        <v>0</v>
      </c>
      <c r="Z62" s="285" cm="1">
        <f t="array" ref="Z62">_xlfn._xlws.FILTER(CLIENTES!$E102:$BO102,(CLIENTES!$E$5:$BO$5=Z$5)*(CLIENTES!$E$9:$BO$9="VENDA"),0)</f>
        <v>0</v>
      </c>
      <c r="AA62" s="285" cm="1">
        <f t="array" ref="AA62">_xlfn._xlws.FILTER(CLIENTES!$E102:$BO102,(CLIENTES!$E$5:$BO$5=AA$5)*(CLIENTES!$E$9:$BO$9="VENDA"),0)</f>
        <v>0</v>
      </c>
      <c r="AB62" s="285" cm="1">
        <f t="array" ref="AB62">_xlfn._xlws.FILTER(CLIENTES!$E102:$BO102,(CLIENTES!$E$5:$BO$5=AB$5)*(CLIENTES!$E$9:$BO$9="VENDA"),0)</f>
        <v>0</v>
      </c>
      <c r="AC62" s="285" cm="1">
        <f t="array" ref="AC62">_xlfn._xlws.FILTER(CLIENTES!$E102:$BO102,(CLIENTES!$E$5:$BO$5=AC$5)*(CLIENTES!$E$9:$BO$9="VENDA"),0)</f>
        <v>0</v>
      </c>
      <c r="AD62" s="285" cm="1">
        <f t="array" ref="AD62">_xlfn._xlws.FILTER(CLIENTES!$E102:$BO102,(CLIENTES!$E$5:$BO$5=AD$5)*(CLIENTES!$E$9:$BO$9="VENDA"),0)</f>
        <v>0</v>
      </c>
      <c r="AE62" s="285" cm="1">
        <f t="array" ref="AE62">_xlfn._xlws.FILTER(CLIENTES!$E102:$BO102,(CLIENTES!$E$5:$BO$5=AE$5)*(CLIENTES!$E$9:$BO$9="VENDA"),0)</f>
        <v>0</v>
      </c>
      <c r="AF62" s="285" cm="1">
        <f t="array" ref="AF62">_xlfn._xlws.FILTER(CLIENTES!$E102:$BO102,(CLIENTES!$E$5:$BO$5=AF$5)*(CLIENTES!$E$9:$BO$9="VENDA"),0)</f>
        <v>0</v>
      </c>
      <c r="AG62" s="285" cm="1">
        <f t="array" ref="AG62">_xlfn._xlws.FILTER(CLIENTES!$E102:$BO102,(CLIENTES!$E$5:$BO$5=AG$5)*(CLIENTES!$E$9:$BO$9="VENDA"),0)</f>
        <v>0</v>
      </c>
      <c r="AH62" s="285" cm="1">
        <f t="array" ref="AH62">_xlfn._xlws.FILTER(CLIENTES!$E102:$BO102,(CLIENTES!$E$5:$BO$5=AH$5)*(CLIENTES!$E$9:$BO$9="VENDA"),0)</f>
        <v>0</v>
      </c>
      <c r="AI62" s="285" cm="1">
        <f t="array" ref="AI62">_xlfn._xlws.FILTER(CLIENTES!$E102:$BO102,(CLIENTES!$E$5:$BO$5=AI$5)*(CLIENTES!$E$9:$BO$9="VENDA"),0)</f>
        <v>0</v>
      </c>
      <c r="AJ62" s="285" cm="1">
        <f t="array" ref="AJ62">_xlfn._xlws.FILTER(CLIENTES!$E102:$BO102,(CLIENTES!$E$5:$BO$5=AJ$5)*(CLIENTES!$E$9:$BO$9="VENDA"),0)</f>
        <v>0</v>
      </c>
      <c r="AK62" s="285" cm="1">
        <f t="array" ref="AK62">_xlfn._xlws.FILTER(CLIENTES!$E102:$BO102,(CLIENTES!$E$5:$BO$5=AK$5)*(CLIENTES!$E$9:$BO$9="VENDA"),0)</f>
        <v>0</v>
      </c>
      <c r="AL62" s="285" cm="1">
        <f t="array" ref="AL62">_xlfn._xlws.FILTER(CLIENTES!$E102:$BO102,(CLIENTES!$E$5:$BO$5=AL$5)*(CLIENTES!$E$9:$BO$9="VENDA"),0)</f>
        <v>0</v>
      </c>
      <c r="AM62" s="285" cm="1">
        <f t="array" ref="AM62">_xlfn._xlws.FILTER(CLIENTES!$E102:$BO102,(CLIENTES!$E$5:$BO$5=AM$5)*(CLIENTES!$E$9:$BO$9="VENDA"),0)</f>
        <v>0</v>
      </c>
      <c r="AN62" s="285" cm="1">
        <f t="array" ref="AN62">_xlfn._xlws.FILTER(CLIENTES!$E102:$BO102,(CLIENTES!$E$5:$BO$5=AN$5)*(CLIENTES!$E$9:$BO$9="VENDA"),0)</f>
        <v>0</v>
      </c>
      <c r="AO62" s="285" cm="1">
        <f t="array" ref="AO62">_xlfn._xlws.FILTER(CLIENTES!$E102:$BO102,(CLIENTES!$E$5:$BO$5=AO$5)*(CLIENTES!$E$9:$BO$9="VENDA"),0)</f>
        <v>0</v>
      </c>
      <c r="AP62" s="285" cm="1">
        <f t="array" ref="AP62">_xlfn._xlws.FILTER(CLIENTES!$E102:$BO102,(CLIENTES!$E$5:$BO$5=AP$5)*(CLIENTES!$E$9:$BO$9="VENDA"),0)</f>
        <v>0</v>
      </c>
      <c r="AQ62" s="285" cm="1">
        <f t="array" ref="AQ62">_xlfn._xlws.FILTER(CLIENTES!$E102:$BO102,(CLIENTES!$E$5:$BO$5=AQ$5)*(CLIENTES!$E$9:$BO$9="VENDA"),0)</f>
        <v>0</v>
      </c>
      <c r="AR62" s="285" cm="1">
        <f t="array" ref="AR62">_xlfn._xlws.FILTER(CLIENTES!$E102:$BO102,(CLIENTES!$E$5:$BO$5=AR$5)*(CLIENTES!$E$9:$BO$9="VENDA"),0)</f>
        <v>0</v>
      </c>
      <c r="AS62" s="285" cm="1">
        <f t="array" ref="AS62">_xlfn._xlws.FILTER(CLIENTES!$E102:$BO102,(CLIENTES!$E$5:$BO$5=AS$5)*(CLIENTES!$E$9:$BO$9="VENDA"),0)</f>
        <v>0</v>
      </c>
      <c r="AT62" s="285" cm="1">
        <f t="array" ref="AT62">_xlfn._xlws.FILTER(CLIENTES!$E102:$BO102,(CLIENTES!$E$5:$BO$5=AT$5)*(CLIENTES!$E$9:$BO$9="VENDA"),0)</f>
        <v>0</v>
      </c>
      <c r="AU62" s="285" cm="1">
        <f t="array" ref="AU62">_xlfn._xlws.FILTER(CLIENTES!$E102:$BO102,(CLIENTES!$E$5:$BO$5=AU$5)*(CLIENTES!$E$9:$BO$9="VENDA"),0)</f>
        <v>0</v>
      </c>
      <c r="AV62" s="285" cm="1">
        <f t="array" ref="AV62">_xlfn._xlws.FILTER(CLIENTES!$E102:$BO102,(CLIENTES!$E$5:$BO$5=AV$5)*(CLIENTES!$E$9:$BO$9="VENDA"),0)</f>
        <v>0</v>
      </c>
      <c r="AW62" s="285" cm="1">
        <f t="array" ref="AW62">_xlfn._xlws.FILTER(CLIENTES!$E102:$BO102,(CLIENTES!$E$5:$BO$5=AW$5)*(CLIENTES!$E$9:$BO$9="VENDA"),0)</f>
        <v>0</v>
      </c>
      <c r="AX62" s="285" cm="1">
        <f t="array" ref="AX62">_xlfn._xlws.FILTER(CLIENTES!$E102:$BO102,(CLIENTES!$E$5:$BO$5=AX$5)*(CLIENTES!$E$9:$BO$9="VENDA"),0)</f>
        <v>0</v>
      </c>
      <c r="AY62" s="285" cm="1">
        <f t="array" ref="AY62">_xlfn._xlws.FILTER(CLIENTES!$E102:$BO102,(CLIENTES!$E$5:$BO$5=AY$5)*(CLIENTES!$E$9:$BO$9="VENDA"),0)</f>
        <v>0</v>
      </c>
      <c r="AZ62" s="285" cm="1">
        <f t="array" ref="AZ62">_xlfn._xlws.FILTER(CLIENTES!$E102:$BO102,(CLIENTES!$E$5:$BO$5=AZ$5)*(CLIENTES!$E$9:$BO$9="VENDA"),0)</f>
        <v>0</v>
      </c>
      <c r="BA62" s="285" cm="1">
        <f t="array" ref="BA62">_xlfn._xlws.FILTER(CLIENTES!$E102:$BO102,(CLIENTES!$E$5:$BO$5=BA$5)*(CLIENTES!$E$9:$BO$9="VENDA"),0)</f>
        <v>0</v>
      </c>
      <c r="BB62" s="285" cm="1">
        <f t="array" ref="BB62">_xlfn._xlws.FILTER(CLIENTES!$E102:$BO102,(CLIENTES!$E$5:$BO$5=BB$5)*(CLIENTES!$E$9:$BO$9="VENDA"),0)</f>
        <v>0</v>
      </c>
      <c r="BC62" s="285" cm="1">
        <f t="array" ref="BC62">_xlfn._xlws.FILTER(CLIENTES!$E102:$BO102,(CLIENTES!$E$5:$BO$5=BC$5)*(CLIENTES!$E$9:$BO$9="VENDA"),0)</f>
        <v>0</v>
      </c>
      <c r="BD62" s="285" cm="1">
        <f t="array" ref="BD62">_xlfn._xlws.FILTER(CLIENTES!$E102:$BO102,(CLIENTES!$E$5:$BO$5=BD$5)*(CLIENTES!$E$9:$BO$9="VENDA"),0)</f>
        <v>0</v>
      </c>
      <c r="BE62" s="285" cm="1">
        <f t="array" ref="BE62">_xlfn._xlws.FILTER(CLIENTES!$E102:$BO102,(CLIENTES!$E$5:$BO$5=BE$5)*(CLIENTES!$E$9:$BO$9="VENDA"),0)</f>
        <v>0</v>
      </c>
      <c r="BF62" s="285" cm="1">
        <f t="array" ref="BF62">_xlfn._xlws.FILTER(CLIENTES!$E102:$BO102,(CLIENTES!$E$5:$BO$5=BF$5)*(CLIENTES!$E$9:$BO$9="VENDA"),0)</f>
        <v>0</v>
      </c>
      <c r="BG62" s="285" cm="1">
        <f t="array" ref="BG62">_xlfn._xlws.FILTER(CLIENTES!$E102:$BO102,(CLIENTES!$E$5:$BO$5=BG$5)*(CLIENTES!$E$9:$BO$9="VENDA"),0)</f>
        <v>0</v>
      </c>
      <c r="BH62" s="285" cm="1">
        <f t="array" ref="BH62">_xlfn._xlws.FILTER(CLIENTES!$E102:$BO102,(CLIENTES!$E$5:$BO$5=BH$5)*(CLIENTES!$E$9:$BO$9="VENDA"),0)</f>
        <v>0</v>
      </c>
      <c r="BI62" s="285" cm="1">
        <f t="array" ref="BI62">_xlfn._xlws.FILTER(CLIENTES!$E102:$BO102,(CLIENTES!$E$5:$BO$5=BI$5)*(CLIENTES!$E$9:$BO$9="VENDA"),0)</f>
        <v>0</v>
      </c>
      <c r="BJ62" s="285" cm="1">
        <f t="array" ref="BJ62">_xlfn._xlws.FILTER(CLIENTES!$E102:$BO102,(CLIENTES!$E$5:$BO$5=BJ$5)*(CLIENTES!$E$9:$BO$9="VENDA"),0)</f>
        <v>0</v>
      </c>
      <c r="BK62" s="285" cm="1">
        <f t="array" ref="BK62">_xlfn._xlws.FILTER(CLIENTES!$E102:$BO102,(CLIENTES!$E$5:$BO$5=BK$5)*(CLIENTES!$E$9:$BO$9="VENDA"),0)</f>
        <v>0</v>
      </c>
      <c r="BL62" s="285" cm="1">
        <f t="array" ref="BL62">_xlfn._xlws.FILTER(CLIENTES!$E102:$BO102,(CLIENTES!$E$5:$BO$5=BL$5)*(CLIENTES!$E$9:$BO$9="VENDA"),0)</f>
        <v>0</v>
      </c>
    </row>
    <row r="63" spans="2:84" x14ac:dyDescent="0.2">
      <c r="B63" s="326"/>
      <c r="C63" s="23" t="s">
        <v>10</v>
      </c>
      <c r="D63" s="72">
        <v>3.8E-3</v>
      </c>
      <c r="E63" s="200">
        <f>CLIENTES!F104</f>
        <v>3.8E-3</v>
      </c>
      <c r="F63" s="200">
        <f>CLIENTES!H104</f>
        <v>3.8E-3</v>
      </c>
      <c r="G63" s="200">
        <f>CLIENTES!I104</f>
        <v>3.8E-3</v>
      </c>
      <c r="H63" s="200">
        <f>CLIENTES!J104</f>
        <v>3.8E-3</v>
      </c>
      <c r="I63" s="200">
        <f>CLIENTES!K104</f>
        <v>3.8E-3</v>
      </c>
      <c r="J63" s="200">
        <f>CLIENTES!L104</f>
        <v>3.8E-3</v>
      </c>
      <c r="K63" s="200">
        <f>CLIENTES!M104</f>
        <v>3.8E-3</v>
      </c>
      <c r="L63" s="200">
        <f>CLIENTES!N104</f>
        <v>3.8E-3</v>
      </c>
      <c r="M63" s="200">
        <f>CLIENTES!O104</f>
        <v>3.8E-3</v>
      </c>
      <c r="N63" s="200">
        <f>CLIENTES!P104</f>
        <v>3.8E-3</v>
      </c>
      <c r="O63" s="200">
        <f>CLIENTES!Q104</f>
        <v>3.8E-3</v>
      </c>
      <c r="P63" s="200">
        <f>CLIENTES!R104</f>
        <v>3.8E-3</v>
      </c>
      <c r="Q63" s="200">
        <f>CLIENTES!S104</f>
        <v>3.8E-3</v>
      </c>
      <c r="R63" s="200">
        <f>CLIENTES!T104</f>
        <v>3.8E-3</v>
      </c>
      <c r="S63" s="200">
        <f>CLIENTES!U104</f>
        <v>3.8E-3</v>
      </c>
      <c r="T63" s="200">
        <f>CLIENTES!V104</f>
        <v>3.8E-3</v>
      </c>
      <c r="U63" s="200">
        <f>CLIENTES!W104</f>
        <v>3.8E-3</v>
      </c>
      <c r="V63" s="200">
        <f>CLIENTES!X104</f>
        <v>3.8E-3</v>
      </c>
      <c r="W63" s="200">
        <f>CLIENTES!Y104</f>
        <v>3.8E-3</v>
      </c>
      <c r="X63" s="200">
        <f>CLIENTES!Z104</f>
        <v>3.8E-3</v>
      </c>
      <c r="Y63" s="200">
        <f>CLIENTES!AA104</f>
        <v>3.8E-3</v>
      </c>
      <c r="Z63" s="200">
        <f>CLIENTES!AB104</f>
        <v>3.8E-3</v>
      </c>
      <c r="AA63" s="200">
        <f>CLIENTES!AC104</f>
        <v>3.8E-3</v>
      </c>
      <c r="AB63" s="200">
        <f>CLIENTES!AD104</f>
        <v>3.8E-3</v>
      </c>
      <c r="AC63" s="200">
        <f>CLIENTES!AE104</f>
        <v>3.8E-3</v>
      </c>
      <c r="AD63" s="200">
        <f>CLIENTES!AF104</f>
        <v>3.8E-3</v>
      </c>
      <c r="AE63" s="200">
        <f>CLIENTES!AG104</f>
        <v>3.8E-3</v>
      </c>
      <c r="AF63" s="200">
        <f>CLIENTES!AH104</f>
        <v>3.8E-3</v>
      </c>
      <c r="AG63" s="200">
        <f>CLIENTES!AI104</f>
        <v>3.8E-3</v>
      </c>
      <c r="AH63" s="200">
        <f>CLIENTES!AJ104</f>
        <v>3.8E-3</v>
      </c>
      <c r="AI63" s="200">
        <f>CLIENTES!AK104</f>
        <v>3.8E-3</v>
      </c>
      <c r="AJ63" s="200">
        <f>CLIENTES!AL104</f>
        <v>3.8E-3</v>
      </c>
      <c r="AK63" s="200">
        <f>CLIENTES!AM104</f>
        <v>3.8E-3</v>
      </c>
      <c r="AL63" s="200">
        <f>CLIENTES!AN104</f>
        <v>3.8E-3</v>
      </c>
      <c r="AM63" s="200">
        <f>CLIENTES!AO104</f>
        <v>3.8E-3</v>
      </c>
      <c r="AN63" s="200">
        <f>CLIENTES!AP104</f>
        <v>3.8E-3</v>
      </c>
      <c r="AO63" s="200">
        <f>CLIENTES!AQ104</f>
        <v>3.8E-3</v>
      </c>
      <c r="AP63" s="200">
        <f>CLIENTES!AR104</f>
        <v>3.8E-3</v>
      </c>
      <c r="AQ63" s="200">
        <f>CLIENTES!AS104</f>
        <v>3.8E-3</v>
      </c>
      <c r="AR63" s="200">
        <f>CLIENTES!AT104</f>
        <v>3.8E-3</v>
      </c>
      <c r="AS63" s="200">
        <f>CLIENTES!AU104</f>
        <v>3.8E-3</v>
      </c>
      <c r="AT63" s="200">
        <f>CLIENTES!AV104</f>
        <v>3.8E-3</v>
      </c>
      <c r="AU63" s="200">
        <f>CLIENTES!AW104</f>
        <v>3.8E-3</v>
      </c>
      <c r="AV63" s="200">
        <f>CLIENTES!AX104</f>
        <v>3.8E-3</v>
      </c>
      <c r="AW63" s="200">
        <f>CLIENTES!AY104</f>
        <v>3.8E-3</v>
      </c>
      <c r="AX63" s="200">
        <f>CLIENTES!AZ104</f>
        <v>3.8E-3</v>
      </c>
      <c r="AY63" s="200">
        <f>CLIENTES!BA104</f>
        <v>3.8E-3</v>
      </c>
      <c r="AZ63" s="215">
        <f>CLIENTES!BB104</f>
        <v>3.8E-3</v>
      </c>
      <c r="BA63" s="200">
        <f>CLIENTES!BC104</f>
        <v>3.8E-3</v>
      </c>
      <c r="BB63" s="200">
        <f>CLIENTES!BD104</f>
        <v>3.8E-3</v>
      </c>
      <c r="BC63" s="200">
        <f>CLIENTES!BE104</f>
        <v>3.8E-3</v>
      </c>
      <c r="BD63" s="200">
        <f>CLIENTES!BF104</f>
        <v>3.8E-3</v>
      </c>
      <c r="BE63" s="200">
        <f>CLIENTES!BG104</f>
        <v>3.8E-3</v>
      </c>
      <c r="BF63" s="200">
        <f>CLIENTES!BH104</f>
        <v>3.8E-3</v>
      </c>
      <c r="BG63" s="200">
        <f>CLIENTES!BI104</f>
        <v>3.8E-3</v>
      </c>
      <c r="BH63" s="200">
        <f>CLIENTES!BJ104</f>
        <v>3.8E-3</v>
      </c>
      <c r="BI63" s="200">
        <f>CLIENTES!BK104</f>
        <v>3.8E-3</v>
      </c>
      <c r="BJ63" s="200">
        <f>CLIENTES!BL104</f>
        <v>3.8E-3</v>
      </c>
      <c r="BK63" s="200">
        <f>CLIENTES!BM104</f>
        <v>3.8E-3</v>
      </c>
      <c r="BL63" s="200">
        <f>CLIENTES!BN104</f>
        <v>3.8E-3</v>
      </c>
    </row>
    <row r="64" spans="2:84" x14ac:dyDescent="0.2">
      <c r="B64" s="326"/>
      <c r="C64" s="58" t="s">
        <v>23</v>
      </c>
      <c r="D64" s="27">
        <f>SUM(E64:BL64)</f>
        <v>1917.8332374259157</v>
      </c>
      <c r="E64" s="132">
        <v>0</v>
      </c>
      <c r="F64" s="132">
        <f t="shared" ref="F64:BJ64" si="24">(F60+F61-F62)*F63</f>
        <v>1917.8332374259157</v>
      </c>
      <c r="G64" s="132">
        <f t="shared" si="24"/>
        <v>0</v>
      </c>
      <c r="H64" s="132">
        <f t="shared" si="24"/>
        <v>0</v>
      </c>
      <c r="I64" s="132">
        <f t="shared" si="24"/>
        <v>0</v>
      </c>
      <c r="J64" s="132">
        <f t="shared" si="24"/>
        <v>0</v>
      </c>
      <c r="K64" s="132">
        <f t="shared" si="24"/>
        <v>0</v>
      </c>
      <c r="L64" s="132">
        <f t="shared" si="24"/>
        <v>0</v>
      </c>
      <c r="M64" s="132">
        <f t="shared" si="24"/>
        <v>0</v>
      </c>
      <c r="N64" s="132">
        <f t="shared" si="24"/>
        <v>0</v>
      </c>
      <c r="O64" s="132">
        <f t="shared" si="24"/>
        <v>0</v>
      </c>
      <c r="P64" s="132">
        <f t="shared" si="24"/>
        <v>0</v>
      </c>
      <c r="Q64" s="132">
        <v>0</v>
      </c>
      <c r="R64" s="132">
        <v>0</v>
      </c>
      <c r="S64" s="132">
        <f t="shared" si="24"/>
        <v>0</v>
      </c>
      <c r="T64" s="132">
        <f t="shared" si="24"/>
        <v>0</v>
      </c>
      <c r="U64" s="132">
        <v>0</v>
      </c>
      <c r="V64" s="132">
        <v>0</v>
      </c>
      <c r="W64" s="132">
        <f t="shared" si="24"/>
        <v>0</v>
      </c>
      <c r="X64" s="132">
        <f t="shared" si="24"/>
        <v>0</v>
      </c>
      <c r="Y64" s="132">
        <f t="shared" si="24"/>
        <v>0</v>
      </c>
      <c r="Z64" s="132">
        <v>0</v>
      </c>
      <c r="AA64" s="132">
        <f t="shared" si="24"/>
        <v>0</v>
      </c>
      <c r="AB64" s="132">
        <f t="shared" si="24"/>
        <v>0</v>
      </c>
      <c r="AC64" s="132">
        <v>0</v>
      </c>
      <c r="AD64" s="132">
        <v>0</v>
      </c>
      <c r="AE64" s="132">
        <f t="shared" si="24"/>
        <v>0</v>
      </c>
      <c r="AF64" s="132">
        <f t="shared" si="24"/>
        <v>0</v>
      </c>
      <c r="AG64" s="132">
        <f t="shared" si="24"/>
        <v>0</v>
      </c>
      <c r="AH64" s="132">
        <f t="shared" si="24"/>
        <v>0</v>
      </c>
      <c r="AI64" s="132">
        <v>0</v>
      </c>
      <c r="AJ64" s="132">
        <f t="shared" si="24"/>
        <v>0</v>
      </c>
      <c r="AK64" s="132">
        <v>0</v>
      </c>
      <c r="AL64" s="132">
        <v>0</v>
      </c>
      <c r="AM64" s="132">
        <f t="shared" si="24"/>
        <v>0</v>
      </c>
      <c r="AN64" s="132">
        <f t="shared" si="24"/>
        <v>0</v>
      </c>
      <c r="AO64" s="132">
        <f t="shared" si="24"/>
        <v>0</v>
      </c>
      <c r="AP64" s="132">
        <f t="shared" si="24"/>
        <v>0</v>
      </c>
      <c r="AQ64" s="132">
        <f t="shared" si="24"/>
        <v>0</v>
      </c>
      <c r="AR64" s="132">
        <v>0</v>
      </c>
      <c r="AS64" s="132">
        <v>0</v>
      </c>
      <c r="AT64" s="132">
        <v>0</v>
      </c>
      <c r="AU64" s="132">
        <f t="shared" si="24"/>
        <v>0</v>
      </c>
      <c r="AV64" s="132">
        <f t="shared" si="24"/>
        <v>0</v>
      </c>
      <c r="AW64" s="132">
        <v>0</v>
      </c>
      <c r="AX64" s="132">
        <f t="shared" si="24"/>
        <v>0</v>
      </c>
      <c r="AY64" s="132">
        <v>0</v>
      </c>
      <c r="AZ64" s="139">
        <f t="shared" si="24"/>
        <v>0</v>
      </c>
      <c r="BA64" s="132">
        <f t="shared" si="24"/>
        <v>0</v>
      </c>
      <c r="BB64" s="132">
        <f t="shared" si="24"/>
        <v>0</v>
      </c>
      <c r="BC64" s="132">
        <f t="shared" si="24"/>
        <v>0</v>
      </c>
      <c r="BD64" s="132">
        <f t="shared" si="24"/>
        <v>0</v>
      </c>
      <c r="BE64" s="132">
        <v>0</v>
      </c>
      <c r="BF64" s="132">
        <v>0</v>
      </c>
      <c r="BG64" s="132">
        <f t="shared" si="24"/>
        <v>0</v>
      </c>
      <c r="BH64" s="132">
        <v>0</v>
      </c>
      <c r="BI64" s="132">
        <f t="shared" si="24"/>
        <v>0</v>
      </c>
      <c r="BJ64" s="132">
        <f t="shared" si="24"/>
        <v>0</v>
      </c>
      <c r="BK64" s="132">
        <v>0</v>
      </c>
      <c r="BL64" s="132">
        <v>0</v>
      </c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</row>
    <row r="65" spans="2:84" ht="13.5" thickBot="1" x14ac:dyDescent="0.25">
      <c r="B65" s="327"/>
      <c r="C65" s="25" t="s">
        <v>22</v>
      </c>
      <c r="D65" s="30">
        <f>SUM(E65:BL65)</f>
        <v>956610.79045477207</v>
      </c>
      <c r="E65" s="146">
        <f>+E60-E62+E61+E64</f>
        <v>450000</v>
      </c>
      <c r="F65" s="146">
        <f t="shared" ref="F65:AB65" si="25">+F60-F62+F61+F64</f>
        <v>506610.79045477213</v>
      </c>
      <c r="G65" s="146">
        <f t="shared" si="25"/>
        <v>0</v>
      </c>
      <c r="H65" s="146">
        <f t="shared" si="25"/>
        <v>0</v>
      </c>
      <c r="I65" s="146">
        <f t="shared" si="25"/>
        <v>0</v>
      </c>
      <c r="J65" s="146">
        <f t="shared" si="25"/>
        <v>0</v>
      </c>
      <c r="K65" s="146">
        <f t="shared" si="25"/>
        <v>0</v>
      </c>
      <c r="L65" s="146">
        <f t="shared" si="25"/>
        <v>0</v>
      </c>
      <c r="M65" s="146">
        <f t="shared" si="25"/>
        <v>0</v>
      </c>
      <c r="N65" s="146">
        <f t="shared" si="25"/>
        <v>0</v>
      </c>
      <c r="O65" s="146">
        <f t="shared" si="25"/>
        <v>0</v>
      </c>
      <c r="P65" s="146">
        <f t="shared" si="25"/>
        <v>0</v>
      </c>
      <c r="Q65" s="146">
        <f t="shared" si="25"/>
        <v>0</v>
      </c>
      <c r="R65" s="146">
        <f t="shared" si="25"/>
        <v>0</v>
      </c>
      <c r="S65" s="146">
        <f t="shared" si="25"/>
        <v>0</v>
      </c>
      <c r="T65" s="146">
        <f t="shared" si="25"/>
        <v>0</v>
      </c>
      <c r="U65" s="146">
        <f t="shared" si="25"/>
        <v>0</v>
      </c>
      <c r="V65" s="146">
        <f t="shared" si="25"/>
        <v>0</v>
      </c>
      <c r="W65" s="146">
        <f t="shared" si="25"/>
        <v>0</v>
      </c>
      <c r="X65" s="146">
        <f t="shared" si="25"/>
        <v>0</v>
      </c>
      <c r="Y65" s="146">
        <f t="shared" si="25"/>
        <v>0</v>
      </c>
      <c r="Z65" s="146">
        <f t="shared" si="25"/>
        <v>0</v>
      </c>
      <c r="AA65" s="146">
        <f t="shared" si="25"/>
        <v>0</v>
      </c>
      <c r="AB65" s="146">
        <f t="shared" si="25"/>
        <v>0</v>
      </c>
      <c r="AC65" s="146">
        <f t="shared" ref="AC65" si="26">+AC60-AC62+AC61+AC64</f>
        <v>0</v>
      </c>
      <c r="AD65" s="146">
        <f t="shared" ref="AD65:BL65" si="27">+AD60-AD62+AD61+AD64</f>
        <v>0</v>
      </c>
      <c r="AE65" s="146">
        <f t="shared" si="27"/>
        <v>0</v>
      </c>
      <c r="AF65" s="146">
        <f t="shared" si="27"/>
        <v>0</v>
      </c>
      <c r="AG65" s="146">
        <f t="shared" si="27"/>
        <v>0</v>
      </c>
      <c r="AH65" s="146">
        <f t="shared" si="27"/>
        <v>0</v>
      </c>
      <c r="AI65" s="146">
        <f t="shared" si="27"/>
        <v>0</v>
      </c>
      <c r="AJ65" s="146">
        <f t="shared" si="27"/>
        <v>0</v>
      </c>
      <c r="AK65" s="146">
        <f t="shared" si="27"/>
        <v>0</v>
      </c>
      <c r="AL65" s="146">
        <f t="shared" si="27"/>
        <v>0</v>
      </c>
      <c r="AM65" s="146">
        <f t="shared" si="27"/>
        <v>0</v>
      </c>
      <c r="AN65" s="146">
        <f t="shared" si="27"/>
        <v>0</v>
      </c>
      <c r="AO65" s="146">
        <f t="shared" si="27"/>
        <v>0</v>
      </c>
      <c r="AP65" s="146">
        <f t="shared" si="27"/>
        <v>0</v>
      </c>
      <c r="AQ65" s="146">
        <f t="shared" si="27"/>
        <v>0</v>
      </c>
      <c r="AR65" s="146">
        <f t="shared" si="27"/>
        <v>0</v>
      </c>
      <c r="AS65" s="146">
        <f t="shared" si="27"/>
        <v>0</v>
      </c>
      <c r="AT65" s="146">
        <f t="shared" si="27"/>
        <v>0</v>
      </c>
      <c r="AU65" s="146">
        <f t="shared" si="27"/>
        <v>0</v>
      </c>
      <c r="AV65" s="146">
        <f t="shared" si="27"/>
        <v>0</v>
      </c>
      <c r="AW65" s="146">
        <f t="shared" si="27"/>
        <v>0</v>
      </c>
      <c r="AX65" s="146">
        <f t="shared" si="27"/>
        <v>0</v>
      </c>
      <c r="AY65" s="146">
        <f t="shared" si="27"/>
        <v>0</v>
      </c>
      <c r="AZ65" s="146">
        <f t="shared" si="27"/>
        <v>0</v>
      </c>
      <c r="BA65" s="146">
        <f t="shared" si="27"/>
        <v>0</v>
      </c>
      <c r="BB65" s="146">
        <f t="shared" si="27"/>
        <v>0</v>
      </c>
      <c r="BC65" s="146">
        <f t="shared" si="27"/>
        <v>0</v>
      </c>
      <c r="BD65" s="146">
        <f t="shared" si="27"/>
        <v>0</v>
      </c>
      <c r="BE65" s="146">
        <f t="shared" si="27"/>
        <v>0</v>
      </c>
      <c r="BF65" s="146">
        <f t="shared" si="27"/>
        <v>0</v>
      </c>
      <c r="BG65" s="146">
        <f t="shared" si="27"/>
        <v>0</v>
      </c>
      <c r="BH65" s="146">
        <f t="shared" si="27"/>
        <v>0</v>
      </c>
      <c r="BI65" s="146">
        <f t="shared" si="27"/>
        <v>0</v>
      </c>
      <c r="BJ65" s="146">
        <f t="shared" si="27"/>
        <v>0</v>
      </c>
      <c r="BK65" s="146">
        <f t="shared" si="27"/>
        <v>0</v>
      </c>
      <c r="BL65" s="146">
        <f t="shared" si="27"/>
        <v>0</v>
      </c>
    </row>
    <row r="66" spans="2:84" ht="13.5" thickBot="1" x14ac:dyDescent="0.25">
      <c r="B66" s="325">
        <v>43922</v>
      </c>
      <c r="C66" s="62" t="s">
        <v>6</v>
      </c>
      <c r="D66" s="31">
        <f>SUM(E66:BL66)</f>
        <v>95000</v>
      </c>
      <c r="E66" s="285" cm="1">
        <f t="array" ref="E66">_xlfn._xlws.FILTER(CLIENTES!$E109:$BO109,(CLIENTES!$E$5:$BO$5=E$5)*(CLIENTES!$E$9:$BO$9="VENDA"),0)</f>
        <v>45000</v>
      </c>
      <c r="F66" s="285" cm="1">
        <f t="array" ref="F66">_xlfn._xlws.FILTER(CLIENTES!$E109:$BO109,(CLIENTES!$E$5:$BO$5=F$5)*(CLIENTES!$E$9:$BO$9="VENDA"),0)</f>
        <v>50000</v>
      </c>
      <c r="G66" s="285" cm="1">
        <f t="array" ref="G66">_xlfn._xlws.FILTER(CLIENTES!$E109:$BO109,(CLIENTES!$E$5:$BO$5=G$5)*(CLIENTES!$E$9:$BO$9="VENDA"),0)</f>
        <v>0</v>
      </c>
      <c r="H66" s="285" cm="1">
        <f t="array" ref="H66">_xlfn._xlws.FILTER(CLIENTES!$E109:$BO109,(CLIENTES!$E$5:$BO$5=H$5)*(CLIENTES!$E$9:$BO$9="VENDA"),0)</f>
        <v>0</v>
      </c>
      <c r="I66" s="285" cm="1">
        <f t="array" ref="I66">_xlfn._xlws.FILTER(CLIENTES!$E109:$BO109,(CLIENTES!$E$5:$BO$5=I$5)*(CLIENTES!$E$9:$BO$9="VENDA"),0)</f>
        <v>0</v>
      </c>
      <c r="J66" s="285" cm="1">
        <f t="array" ref="J66">_xlfn._xlws.FILTER(CLIENTES!$E109:$BO109,(CLIENTES!$E$5:$BO$5=J$5)*(CLIENTES!$E$9:$BO$9="VENDA"),0)</f>
        <v>0</v>
      </c>
      <c r="K66" s="285" cm="1">
        <f t="array" ref="K66">_xlfn._xlws.FILTER(CLIENTES!$E109:$BO109,(CLIENTES!$E$5:$BO$5=K$5)*(CLIENTES!$E$9:$BO$9="VENDA"),0)</f>
        <v>0</v>
      </c>
      <c r="L66" s="285" cm="1">
        <f t="array" ref="L66">_xlfn._xlws.FILTER(CLIENTES!$E109:$BO109,(CLIENTES!$E$5:$BO$5=L$5)*(CLIENTES!$E$9:$BO$9="VENDA"),0)</f>
        <v>0</v>
      </c>
      <c r="M66" s="285" cm="1">
        <f t="array" ref="M66">_xlfn._xlws.FILTER(CLIENTES!$E109:$BO109,(CLIENTES!$E$5:$BO$5=M$5)*(CLIENTES!$E$9:$BO$9="VENDA"),0)</f>
        <v>0</v>
      </c>
      <c r="N66" s="285" cm="1">
        <f t="array" ref="N66">_xlfn._xlws.FILTER(CLIENTES!$E109:$BO109,(CLIENTES!$E$5:$BO$5=N$5)*(CLIENTES!$E$9:$BO$9="VENDA"),0)</f>
        <v>0</v>
      </c>
      <c r="O66" s="285" cm="1">
        <f t="array" ref="O66">_xlfn._xlws.FILTER(CLIENTES!$E109:$BO109,(CLIENTES!$E$5:$BO$5=O$5)*(CLIENTES!$E$9:$BO$9="VENDA"),0)</f>
        <v>0</v>
      </c>
      <c r="P66" s="285" cm="1">
        <f t="array" ref="P66">_xlfn._xlws.FILTER(CLIENTES!$E109:$BO109,(CLIENTES!$E$5:$BO$5=P$5)*(CLIENTES!$E$9:$BO$9="VENDA"),0)</f>
        <v>0</v>
      </c>
      <c r="Q66" s="285" cm="1">
        <f t="array" ref="Q66">_xlfn._xlws.FILTER(CLIENTES!$E109:$BO109,(CLIENTES!$E$5:$BO$5=Q$5)*(CLIENTES!$E$9:$BO$9="VENDA"),0)</f>
        <v>0</v>
      </c>
      <c r="R66" s="285" cm="1">
        <f t="array" ref="R66">_xlfn._xlws.FILTER(CLIENTES!$E109:$BO109,(CLIENTES!$E$5:$BO$5=R$5)*(CLIENTES!$E$9:$BO$9="VENDA"),0)</f>
        <v>0</v>
      </c>
      <c r="S66" s="285" cm="1">
        <f t="array" ref="S66">_xlfn._xlws.FILTER(CLIENTES!$E109:$BO109,(CLIENTES!$E$5:$BO$5=S$5)*(CLIENTES!$E$9:$BO$9="VENDA"),0)</f>
        <v>0</v>
      </c>
      <c r="T66" s="285" cm="1">
        <f t="array" ref="T66">_xlfn._xlws.FILTER(CLIENTES!$E109:$BO109,(CLIENTES!$E$5:$BO$5=T$5)*(CLIENTES!$E$9:$BO$9="VENDA"),0)</f>
        <v>0</v>
      </c>
      <c r="U66" s="285" cm="1">
        <f t="array" ref="U66">_xlfn._xlws.FILTER(CLIENTES!$E109:$BO109,(CLIENTES!$E$5:$BO$5=U$5)*(CLIENTES!$E$9:$BO$9="VENDA"),0)</f>
        <v>0</v>
      </c>
      <c r="V66" s="285" cm="1">
        <f t="array" ref="V66">_xlfn._xlws.FILTER(CLIENTES!$E109:$BO109,(CLIENTES!$E$5:$BO$5=V$5)*(CLIENTES!$E$9:$BO$9="VENDA"),0)</f>
        <v>0</v>
      </c>
      <c r="W66" s="285" cm="1">
        <f t="array" ref="W66">_xlfn._xlws.FILTER(CLIENTES!$E109:$BO109,(CLIENTES!$E$5:$BO$5=W$5)*(CLIENTES!$E$9:$BO$9="VENDA"),0)</f>
        <v>0</v>
      </c>
      <c r="X66" s="285" cm="1">
        <f t="array" ref="X66">_xlfn._xlws.FILTER(CLIENTES!$E109:$BO109,(CLIENTES!$E$5:$BO$5=X$5)*(CLIENTES!$E$9:$BO$9="VENDA"),0)</f>
        <v>0</v>
      </c>
      <c r="Y66" s="285" cm="1">
        <f t="array" ref="Y66">_xlfn._xlws.FILTER(CLIENTES!$E109:$BO109,(CLIENTES!$E$5:$BO$5=Y$5)*(CLIENTES!$E$9:$BO$9="VENDA"),0)</f>
        <v>0</v>
      </c>
      <c r="Z66" s="285" cm="1">
        <f t="array" ref="Z66">_xlfn._xlws.FILTER(CLIENTES!$E109:$BO109,(CLIENTES!$E$5:$BO$5=Z$5)*(CLIENTES!$E$9:$BO$9="VENDA"),0)</f>
        <v>0</v>
      </c>
      <c r="AA66" s="285" cm="1">
        <f t="array" ref="AA66">_xlfn._xlws.FILTER(CLIENTES!$E109:$BO109,(CLIENTES!$E$5:$BO$5=AA$5)*(CLIENTES!$E$9:$BO$9="VENDA"),0)</f>
        <v>0</v>
      </c>
      <c r="AB66" s="285" cm="1">
        <f t="array" ref="AB66">_xlfn._xlws.FILTER(CLIENTES!$E109:$BO109,(CLIENTES!$E$5:$BO$5=AB$5)*(CLIENTES!$E$9:$BO$9="VENDA"),0)</f>
        <v>0</v>
      </c>
      <c r="AC66" s="285" cm="1">
        <f t="array" ref="AC66">_xlfn._xlws.FILTER(CLIENTES!$E109:$BO109,(CLIENTES!$E$5:$BO$5=AC$5)*(CLIENTES!$E$9:$BO$9="VENDA"),0)</f>
        <v>0</v>
      </c>
      <c r="AD66" s="285" cm="1">
        <f t="array" ref="AD66">_xlfn._xlws.FILTER(CLIENTES!$E109:$BO109,(CLIENTES!$E$5:$BO$5=AD$5)*(CLIENTES!$E$9:$BO$9="VENDA"),0)</f>
        <v>0</v>
      </c>
      <c r="AE66" s="285" cm="1">
        <f t="array" ref="AE66">_xlfn._xlws.FILTER(CLIENTES!$E109:$BO109,(CLIENTES!$E$5:$BO$5=AE$5)*(CLIENTES!$E$9:$BO$9="VENDA"),0)</f>
        <v>0</v>
      </c>
      <c r="AF66" s="285" cm="1">
        <f t="array" ref="AF66">_xlfn._xlws.FILTER(CLIENTES!$E109:$BO109,(CLIENTES!$E$5:$BO$5=AF$5)*(CLIENTES!$E$9:$BO$9="VENDA"),0)</f>
        <v>0</v>
      </c>
      <c r="AG66" s="285" cm="1">
        <f t="array" ref="AG66">_xlfn._xlws.FILTER(CLIENTES!$E109:$BO109,(CLIENTES!$E$5:$BO$5=AG$5)*(CLIENTES!$E$9:$BO$9="VENDA"),0)</f>
        <v>0</v>
      </c>
      <c r="AH66" s="285" cm="1">
        <f t="array" ref="AH66">_xlfn._xlws.FILTER(CLIENTES!$E109:$BO109,(CLIENTES!$E$5:$BO$5=AH$5)*(CLIENTES!$E$9:$BO$9="VENDA"),0)</f>
        <v>0</v>
      </c>
      <c r="AI66" s="285" cm="1">
        <f t="array" ref="AI66">_xlfn._xlws.FILTER(CLIENTES!$E109:$BO109,(CLIENTES!$E$5:$BO$5=AI$5)*(CLIENTES!$E$9:$BO$9="VENDA"),0)</f>
        <v>0</v>
      </c>
      <c r="AJ66" s="285" cm="1">
        <f t="array" ref="AJ66">_xlfn._xlws.FILTER(CLIENTES!$E109:$BO109,(CLIENTES!$E$5:$BO$5=AJ$5)*(CLIENTES!$E$9:$BO$9="VENDA"),0)</f>
        <v>0</v>
      </c>
      <c r="AK66" s="285" cm="1">
        <f t="array" ref="AK66">_xlfn._xlws.FILTER(CLIENTES!$E109:$BO109,(CLIENTES!$E$5:$BO$5=AK$5)*(CLIENTES!$E$9:$BO$9="VENDA"),0)</f>
        <v>0</v>
      </c>
      <c r="AL66" s="285" cm="1">
        <f t="array" ref="AL66">_xlfn._xlws.FILTER(CLIENTES!$E109:$BO109,(CLIENTES!$E$5:$BO$5=AL$5)*(CLIENTES!$E$9:$BO$9="VENDA"),0)</f>
        <v>0</v>
      </c>
      <c r="AM66" s="285" cm="1">
        <f t="array" ref="AM66">_xlfn._xlws.FILTER(CLIENTES!$E109:$BO109,(CLIENTES!$E$5:$BO$5=AM$5)*(CLIENTES!$E$9:$BO$9="VENDA"),0)</f>
        <v>0</v>
      </c>
      <c r="AN66" s="285" cm="1">
        <f t="array" ref="AN66">_xlfn._xlws.FILTER(CLIENTES!$E109:$BO109,(CLIENTES!$E$5:$BO$5=AN$5)*(CLIENTES!$E$9:$BO$9="VENDA"),0)</f>
        <v>0</v>
      </c>
      <c r="AO66" s="285" cm="1">
        <f t="array" ref="AO66">_xlfn._xlws.FILTER(CLIENTES!$E109:$BO109,(CLIENTES!$E$5:$BO$5=AO$5)*(CLIENTES!$E$9:$BO$9="VENDA"),0)</f>
        <v>0</v>
      </c>
      <c r="AP66" s="285" cm="1">
        <f t="array" ref="AP66">_xlfn._xlws.FILTER(CLIENTES!$E109:$BO109,(CLIENTES!$E$5:$BO$5=AP$5)*(CLIENTES!$E$9:$BO$9="VENDA"),0)</f>
        <v>0</v>
      </c>
      <c r="AQ66" s="285" cm="1">
        <f t="array" ref="AQ66">_xlfn._xlws.FILTER(CLIENTES!$E109:$BO109,(CLIENTES!$E$5:$BO$5=AQ$5)*(CLIENTES!$E$9:$BO$9="VENDA"),0)</f>
        <v>0</v>
      </c>
      <c r="AR66" s="285" cm="1">
        <f t="array" ref="AR66">_xlfn._xlws.FILTER(CLIENTES!$E109:$BO109,(CLIENTES!$E$5:$BO$5=AR$5)*(CLIENTES!$E$9:$BO$9="VENDA"),0)</f>
        <v>0</v>
      </c>
      <c r="AS66" s="285" cm="1">
        <f t="array" ref="AS66">_xlfn._xlws.FILTER(CLIENTES!$E109:$BO109,(CLIENTES!$E$5:$BO$5=AS$5)*(CLIENTES!$E$9:$BO$9="VENDA"),0)</f>
        <v>0</v>
      </c>
      <c r="AT66" s="285" cm="1">
        <f t="array" ref="AT66">_xlfn._xlws.FILTER(CLIENTES!$E109:$BO109,(CLIENTES!$E$5:$BO$5=AT$5)*(CLIENTES!$E$9:$BO$9="VENDA"),0)</f>
        <v>0</v>
      </c>
      <c r="AU66" s="285" cm="1">
        <f t="array" ref="AU66">_xlfn._xlws.FILTER(CLIENTES!$E109:$BO109,(CLIENTES!$E$5:$BO$5=AU$5)*(CLIENTES!$E$9:$BO$9="VENDA"),0)</f>
        <v>0</v>
      </c>
      <c r="AV66" s="285" cm="1">
        <f t="array" ref="AV66">_xlfn._xlws.FILTER(CLIENTES!$E109:$BO109,(CLIENTES!$E$5:$BO$5=AV$5)*(CLIENTES!$E$9:$BO$9="VENDA"),0)</f>
        <v>0</v>
      </c>
      <c r="AW66" s="285" cm="1">
        <f t="array" ref="AW66">_xlfn._xlws.FILTER(CLIENTES!$E109:$BO109,(CLIENTES!$E$5:$BO$5=AW$5)*(CLIENTES!$E$9:$BO$9="VENDA"),0)</f>
        <v>0</v>
      </c>
      <c r="AX66" s="285" cm="1">
        <f t="array" ref="AX66">_xlfn._xlws.FILTER(CLIENTES!$E109:$BO109,(CLIENTES!$E$5:$BO$5=AX$5)*(CLIENTES!$E$9:$BO$9="VENDA"),0)</f>
        <v>0</v>
      </c>
      <c r="AY66" s="285" cm="1">
        <f t="array" ref="AY66">_xlfn._xlws.FILTER(CLIENTES!$E109:$BO109,(CLIENTES!$E$5:$BO$5=AY$5)*(CLIENTES!$E$9:$BO$9="VENDA"),0)</f>
        <v>0</v>
      </c>
      <c r="AZ66" s="285" cm="1">
        <f t="array" ref="AZ66">_xlfn._xlws.FILTER(CLIENTES!$E109:$BO109,(CLIENTES!$E$5:$BO$5=AZ$5)*(CLIENTES!$E$9:$BO$9="VENDA"),0)</f>
        <v>0</v>
      </c>
      <c r="BA66" s="285" cm="1">
        <f t="array" ref="BA66">_xlfn._xlws.FILTER(CLIENTES!$E109:$BO109,(CLIENTES!$E$5:$BO$5=BA$5)*(CLIENTES!$E$9:$BO$9="VENDA"),0)</f>
        <v>0</v>
      </c>
      <c r="BB66" s="285" cm="1">
        <f t="array" ref="BB66">_xlfn._xlws.FILTER(CLIENTES!$E109:$BO109,(CLIENTES!$E$5:$BO$5=BB$5)*(CLIENTES!$E$9:$BO$9="VENDA"),0)</f>
        <v>0</v>
      </c>
      <c r="BC66" s="285" cm="1">
        <f t="array" ref="BC66">_xlfn._xlws.FILTER(CLIENTES!$E109:$BO109,(CLIENTES!$E$5:$BO$5=BC$5)*(CLIENTES!$E$9:$BO$9="VENDA"),0)</f>
        <v>0</v>
      </c>
      <c r="BD66" s="285" cm="1">
        <f t="array" ref="BD66">_xlfn._xlws.FILTER(CLIENTES!$E109:$BO109,(CLIENTES!$E$5:$BO$5=BD$5)*(CLIENTES!$E$9:$BO$9="VENDA"),0)</f>
        <v>0</v>
      </c>
      <c r="BE66" s="285" cm="1">
        <f t="array" ref="BE66">_xlfn._xlws.FILTER(CLIENTES!$E109:$BO109,(CLIENTES!$E$5:$BO$5=BE$5)*(CLIENTES!$E$9:$BO$9="VENDA"),0)</f>
        <v>0</v>
      </c>
      <c r="BF66" s="285" cm="1">
        <f t="array" ref="BF66">_xlfn._xlws.FILTER(CLIENTES!$E109:$BO109,(CLIENTES!$E$5:$BO$5=BF$5)*(CLIENTES!$E$9:$BO$9="VENDA"),0)</f>
        <v>0</v>
      </c>
      <c r="BG66" s="285" cm="1">
        <f t="array" ref="BG66">_xlfn._xlws.FILTER(CLIENTES!$E109:$BO109,(CLIENTES!$E$5:$BO$5=BG$5)*(CLIENTES!$E$9:$BO$9="VENDA"),0)</f>
        <v>0</v>
      </c>
      <c r="BH66" s="285" cm="1">
        <f t="array" ref="BH66">_xlfn._xlws.FILTER(CLIENTES!$E109:$BO109,(CLIENTES!$E$5:$BO$5=BH$5)*(CLIENTES!$E$9:$BO$9="VENDA"),0)</f>
        <v>0</v>
      </c>
      <c r="BI66" s="285" cm="1">
        <f t="array" ref="BI66">_xlfn._xlws.FILTER(CLIENTES!$E109:$BO109,(CLIENTES!$E$5:$BO$5=BI$5)*(CLIENTES!$E$9:$BO$9="VENDA"),0)</f>
        <v>0</v>
      </c>
      <c r="BJ66" s="285" cm="1">
        <f t="array" ref="BJ66">_xlfn._xlws.FILTER(CLIENTES!$E109:$BO109,(CLIENTES!$E$5:$BO$5=BJ$5)*(CLIENTES!$E$9:$BO$9="VENDA"),0)</f>
        <v>0</v>
      </c>
      <c r="BK66" s="285" cm="1">
        <f t="array" ref="BK66">_xlfn._xlws.FILTER(CLIENTES!$E109:$BO109,(CLIENTES!$E$5:$BO$5=BK$5)*(CLIENTES!$E$9:$BO$9="VENDA"),0)</f>
        <v>0</v>
      </c>
      <c r="BL66" s="285" cm="1">
        <f t="array" ref="BL66">_xlfn._xlws.FILTER(CLIENTES!$E109:$BO109,(CLIENTES!$E$5:$BO$5=BL$5)*(CLIENTES!$E$9:$BO$9="VENDA"),0)</f>
        <v>0</v>
      </c>
    </row>
    <row r="67" spans="2:84" ht="13.5" thickBot="1" x14ac:dyDescent="0.25">
      <c r="B67" s="326"/>
      <c r="C67" s="23" t="s">
        <v>9</v>
      </c>
      <c r="D67" s="27">
        <f>SUM(E67:BL67)</f>
        <v>0</v>
      </c>
      <c r="E67" s="285" cm="1">
        <f t="array" ref="E67">_xlfn._xlws.FILTER(CLIENTES!$E110:$BO110,(CLIENTES!$E$5:$BO$5=E$5)*(CLIENTES!$E$9:$BO$9="VENDA"),0)</f>
        <v>0</v>
      </c>
      <c r="F67" s="285" cm="1">
        <f t="array" ref="F67">_xlfn._xlws.FILTER(CLIENTES!$E110:$BO110,(CLIENTES!$E$5:$BO$5=F$5)*(CLIENTES!$E$9:$BO$9="VENDA"),0)</f>
        <v>0</v>
      </c>
      <c r="G67" s="285" cm="1">
        <f t="array" ref="G67">_xlfn._xlws.FILTER(CLIENTES!$E110:$BO110,(CLIENTES!$E$5:$BO$5=G$5)*(CLIENTES!$E$9:$BO$9="VENDA"),0)</f>
        <v>0</v>
      </c>
      <c r="H67" s="285" cm="1">
        <f t="array" ref="H67">_xlfn._xlws.FILTER(CLIENTES!$E110:$BO110,(CLIENTES!$E$5:$BO$5=H$5)*(CLIENTES!$E$9:$BO$9="VENDA"),0)</f>
        <v>0</v>
      </c>
      <c r="I67" s="285" cm="1">
        <f t="array" ref="I67">_xlfn._xlws.FILTER(CLIENTES!$E110:$BO110,(CLIENTES!$E$5:$BO$5=I$5)*(CLIENTES!$E$9:$BO$9="VENDA"),0)</f>
        <v>0</v>
      </c>
      <c r="J67" s="285" cm="1">
        <f t="array" ref="J67">_xlfn._xlws.FILTER(CLIENTES!$E110:$BO110,(CLIENTES!$E$5:$BO$5=J$5)*(CLIENTES!$E$9:$BO$9="VENDA"),0)</f>
        <v>0</v>
      </c>
      <c r="K67" s="285" cm="1">
        <f t="array" ref="K67">_xlfn._xlws.FILTER(CLIENTES!$E110:$BO110,(CLIENTES!$E$5:$BO$5=K$5)*(CLIENTES!$E$9:$BO$9="VENDA"),0)</f>
        <v>0</v>
      </c>
      <c r="L67" s="285" cm="1">
        <f t="array" ref="L67">_xlfn._xlws.FILTER(CLIENTES!$E110:$BO110,(CLIENTES!$E$5:$BO$5=L$5)*(CLIENTES!$E$9:$BO$9="VENDA"),0)</f>
        <v>0</v>
      </c>
      <c r="M67" s="285" cm="1">
        <f t="array" ref="M67">_xlfn._xlws.FILTER(CLIENTES!$E110:$BO110,(CLIENTES!$E$5:$BO$5=M$5)*(CLIENTES!$E$9:$BO$9="VENDA"),0)</f>
        <v>0</v>
      </c>
      <c r="N67" s="285" cm="1">
        <f t="array" ref="N67">_xlfn._xlws.FILTER(CLIENTES!$E110:$BO110,(CLIENTES!$E$5:$BO$5=N$5)*(CLIENTES!$E$9:$BO$9="VENDA"),0)</f>
        <v>0</v>
      </c>
      <c r="O67" s="285" cm="1">
        <f t="array" ref="O67">_xlfn._xlws.FILTER(CLIENTES!$E110:$BO110,(CLIENTES!$E$5:$BO$5=O$5)*(CLIENTES!$E$9:$BO$9="VENDA"),0)</f>
        <v>0</v>
      </c>
      <c r="P67" s="285" cm="1">
        <f t="array" ref="P67">_xlfn._xlws.FILTER(CLIENTES!$E110:$BO110,(CLIENTES!$E$5:$BO$5=P$5)*(CLIENTES!$E$9:$BO$9="VENDA"),0)</f>
        <v>0</v>
      </c>
      <c r="Q67" s="285" cm="1">
        <f t="array" ref="Q67">_xlfn._xlws.FILTER(CLIENTES!$E110:$BO110,(CLIENTES!$E$5:$BO$5=Q$5)*(CLIENTES!$E$9:$BO$9="VENDA"),0)</f>
        <v>0</v>
      </c>
      <c r="R67" s="285" cm="1">
        <f t="array" ref="R67">_xlfn._xlws.FILTER(CLIENTES!$E110:$BO110,(CLIENTES!$E$5:$BO$5=R$5)*(CLIENTES!$E$9:$BO$9="VENDA"),0)</f>
        <v>0</v>
      </c>
      <c r="S67" s="285" cm="1">
        <f t="array" ref="S67">_xlfn._xlws.FILTER(CLIENTES!$E110:$BO110,(CLIENTES!$E$5:$BO$5=S$5)*(CLIENTES!$E$9:$BO$9="VENDA"),0)</f>
        <v>0</v>
      </c>
      <c r="T67" s="285" cm="1">
        <f t="array" ref="T67">_xlfn._xlws.FILTER(CLIENTES!$E110:$BO110,(CLIENTES!$E$5:$BO$5=T$5)*(CLIENTES!$E$9:$BO$9="VENDA"),0)</f>
        <v>0</v>
      </c>
      <c r="U67" s="285" cm="1">
        <f t="array" ref="U67">_xlfn._xlws.FILTER(CLIENTES!$E110:$BO110,(CLIENTES!$E$5:$BO$5=U$5)*(CLIENTES!$E$9:$BO$9="VENDA"),0)</f>
        <v>0</v>
      </c>
      <c r="V67" s="285" cm="1">
        <f t="array" ref="V67">_xlfn._xlws.FILTER(CLIENTES!$E110:$BO110,(CLIENTES!$E$5:$BO$5=V$5)*(CLIENTES!$E$9:$BO$9="VENDA"),0)</f>
        <v>0</v>
      </c>
      <c r="W67" s="285" cm="1">
        <f t="array" ref="W67">_xlfn._xlws.FILTER(CLIENTES!$E110:$BO110,(CLIENTES!$E$5:$BO$5=W$5)*(CLIENTES!$E$9:$BO$9="VENDA"),0)</f>
        <v>0</v>
      </c>
      <c r="X67" s="285" cm="1">
        <f t="array" ref="X67">_xlfn._xlws.FILTER(CLIENTES!$E110:$BO110,(CLIENTES!$E$5:$BO$5=X$5)*(CLIENTES!$E$9:$BO$9="VENDA"),0)</f>
        <v>0</v>
      </c>
      <c r="Y67" s="285" cm="1">
        <f t="array" ref="Y67">_xlfn._xlws.FILTER(CLIENTES!$E110:$BO110,(CLIENTES!$E$5:$BO$5=Y$5)*(CLIENTES!$E$9:$BO$9="VENDA"),0)</f>
        <v>0</v>
      </c>
      <c r="Z67" s="285" cm="1">
        <f t="array" ref="Z67">_xlfn._xlws.FILTER(CLIENTES!$E110:$BO110,(CLIENTES!$E$5:$BO$5=Z$5)*(CLIENTES!$E$9:$BO$9="VENDA"),0)</f>
        <v>0</v>
      </c>
      <c r="AA67" s="285" cm="1">
        <f t="array" ref="AA67">_xlfn._xlws.FILTER(CLIENTES!$E110:$BO110,(CLIENTES!$E$5:$BO$5=AA$5)*(CLIENTES!$E$9:$BO$9="VENDA"),0)</f>
        <v>0</v>
      </c>
      <c r="AB67" s="285" cm="1">
        <f t="array" ref="AB67">_xlfn._xlws.FILTER(CLIENTES!$E110:$BO110,(CLIENTES!$E$5:$BO$5=AB$5)*(CLIENTES!$E$9:$BO$9="VENDA"),0)</f>
        <v>0</v>
      </c>
      <c r="AC67" s="285" cm="1">
        <f t="array" ref="AC67">_xlfn._xlws.FILTER(CLIENTES!$E110:$BO110,(CLIENTES!$E$5:$BO$5=AC$5)*(CLIENTES!$E$9:$BO$9="VENDA"),0)</f>
        <v>0</v>
      </c>
      <c r="AD67" s="285" cm="1">
        <f t="array" ref="AD67">_xlfn._xlws.FILTER(CLIENTES!$E110:$BO110,(CLIENTES!$E$5:$BO$5=AD$5)*(CLIENTES!$E$9:$BO$9="VENDA"),0)</f>
        <v>0</v>
      </c>
      <c r="AE67" s="285" cm="1">
        <f t="array" ref="AE67">_xlfn._xlws.FILTER(CLIENTES!$E110:$BO110,(CLIENTES!$E$5:$BO$5=AE$5)*(CLIENTES!$E$9:$BO$9="VENDA"),0)</f>
        <v>0</v>
      </c>
      <c r="AF67" s="285" cm="1">
        <f t="array" ref="AF67">_xlfn._xlws.FILTER(CLIENTES!$E110:$BO110,(CLIENTES!$E$5:$BO$5=AF$5)*(CLIENTES!$E$9:$BO$9="VENDA"),0)</f>
        <v>0</v>
      </c>
      <c r="AG67" s="285" cm="1">
        <f t="array" ref="AG67">_xlfn._xlws.FILTER(CLIENTES!$E110:$BO110,(CLIENTES!$E$5:$BO$5=AG$5)*(CLIENTES!$E$9:$BO$9="VENDA"),0)</f>
        <v>0</v>
      </c>
      <c r="AH67" s="285" cm="1">
        <f t="array" ref="AH67">_xlfn._xlws.FILTER(CLIENTES!$E110:$BO110,(CLIENTES!$E$5:$BO$5=AH$5)*(CLIENTES!$E$9:$BO$9="VENDA"),0)</f>
        <v>0</v>
      </c>
      <c r="AI67" s="285" cm="1">
        <f t="array" ref="AI67">_xlfn._xlws.FILTER(CLIENTES!$E110:$BO110,(CLIENTES!$E$5:$BO$5=AI$5)*(CLIENTES!$E$9:$BO$9="VENDA"),0)</f>
        <v>0</v>
      </c>
      <c r="AJ67" s="285" cm="1">
        <f t="array" ref="AJ67">_xlfn._xlws.FILTER(CLIENTES!$E110:$BO110,(CLIENTES!$E$5:$BO$5=AJ$5)*(CLIENTES!$E$9:$BO$9="VENDA"),0)</f>
        <v>0</v>
      </c>
      <c r="AK67" s="285" cm="1">
        <f t="array" ref="AK67">_xlfn._xlws.FILTER(CLIENTES!$E110:$BO110,(CLIENTES!$E$5:$BO$5=AK$5)*(CLIENTES!$E$9:$BO$9="VENDA"),0)</f>
        <v>0</v>
      </c>
      <c r="AL67" s="285" cm="1">
        <f t="array" ref="AL67">_xlfn._xlws.FILTER(CLIENTES!$E110:$BO110,(CLIENTES!$E$5:$BO$5=AL$5)*(CLIENTES!$E$9:$BO$9="VENDA"),0)</f>
        <v>0</v>
      </c>
      <c r="AM67" s="285" cm="1">
        <f t="array" ref="AM67">_xlfn._xlws.FILTER(CLIENTES!$E110:$BO110,(CLIENTES!$E$5:$BO$5=AM$5)*(CLIENTES!$E$9:$BO$9="VENDA"),0)</f>
        <v>0</v>
      </c>
      <c r="AN67" s="285" cm="1">
        <f t="array" ref="AN67">_xlfn._xlws.FILTER(CLIENTES!$E110:$BO110,(CLIENTES!$E$5:$BO$5=AN$5)*(CLIENTES!$E$9:$BO$9="VENDA"),0)</f>
        <v>0</v>
      </c>
      <c r="AO67" s="285" cm="1">
        <f t="array" ref="AO67">_xlfn._xlws.FILTER(CLIENTES!$E110:$BO110,(CLIENTES!$E$5:$BO$5=AO$5)*(CLIENTES!$E$9:$BO$9="VENDA"),0)</f>
        <v>0</v>
      </c>
      <c r="AP67" s="285" cm="1">
        <f t="array" ref="AP67">_xlfn._xlws.FILTER(CLIENTES!$E110:$BO110,(CLIENTES!$E$5:$BO$5=AP$5)*(CLIENTES!$E$9:$BO$9="VENDA"),0)</f>
        <v>0</v>
      </c>
      <c r="AQ67" s="285" cm="1">
        <f t="array" ref="AQ67">_xlfn._xlws.FILTER(CLIENTES!$E110:$BO110,(CLIENTES!$E$5:$BO$5=AQ$5)*(CLIENTES!$E$9:$BO$9="VENDA"),0)</f>
        <v>0</v>
      </c>
      <c r="AR67" s="285" cm="1">
        <f t="array" ref="AR67">_xlfn._xlws.FILTER(CLIENTES!$E110:$BO110,(CLIENTES!$E$5:$BO$5=AR$5)*(CLIENTES!$E$9:$BO$9="VENDA"),0)</f>
        <v>0</v>
      </c>
      <c r="AS67" s="285" cm="1">
        <f t="array" ref="AS67">_xlfn._xlws.FILTER(CLIENTES!$E110:$BO110,(CLIENTES!$E$5:$BO$5=AS$5)*(CLIENTES!$E$9:$BO$9="VENDA"),0)</f>
        <v>0</v>
      </c>
      <c r="AT67" s="285" cm="1">
        <f t="array" ref="AT67">_xlfn._xlws.FILTER(CLIENTES!$E110:$BO110,(CLIENTES!$E$5:$BO$5=AT$5)*(CLIENTES!$E$9:$BO$9="VENDA"),0)</f>
        <v>0</v>
      </c>
      <c r="AU67" s="285" cm="1">
        <f t="array" ref="AU67">_xlfn._xlws.FILTER(CLIENTES!$E110:$BO110,(CLIENTES!$E$5:$BO$5=AU$5)*(CLIENTES!$E$9:$BO$9="VENDA"),0)</f>
        <v>0</v>
      </c>
      <c r="AV67" s="285" cm="1">
        <f t="array" ref="AV67">_xlfn._xlws.FILTER(CLIENTES!$E110:$BO110,(CLIENTES!$E$5:$BO$5=AV$5)*(CLIENTES!$E$9:$BO$9="VENDA"),0)</f>
        <v>0</v>
      </c>
      <c r="AW67" s="285" cm="1">
        <f t="array" ref="AW67">_xlfn._xlws.FILTER(CLIENTES!$E110:$BO110,(CLIENTES!$E$5:$BO$5=AW$5)*(CLIENTES!$E$9:$BO$9="VENDA"),0)</f>
        <v>0</v>
      </c>
      <c r="AX67" s="285" cm="1">
        <f t="array" ref="AX67">_xlfn._xlws.FILTER(CLIENTES!$E110:$BO110,(CLIENTES!$E$5:$BO$5=AX$5)*(CLIENTES!$E$9:$BO$9="VENDA"),0)</f>
        <v>0</v>
      </c>
      <c r="AY67" s="285" cm="1">
        <f t="array" ref="AY67">_xlfn._xlws.FILTER(CLIENTES!$E110:$BO110,(CLIENTES!$E$5:$BO$5=AY$5)*(CLIENTES!$E$9:$BO$9="VENDA"),0)</f>
        <v>0</v>
      </c>
      <c r="AZ67" s="285" cm="1">
        <f t="array" ref="AZ67">_xlfn._xlws.FILTER(CLIENTES!$E110:$BO110,(CLIENTES!$E$5:$BO$5=AZ$5)*(CLIENTES!$E$9:$BO$9="VENDA"),0)</f>
        <v>0</v>
      </c>
      <c r="BA67" s="285" cm="1">
        <f t="array" ref="BA67">_xlfn._xlws.FILTER(CLIENTES!$E110:$BO110,(CLIENTES!$E$5:$BO$5=BA$5)*(CLIENTES!$E$9:$BO$9="VENDA"),0)</f>
        <v>0</v>
      </c>
      <c r="BB67" s="285" cm="1">
        <f t="array" ref="BB67">_xlfn._xlws.FILTER(CLIENTES!$E110:$BO110,(CLIENTES!$E$5:$BO$5=BB$5)*(CLIENTES!$E$9:$BO$9="VENDA"),0)</f>
        <v>0</v>
      </c>
      <c r="BC67" s="285" cm="1">
        <f t="array" ref="BC67">_xlfn._xlws.FILTER(CLIENTES!$E110:$BO110,(CLIENTES!$E$5:$BO$5=BC$5)*(CLIENTES!$E$9:$BO$9="VENDA"),0)</f>
        <v>0</v>
      </c>
      <c r="BD67" s="285" cm="1">
        <f t="array" ref="BD67">_xlfn._xlws.FILTER(CLIENTES!$E110:$BO110,(CLIENTES!$E$5:$BO$5=BD$5)*(CLIENTES!$E$9:$BO$9="VENDA"),0)</f>
        <v>0</v>
      </c>
      <c r="BE67" s="285" cm="1">
        <f t="array" ref="BE67">_xlfn._xlws.FILTER(CLIENTES!$E110:$BO110,(CLIENTES!$E$5:$BO$5=BE$5)*(CLIENTES!$E$9:$BO$9="VENDA"),0)</f>
        <v>0</v>
      </c>
      <c r="BF67" s="285" cm="1">
        <f t="array" ref="BF67">_xlfn._xlws.FILTER(CLIENTES!$E110:$BO110,(CLIENTES!$E$5:$BO$5=BF$5)*(CLIENTES!$E$9:$BO$9="VENDA"),0)</f>
        <v>0</v>
      </c>
      <c r="BG67" s="285" cm="1">
        <f t="array" ref="BG67">_xlfn._xlws.FILTER(CLIENTES!$E110:$BO110,(CLIENTES!$E$5:$BO$5=BG$5)*(CLIENTES!$E$9:$BO$9="VENDA"),0)</f>
        <v>0</v>
      </c>
      <c r="BH67" s="285" cm="1">
        <f t="array" ref="BH67">_xlfn._xlws.FILTER(CLIENTES!$E110:$BO110,(CLIENTES!$E$5:$BO$5=BH$5)*(CLIENTES!$E$9:$BO$9="VENDA"),0)</f>
        <v>0</v>
      </c>
      <c r="BI67" s="285" cm="1">
        <f t="array" ref="BI67">_xlfn._xlws.FILTER(CLIENTES!$E110:$BO110,(CLIENTES!$E$5:$BO$5=BI$5)*(CLIENTES!$E$9:$BO$9="VENDA"),0)</f>
        <v>0</v>
      </c>
      <c r="BJ67" s="285" cm="1">
        <f t="array" ref="BJ67">_xlfn._xlws.FILTER(CLIENTES!$E110:$BO110,(CLIENTES!$E$5:$BO$5=BJ$5)*(CLIENTES!$E$9:$BO$9="VENDA"),0)</f>
        <v>0</v>
      </c>
      <c r="BK67" s="285" cm="1">
        <f t="array" ref="BK67">_xlfn._xlws.FILTER(CLIENTES!$E110:$BO110,(CLIENTES!$E$5:$BO$5=BK$5)*(CLIENTES!$E$9:$BO$9="VENDA"),0)</f>
        <v>0</v>
      </c>
      <c r="BL67" s="285" cm="1">
        <f t="array" ref="BL67">_xlfn._xlws.FILTER(CLIENTES!$E110:$BO110,(CLIENTES!$E$5:$BO$5=BL$5)*(CLIENTES!$E$9:$BO$9="VENDA"),0)</f>
        <v>0</v>
      </c>
    </row>
    <row r="68" spans="2:84" x14ac:dyDescent="0.2">
      <c r="B68" s="326"/>
      <c r="C68" s="23" t="s">
        <v>10</v>
      </c>
      <c r="D68" s="72">
        <v>3.3E-3</v>
      </c>
      <c r="E68" s="200">
        <f>CLIENTES!F112</f>
        <v>3.3E-3</v>
      </c>
      <c r="F68" s="200">
        <f>CLIENTES!H112</f>
        <v>3.3E-3</v>
      </c>
      <c r="G68" s="200">
        <f>CLIENTES!I112</f>
        <v>3.3E-3</v>
      </c>
      <c r="H68" s="200">
        <f>CLIENTES!J112</f>
        <v>3.3E-3</v>
      </c>
      <c r="I68" s="200">
        <f>CLIENTES!K112</f>
        <v>3.3E-3</v>
      </c>
      <c r="J68" s="200">
        <f>CLIENTES!L112</f>
        <v>3.3E-3</v>
      </c>
      <c r="K68" s="200">
        <f>CLIENTES!M112</f>
        <v>3.3E-3</v>
      </c>
      <c r="L68" s="200">
        <f>CLIENTES!N112</f>
        <v>3.3E-3</v>
      </c>
      <c r="M68" s="200">
        <f>CLIENTES!O112</f>
        <v>3.3E-3</v>
      </c>
      <c r="N68" s="200">
        <f>CLIENTES!P112</f>
        <v>3.3E-3</v>
      </c>
      <c r="O68" s="200">
        <f>CLIENTES!Q112</f>
        <v>3.3E-3</v>
      </c>
      <c r="P68" s="200">
        <f>CLIENTES!R112</f>
        <v>3.3E-3</v>
      </c>
      <c r="Q68" s="200">
        <f>CLIENTES!S112</f>
        <v>3.3E-3</v>
      </c>
      <c r="R68" s="200">
        <f>CLIENTES!T112</f>
        <v>3.3E-3</v>
      </c>
      <c r="S68" s="200">
        <f>CLIENTES!U112</f>
        <v>3.3E-3</v>
      </c>
      <c r="T68" s="200">
        <f>CLIENTES!V112</f>
        <v>3.3E-3</v>
      </c>
      <c r="U68" s="200">
        <f>CLIENTES!W112</f>
        <v>3.3E-3</v>
      </c>
      <c r="V68" s="200">
        <f>CLIENTES!X112</f>
        <v>3.3E-3</v>
      </c>
      <c r="W68" s="200">
        <f>CLIENTES!Y112</f>
        <v>3.3E-3</v>
      </c>
      <c r="X68" s="200">
        <f>CLIENTES!Z112</f>
        <v>3.3E-3</v>
      </c>
      <c r="Y68" s="200">
        <f>CLIENTES!AA112</f>
        <v>3.3E-3</v>
      </c>
      <c r="Z68" s="200">
        <f>CLIENTES!AB112</f>
        <v>3.3E-3</v>
      </c>
      <c r="AA68" s="200">
        <f>CLIENTES!AC112</f>
        <v>3.3E-3</v>
      </c>
      <c r="AB68" s="200">
        <f>CLIENTES!AD112</f>
        <v>3.3E-3</v>
      </c>
      <c r="AC68" s="200">
        <f>CLIENTES!AE112</f>
        <v>3.3E-3</v>
      </c>
      <c r="AD68" s="200">
        <f>CLIENTES!AF112</f>
        <v>3.3E-3</v>
      </c>
      <c r="AE68" s="200">
        <f>CLIENTES!AG112</f>
        <v>3.3E-3</v>
      </c>
      <c r="AF68" s="200">
        <f>CLIENTES!AH112</f>
        <v>3.3E-3</v>
      </c>
      <c r="AG68" s="200">
        <f>CLIENTES!AI112</f>
        <v>3.3E-3</v>
      </c>
      <c r="AH68" s="200">
        <f>CLIENTES!AJ112</f>
        <v>3.3E-3</v>
      </c>
      <c r="AI68" s="200">
        <f>CLIENTES!AK112</f>
        <v>3.3E-3</v>
      </c>
      <c r="AJ68" s="200">
        <f>CLIENTES!AL112</f>
        <v>3.3E-3</v>
      </c>
      <c r="AK68" s="200">
        <f>CLIENTES!AM112</f>
        <v>3.3E-3</v>
      </c>
      <c r="AL68" s="200">
        <f>CLIENTES!AN112</f>
        <v>3.3E-3</v>
      </c>
      <c r="AM68" s="200">
        <f>CLIENTES!AO112</f>
        <v>3.3E-3</v>
      </c>
      <c r="AN68" s="200">
        <f>CLIENTES!AP112</f>
        <v>3.3E-3</v>
      </c>
      <c r="AO68" s="200">
        <f>CLIENTES!AQ112</f>
        <v>3.3E-3</v>
      </c>
      <c r="AP68" s="200">
        <f>CLIENTES!AR112</f>
        <v>3.3E-3</v>
      </c>
      <c r="AQ68" s="200">
        <f>CLIENTES!AS112</f>
        <v>3.3E-3</v>
      </c>
      <c r="AR68" s="200">
        <f>CLIENTES!AT112</f>
        <v>3.3E-3</v>
      </c>
      <c r="AS68" s="200">
        <f>CLIENTES!AU112</f>
        <v>3.3E-3</v>
      </c>
      <c r="AT68" s="200">
        <f>CLIENTES!AV112</f>
        <v>3.3E-3</v>
      </c>
      <c r="AU68" s="200">
        <f>CLIENTES!AW112</f>
        <v>3.3E-3</v>
      </c>
      <c r="AV68" s="200">
        <f>CLIENTES!AX112</f>
        <v>3.3E-3</v>
      </c>
      <c r="AW68" s="200">
        <f>CLIENTES!AY112</f>
        <v>3.3E-3</v>
      </c>
      <c r="AX68" s="200">
        <f>CLIENTES!AZ112</f>
        <v>3.3E-3</v>
      </c>
      <c r="AY68" s="200">
        <f>CLIENTES!BA112</f>
        <v>3.3E-3</v>
      </c>
      <c r="AZ68" s="215">
        <f>CLIENTES!BB112</f>
        <v>3.3E-3</v>
      </c>
      <c r="BA68" s="200">
        <f>CLIENTES!BC112</f>
        <v>3.3E-3</v>
      </c>
      <c r="BB68" s="200">
        <f>CLIENTES!BD112</f>
        <v>3.3E-3</v>
      </c>
      <c r="BC68" s="200">
        <f>CLIENTES!BE112</f>
        <v>3.3E-3</v>
      </c>
      <c r="BD68" s="200">
        <f>CLIENTES!BF112</f>
        <v>3.3E-3</v>
      </c>
      <c r="BE68" s="200">
        <f>CLIENTES!BG112</f>
        <v>3.3E-3</v>
      </c>
      <c r="BF68" s="200">
        <f>CLIENTES!BH112</f>
        <v>3.3E-3</v>
      </c>
      <c r="BG68" s="200">
        <f>CLIENTES!BI112</f>
        <v>3.3E-3</v>
      </c>
      <c r="BH68" s="200">
        <f>CLIENTES!BJ112</f>
        <v>3.3E-3</v>
      </c>
      <c r="BI68" s="200">
        <f>CLIENTES!BK112</f>
        <v>3.3E-3</v>
      </c>
      <c r="BJ68" s="200">
        <f>CLIENTES!BL112</f>
        <v>3.3E-3</v>
      </c>
      <c r="BK68" s="200">
        <f>CLIENTES!BM112</f>
        <v>3.3E-3</v>
      </c>
      <c r="BL68" s="200">
        <f>CLIENTES!BN112</f>
        <v>3.3E-3</v>
      </c>
    </row>
    <row r="69" spans="2:84" x14ac:dyDescent="0.2">
      <c r="B69" s="326"/>
      <c r="C69" s="58" t="s">
        <v>23</v>
      </c>
      <c r="D69" s="27">
        <f>SUM(E69:BL69)</f>
        <v>1836.8156085007479</v>
      </c>
      <c r="E69" s="132">
        <v>0</v>
      </c>
      <c r="F69" s="132">
        <f t="shared" ref="F69:BJ69" si="28">(F65+F66-F67)*F68</f>
        <v>1836.8156085007479</v>
      </c>
      <c r="G69" s="132">
        <f t="shared" si="28"/>
        <v>0</v>
      </c>
      <c r="H69" s="132">
        <f t="shared" si="28"/>
        <v>0</v>
      </c>
      <c r="I69" s="132">
        <f t="shared" si="28"/>
        <v>0</v>
      </c>
      <c r="J69" s="132">
        <f t="shared" si="28"/>
        <v>0</v>
      </c>
      <c r="K69" s="132">
        <f t="shared" si="28"/>
        <v>0</v>
      </c>
      <c r="L69" s="132">
        <f t="shared" si="28"/>
        <v>0</v>
      </c>
      <c r="M69" s="132">
        <f t="shared" si="28"/>
        <v>0</v>
      </c>
      <c r="N69" s="132">
        <f t="shared" si="28"/>
        <v>0</v>
      </c>
      <c r="O69" s="132">
        <f t="shared" si="28"/>
        <v>0</v>
      </c>
      <c r="P69" s="132">
        <f t="shared" si="28"/>
        <v>0</v>
      </c>
      <c r="Q69" s="132">
        <v>0</v>
      </c>
      <c r="R69" s="132">
        <v>0</v>
      </c>
      <c r="S69" s="132">
        <f t="shared" si="28"/>
        <v>0</v>
      </c>
      <c r="T69" s="132">
        <f t="shared" si="28"/>
        <v>0</v>
      </c>
      <c r="U69" s="132">
        <v>0</v>
      </c>
      <c r="V69" s="132">
        <v>0</v>
      </c>
      <c r="W69" s="132">
        <f t="shared" si="28"/>
        <v>0</v>
      </c>
      <c r="X69" s="132">
        <f t="shared" si="28"/>
        <v>0</v>
      </c>
      <c r="Y69" s="132">
        <f t="shared" si="28"/>
        <v>0</v>
      </c>
      <c r="Z69" s="132">
        <v>0</v>
      </c>
      <c r="AA69" s="132">
        <f t="shared" si="28"/>
        <v>0</v>
      </c>
      <c r="AB69" s="132">
        <f t="shared" si="28"/>
        <v>0</v>
      </c>
      <c r="AC69" s="132">
        <v>0</v>
      </c>
      <c r="AD69" s="132">
        <v>0</v>
      </c>
      <c r="AE69" s="132">
        <f t="shared" si="28"/>
        <v>0</v>
      </c>
      <c r="AF69" s="132">
        <f t="shared" si="28"/>
        <v>0</v>
      </c>
      <c r="AG69" s="132">
        <f t="shared" si="28"/>
        <v>0</v>
      </c>
      <c r="AH69" s="132">
        <f t="shared" si="28"/>
        <v>0</v>
      </c>
      <c r="AI69" s="132">
        <v>0</v>
      </c>
      <c r="AJ69" s="132">
        <f t="shared" si="28"/>
        <v>0</v>
      </c>
      <c r="AK69" s="132">
        <v>0</v>
      </c>
      <c r="AL69" s="132">
        <v>0</v>
      </c>
      <c r="AM69" s="132">
        <f t="shared" si="28"/>
        <v>0</v>
      </c>
      <c r="AN69" s="132">
        <f t="shared" si="28"/>
        <v>0</v>
      </c>
      <c r="AO69" s="132">
        <f t="shared" si="28"/>
        <v>0</v>
      </c>
      <c r="AP69" s="132">
        <f t="shared" si="28"/>
        <v>0</v>
      </c>
      <c r="AQ69" s="132">
        <f t="shared" si="28"/>
        <v>0</v>
      </c>
      <c r="AR69" s="132">
        <v>0</v>
      </c>
      <c r="AS69" s="132">
        <v>0</v>
      </c>
      <c r="AT69" s="132">
        <v>0</v>
      </c>
      <c r="AU69" s="132">
        <f t="shared" si="28"/>
        <v>0</v>
      </c>
      <c r="AV69" s="132">
        <f t="shared" si="28"/>
        <v>0</v>
      </c>
      <c r="AW69" s="132">
        <v>0</v>
      </c>
      <c r="AX69" s="132">
        <f t="shared" si="28"/>
        <v>0</v>
      </c>
      <c r="AY69" s="132">
        <v>0</v>
      </c>
      <c r="AZ69" s="139">
        <f t="shared" si="28"/>
        <v>0</v>
      </c>
      <c r="BA69" s="132">
        <f t="shared" si="28"/>
        <v>0</v>
      </c>
      <c r="BB69" s="132">
        <f t="shared" si="28"/>
        <v>0</v>
      </c>
      <c r="BC69" s="132">
        <f t="shared" si="28"/>
        <v>0</v>
      </c>
      <c r="BD69" s="132">
        <f t="shared" si="28"/>
        <v>0</v>
      </c>
      <c r="BE69" s="132">
        <v>0</v>
      </c>
      <c r="BF69" s="132">
        <v>0</v>
      </c>
      <c r="BG69" s="132">
        <f t="shared" si="28"/>
        <v>0</v>
      </c>
      <c r="BH69" s="132">
        <v>0</v>
      </c>
      <c r="BI69" s="132">
        <f t="shared" si="28"/>
        <v>0</v>
      </c>
      <c r="BJ69" s="132">
        <f t="shared" si="28"/>
        <v>0</v>
      </c>
      <c r="BK69" s="132">
        <v>0</v>
      </c>
      <c r="BL69" s="132">
        <v>0</v>
      </c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</row>
    <row r="70" spans="2:84" ht="13.5" thickBot="1" x14ac:dyDescent="0.25">
      <c r="B70" s="327"/>
      <c r="C70" s="25" t="s">
        <v>22</v>
      </c>
      <c r="D70" s="30">
        <f>SUM(E70:BL70)</f>
        <v>1053447.6060632728</v>
      </c>
      <c r="E70" s="146">
        <f>+E65-E67+E66+E69</f>
        <v>495000</v>
      </c>
      <c r="F70" s="146">
        <f t="shared" ref="F70:BL70" si="29">+F65-F67+F66+F69</f>
        <v>558447.6060632728</v>
      </c>
      <c r="G70" s="146">
        <f t="shared" si="29"/>
        <v>0</v>
      </c>
      <c r="H70" s="146">
        <f t="shared" si="29"/>
        <v>0</v>
      </c>
      <c r="I70" s="146">
        <f t="shared" si="29"/>
        <v>0</v>
      </c>
      <c r="J70" s="146">
        <f t="shared" si="29"/>
        <v>0</v>
      </c>
      <c r="K70" s="146">
        <f t="shared" si="29"/>
        <v>0</v>
      </c>
      <c r="L70" s="146">
        <f t="shared" si="29"/>
        <v>0</v>
      </c>
      <c r="M70" s="146">
        <f t="shared" si="29"/>
        <v>0</v>
      </c>
      <c r="N70" s="146">
        <f t="shared" si="29"/>
        <v>0</v>
      </c>
      <c r="O70" s="146">
        <f t="shared" si="29"/>
        <v>0</v>
      </c>
      <c r="P70" s="146">
        <f t="shared" si="29"/>
        <v>0</v>
      </c>
      <c r="Q70" s="146">
        <f t="shared" si="29"/>
        <v>0</v>
      </c>
      <c r="R70" s="146">
        <f t="shared" si="29"/>
        <v>0</v>
      </c>
      <c r="S70" s="146">
        <f t="shared" si="29"/>
        <v>0</v>
      </c>
      <c r="T70" s="146">
        <f t="shared" si="29"/>
        <v>0</v>
      </c>
      <c r="U70" s="146">
        <f t="shared" si="29"/>
        <v>0</v>
      </c>
      <c r="V70" s="146">
        <f t="shared" si="29"/>
        <v>0</v>
      </c>
      <c r="W70" s="146">
        <f t="shared" si="29"/>
        <v>0</v>
      </c>
      <c r="X70" s="146">
        <f t="shared" si="29"/>
        <v>0</v>
      </c>
      <c r="Y70" s="146">
        <f t="shared" si="29"/>
        <v>0</v>
      </c>
      <c r="Z70" s="146">
        <f t="shared" si="29"/>
        <v>0</v>
      </c>
      <c r="AA70" s="146">
        <f t="shared" si="29"/>
        <v>0</v>
      </c>
      <c r="AB70" s="146">
        <f t="shared" si="29"/>
        <v>0</v>
      </c>
      <c r="AC70" s="146">
        <f t="shared" si="29"/>
        <v>0</v>
      </c>
      <c r="AD70" s="146">
        <f t="shared" si="29"/>
        <v>0</v>
      </c>
      <c r="AE70" s="146">
        <f t="shared" si="29"/>
        <v>0</v>
      </c>
      <c r="AF70" s="146">
        <f t="shared" si="29"/>
        <v>0</v>
      </c>
      <c r="AG70" s="146">
        <f t="shared" si="29"/>
        <v>0</v>
      </c>
      <c r="AH70" s="146">
        <f t="shared" si="29"/>
        <v>0</v>
      </c>
      <c r="AI70" s="146">
        <f t="shared" si="29"/>
        <v>0</v>
      </c>
      <c r="AJ70" s="146">
        <f t="shared" si="29"/>
        <v>0</v>
      </c>
      <c r="AK70" s="146">
        <f t="shared" si="29"/>
        <v>0</v>
      </c>
      <c r="AL70" s="146">
        <f t="shared" si="29"/>
        <v>0</v>
      </c>
      <c r="AM70" s="146">
        <f t="shared" si="29"/>
        <v>0</v>
      </c>
      <c r="AN70" s="146">
        <f t="shared" si="29"/>
        <v>0</v>
      </c>
      <c r="AO70" s="146">
        <f t="shared" si="29"/>
        <v>0</v>
      </c>
      <c r="AP70" s="146">
        <f t="shared" si="29"/>
        <v>0</v>
      </c>
      <c r="AQ70" s="146">
        <f t="shared" si="29"/>
        <v>0</v>
      </c>
      <c r="AR70" s="146">
        <f t="shared" si="29"/>
        <v>0</v>
      </c>
      <c r="AS70" s="146">
        <f t="shared" si="29"/>
        <v>0</v>
      </c>
      <c r="AT70" s="146">
        <f t="shared" si="29"/>
        <v>0</v>
      </c>
      <c r="AU70" s="146">
        <f t="shared" si="29"/>
        <v>0</v>
      </c>
      <c r="AV70" s="146">
        <f t="shared" si="29"/>
        <v>0</v>
      </c>
      <c r="AW70" s="146">
        <f t="shared" si="29"/>
        <v>0</v>
      </c>
      <c r="AX70" s="146">
        <f t="shared" si="29"/>
        <v>0</v>
      </c>
      <c r="AY70" s="146">
        <f t="shared" si="29"/>
        <v>0</v>
      </c>
      <c r="AZ70" s="146">
        <f t="shared" si="29"/>
        <v>0</v>
      </c>
      <c r="BA70" s="146">
        <f t="shared" si="29"/>
        <v>0</v>
      </c>
      <c r="BB70" s="146">
        <f t="shared" si="29"/>
        <v>0</v>
      </c>
      <c r="BC70" s="146">
        <f t="shared" si="29"/>
        <v>0</v>
      </c>
      <c r="BD70" s="146">
        <f t="shared" si="29"/>
        <v>0</v>
      </c>
      <c r="BE70" s="146">
        <f t="shared" si="29"/>
        <v>0</v>
      </c>
      <c r="BF70" s="146">
        <f t="shared" si="29"/>
        <v>0</v>
      </c>
      <c r="BG70" s="146">
        <f t="shared" si="29"/>
        <v>0</v>
      </c>
      <c r="BH70" s="146">
        <f t="shared" si="29"/>
        <v>0</v>
      </c>
      <c r="BI70" s="146">
        <f t="shared" si="29"/>
        <v>0</v>
      </c>
      <c r="BJ70" s="146">
        <f t="shared" si="29"/>
        <v>0</v>
      </c>
      <c r="BK70" s="146">
        <f t="shared" si="29"/>
        <v>0</v>
      </c>
      <c r="BL70" s="146">
        <f t="shared" si="29"/>
        <v>0</v>
      </c>
    </row>
    <row r="71" spans="2:84" ht="13.5" thickBot="1" x14ac:dyDescent="0.25">
      <c r="B71" s="325">
        <v>43952</v>
      </c>
      <c r="C71" s="62" t="s">
        <v>6</v>
      </c>
      <c r="D71" s="31">
        <f>SUM(E71:BL71)</f>
        <v>95000</v>
      </c>
      <c r="E71" s="285" cm="1">
        <f t="array" ref="E71">_xlfn._xlws.FILTER(CLIENTES!$E117:$BO117,(CLIENTES!$E$5:$BO$5=E$5)*(CLIENTES!$E$9:$BO$9="VENDA"),0)</f>
        <v>45000</v>
      </c>
      <c r="F71" s="285" cm="1">
        <f t="array" ref="F71">_xlfn._xlws.FILTER(CLIENTES!$E117:$BO117,(CLIENTES!$E$5:$BO$5=F$5)*(CLIENTES!$E$9:$BO$9="VENDA"),0)</f>
        <v>50000</v>
      </c>
      <c r="G71" s="285" cm="1">
        <f t="array" ref="G71">_xlfn._xlws.FILTER(CLIENTES!$E117:$BO117,(CLIENTES!$E$5:$BO$5=G$5)*(CLIENTES!$E$9:$BO$9="VENDA"),0)</f>
        <v>0</v>
      </c>
      <c r="H71" s="285" cm="1">
        <f t="array" ref="H71">_xlfn._xlws.FILTER(CLIENTES!$E117:$BO117,(CLIENTES!$E$5:$BO$5=H$5)*(CLIENTES!$E$9:$BO$9="VENDA"),0)</f>
        <v>0</v>
      </c>
      <c r="I71" s="285" cm="1">
        <f t="array" ref="I71">_xlfn._xlws.FILTER(CLIENTES!$E117:$BO117,(CLIENTES!$E$5:$BO$5=I$5)*(CLIENTES!$E$9:$BO$9="VENDA"),0)</f>
        <v>0</v>
      </c>
      <c r="J71" s="285" cm="1">
        <f t="array" ref="J71">_xlfn._xlws.FILTER(CLIENTES!$E117:$BO117,(CLIENTES!$E$5:$BO$5=J$5)*(CLIENTES!$E$9:$BO$9="VENDA"),0)</f>
        <v>0</v>
      </c>
      <c r="K71" s="285" cm="1">
        <f t="array" ref="K71">_xlfn._xlws.FILTER(CLIENTES!$E117:$BO117,(CLIENTES!$E$5:$BO$5=K$5)*(CLIENTES!$E$9:$BO$9="VENDA"),0)</f>
        <v>0</v>
      </c>
      <c r="L71" s="285" cm="1">
        <f t="array" ref="L71">_xlfn._xlws.FILTER(CLIENTES!$E117:$BO117,(CLIENTES!$E$5:$BO$5=L$5)*(CLIENTES!$E$9:$BO$9="VENDA"),0)</f>
        <v>0</v>
      </c>
      <c r="M71" s="285" cm="1">
        <f t="array" ref="M71">_xlfn._xlws.FILTER(CLIENTES!$E117:$BO117,(CLIENTES!$E$5:$BO$5=M$5)*(CLIENTES!$E$9:$BO$9="VENDA"),0)</f>
        <v>0</v>
      </c>
      <c r="N71" s="285" cm="1">
        <f t="array" ref="N71">_xlfn._xlws.FILTER(CLIENTES!$E117:$BO117,(CLIENTES!$E$5:$BO$5=N$5)*(CLIENTES!$E$9:$BO$9="VENDA"),0)</f>
        <v>0</v>
      </c>
      <c r="O71" s="285" cm="1">
        <f t="array" ref="O71">_xlfn._xlws.FILTER(CLIENTES!$E117:$BO117,(CLIENTES!$E$5:$BO$5=O$5)*(CLIENTES!$E$9:$BO$9="VENDA"),0)</f>
        <v>0</v>
      </c>
      <c r="P71" s="285" cm="1">
        <f t="array" ref="P71">_xlfn._xlws.FILTER(CLIENTES!$E117:$BO117,(CLIENTES!$E$5:$BO$5=P$5)*(CLIENTES!$E$9:$BO$9="VENDA"),0)</f>
        <v>0</v>
      </c>
      <c r="Q71" s="285" cm="1">
        <f t="array" ref="Q71">_xlfn._xlws.FILTER(CLIENTES!$E117:$BO117,(CLIENTES!$E$5:$BO$5=Q$5)*(CLIENTES!$E$9:$BO$9="VENDA"),0)</f>
        <v>0</v>
      </c>
      <c r="R71" s="285" cm="1">
        <f t="array" ref="R71">_xlfn._xlws.FILTER(CLIENTES!$E117:$BO117,(CLIENTES!$E$5:$BO$5=R$5)*(CLIENTES!$E$9:$BO$9="VENDA"),0)</f>
        <v>0</v>
      </c>
      <c r="S71" s="285" cm="1">
        <f t="array" ref="S71">_xlfn._xlws.FILTER(CLIENTES!$E117:$BO117,(CLIENTES!$E$5:$BO$5=S$5)*(CLIENTES!$E$9:$BO$9="VENDA"),0)</f>
        <v>0</v>
      </c>
      <c r="T71" s="285" cm="1">
        <f t="array" ref="T71">_xlfn._xlws.FILTER(CLIENTES!$E117:$BO117,(CLIENTES!$E$5:$BO$5=T$5)*(CLIENTES!$E$9:$BO$9="VENDA"),0)</f>
        <v>0</v>
      </c>
      <c r="U71" s="285" cm="1">
        <f t="array" ref="U71">_xlfn._xlws.FILTER(CLIENTES!$E117:$BO117,(CLIENTES!$E$5:$BO$5=U$5)*(CLIENTES!$E$9:$BO$9="VENDA"),0)</f>
        <v>0</v>
      </c>
      <c r="V71" s="285" cm="1">
        <f t="array" ref="V71">_xlfn._xlws.FILTER(CLIENTES!$E117:$BO117,(CLIENTES!$E$5:$BO$5=V$5)*(CLIENTES!$E$9:$BO$9="VENDA"),0)</f>
        <v>0</v>
      </c>
      <c r="W71" s="285" cm="1">
        <f t="array" ref="W71">_xlfn._xlws.FILTER(CLIENTES!$E117:$BO117,(CLIENTES!$E$5:$BO$5=W$5)*(CLIENTES!$E$9:$BO$9="VENDA"),0)</f>
        <v>0</v>
      </c>
      <c r="X71" s="285" cm="1">
        <f t="array" ref="X71">_xlfn._xlws.FILTER(CLIENTES!$E117:$BO117,(CLIENTES!$E$5:$BO$5=X$5)*(CLIENTES!$E$9:$BO$9="VENDA"),0)</f>
        <v>0</v>
      </c>
      <c r="Y71" s="285" cm="1">
        <f t="array" ref="Y71">_xlfn._xlws.FILTER(CLIENTES!$E117:$BO117,(CLIENTES!$E$5:$BO$5=Y$5)*(CLIENTES!$E$9:$BO$9="VENDA"),0)</f>
        <v>0</v>
      </c>
      <c r="Z71" s="285" cm="1">
        <f t="array" ref="Z71">_xlfn._xlws.FILTER(CLIENTES!$E117:$BO117,(CLIENTES!$E$5:$BO$5=Z$5)*(CLIENTES!$E$9:$BO$9="VENDA"),0)</f>
        <v>0</v>
      </c>
      <c r="AA71" s="285" cm="1">
        <f t="array" ref="AA71">_xlfn._xlws.FILTER(CLIENTES!$E117:$BO117,(CLIENTES!$E$5:$BO$5=AA$5)*(CLIENTES!$E$9:$BO$9="VENDA"),0)</f>
        <v>0</v>
      </c>
      <c r="AB71" s="285" cm="1">
        <f t="array" ref="AB71">_xlfn._xlws.FILTER(CLIENTES!$E117:$BO117,(CLIENTES!$E$5:$BO$5=AB$5)*(CLIENTES!$E$9:$BO$9="VENDA"),0)</f>
        <v>0</v>
      </c>
      <c r="AC71" s="285" cm="1">
        <f t="array" ref="AC71">_xlfn._xlws.FILTER(CLIENTES!$E117:$BO117,(CLIENTES!$E$5:$BO$5=AC$5)*(CLIENTES!$E$9:$BO$9="VENDA"),0)</f>
        <v>0</v>
      </c>
      <c r="AD71" s="285" cm="1">
        <f t="array" ref="AD71">_xlfn._xlws.FILTER(CLIENTES!$E117:$BO117,(CLIENTES!$E$5:$BO$5=AD$5)*(CLIENTES!$E$9:$BO$9="VENDA"),0)</f>
        <v>0</v>
      </c>
      <c r="AE71" s="285" cm="1">
        <f t="array" ref="AE71">_xlfn._xlws.FILTER(CLIENTES!$E117:$BO117,(CLIENTES!$E$5:$BO$5=AE$5)*(CLIENTES!$E$9:$BO$9="VENDA"),0)</f>
        <v>0</v>
      </c>
      <c r="AF71" s="285" cm="1">
        <f t="array" ref="AF71">_xlfn._xlws.FILTER(CLIENTES!$E117:$BO117,(CLIENTES!$E$5:$BO$5=AF$5)*(CLIENTES!$E$9:$BO$9="VENDA"),0)</f>
        <v>0</v>
      </c>
      <c r="AG71" s="285" cm="1">
        <f t="array" ref="AG71">_xlfn._xlws.FILTER(CLIENTES!$E117:$BO117,(CLIENTES!$E$5:$BO$5=AG$5)*(CLIENTES!$E$9:$BO$9="VENDA"),0)</f>
        <v>0</v>
      </c>
      <c r="AH71" s="285" cm="1">
        <f t="array" ref="AH71">_xlfn._xlws.FILTER(CLIENTES!$E117:$BO117,(CLIENTES!$E$5:$BO$5=AH$5)*(CLIENTES!$E$9:$BO$9="VENDA"),0)</f>
        <v>0</v>
      </c>
      <c r="AI71" s="285" cm="1">
        <f t="array" ref="AI71">_xlfn._xlws.FILTER(CLIENTES!$E117:$BO117,(CLIENTES!$E$5:$BO$5=AI$5)*(CLIENTES!$E$9:$BO$9="VENDA"),0)</f>
        <v>0</v>
      </c>
      <c r="AJ71" s="285" cm="1">
        <f t="array" ref="AJ71">_xlfn._xlws.FILTER(CLIENTES!$E117:$BO117,(CLIENTES!$E$5:$BO$5=AJ$5)*(CLIENTES!$E$9:$BO$9="VENDA"),0)</f>
        <v>0</v>
      </c>
      <c r="AK71" s="285" cm="1">
        <f t="array" ref="AK71">_xlfn._xlws.FILTER(CLIENTES!$E117:$BO117,(CLIENTES!$E$5:$BO$5=AK$5)*(CLIENTES!$E$9:$BO$9="VENDA"),0)</f>
        <v>0</v>
      </c>
      <c r="AL71" s="285" cm="1">
        <f t="array" ref="AL71">_xlfn._xlws.FILTER(CLIENTES!$E117:$BO117,(CLIENTES!$E$5:$BO$5=AL$5)*(CLIENTES!$E$9:$BO$9="VENDA"),0)</f>
        <v>0</v>
      </c>
      <c r="AM71" s="285" cm="1">
        <f t="array" ref="AM71">_xlfn._xlws.FILTER(CLIENTES!$E117:$BO117,(CLIENTES!$E$5:$BO$5=AM$5)*(CLIENTES!$E$9:$BO$9="VENDA"),0)</f>
        <v>0</v>
      </c>
      <c r="AN71" s="285" cm="1">
        <f t="array" ref="AN71">_xlfn._xlws.FILTER(CLIENTES!$E117:$BO117,(CLIENTES!$E$5:$BO$5=AN$5)*(CLIENTES!$E$9:$BO$9="VENDA"),0)</f>
        <v>0</v>
      </c>
      <c r="AO71" s="285" cm="1">
        <f t="array" ref="AO71">_xlfn._xlws.FILTER(CLIENTES!$E117:$BO117,(CLIENTES!$E$5:$BO$5=AO$5)*(CLIENTES!$E$9:$BO$9="VENDA"),0)</f>
        <v>0</v>
      </c>
      <c r="AP71" s="285" cm="1">
        <f t="array" ref="AP71">_xlfn._xlws.FILTER(CLIENTES!$E117:$BO117,(CLIENTES!$E$5:$BO$5=AP$5)*(CLIENTES!$E$9:$BO$9="VENDA"),0)</f>
        <v>0</v>
      </c>
      <c r="AQ71" s="285" cm="1">
        <f t="array" ref="AQ71">_xlfn._xlws.FILTER(CLIENTES!$E117:$BO117,(CLIENTES!$E$5:$BO$5=AQ$5)*(CLIENTES!$E$9:$BO$9="VENDA"),0)</f>
        <v>0</v>
      </c>
      <c r="AR71" s="285" cm="1">
        <f t="array" ref="AR71">_xlfn._xlws.FILTER(CLIENTES!$E117:$BO117,(CLIENTES!$E$5:$BO$5=AR$5)*(CLIENTES!$E$9:$BO$9="VENDA"),0)</f>
        <v>0</v>
      </c>
      <c r="AS71" s="285" cm="1">
        <f t="array" ref="AS71">_xlfn._xlws.FILTER(CLIENTES!$E117:$BO117,(CLIENTES!$E$5:$BO$5=AS$5)*(CLIENTES!$E$9:$BO$9="VENDA"),0)</f>
        <v>0</v>
      </c>
      <c r="AT71" s="285" cm="1">
        <f t="array" ref="AT71">_xlfn._xlws.FILTER(CLIENTES!$E117:$BO117,(CLIENTES!$E$5:$BO$5=AT$5)*(CLIENTES!$E$9:$BO$9="VENDA"),0)</f>
        <v>0</v>
      </c>
      <c r="AU71" s="285" cm="1">
        <f t="array" ref="AU71">_xlfn._xlws.FILTER(CLIENTES!$E117:$BO117,(CLIENTES!$E$5:$BO$5=AU$5)*(CLIENTES!$E$9:$BO$9="VENDA"),0)</f>
        <v>0</v>
      </c>
      <c r="AV71" s="285" cm="1">
        <f t="array" ref="AV71">_xlfn._xlws.FILTER(CLIENTES!$E117:$BO117,(CLIENTES!$E$5:$BO$5=AV$5)*(CLIENTES!$E$9:$BO$9="VENDA"),0)</f>
        <v>0</v>
      </c>
      <c r="AW71" s="285" cm="1">
        <f t="array" ref="AW71">_xlfn._xlws.FILTER(CLIENTES!$E117:$BO117,(CLIENTES!$E$5:$BO$5=AW$5)*(CLIENTES!$E$9:$BO$9="VENDA"),0)</f>
        <v>0</v>
      </c>
      <c r="AX71" s="285" cm="1">
        <f t="array" ref="AX71">_xlfn._xlws.FILTER(CLIENTES!$E117:$BO117,(CLIENTES!$E$5:$BO$5=AX$5)*(CLIENTES!$E$9:$BO$9="VENDA"),0)</f>
        <v>0</v>
      </c>
      <c r="AY71" s="285" cm="1">
        <f t="array" ref="AY71">_xlfn._xlws.FILTER(CLIENTES!$E117:$BO117,(CLIENTES!$E$5:$BO$5=AY$5)*(CLIENTES!$E$9:$BO$9="VENDA"),0)</f>
        <v>0</v>
      </c>
      <c r="AZ71" s="285" cm="1">
        <f t="array" ref="AZ71">_xlfn._xlws.FILTER(CLIENTES!$E117:$BO117,(CLIENTES!$E$5:$BO$5=AZ$5)*(CLIENTES!$E$9:$BO$9="VENDA"),0)</f>
        <v>0</v>
      </c>
      <c r="BA71" s="285" cm="1">
        <f t="array" ref="BA71">_xlfn._xlws.FILTER(CLIENTES!$E117:$BO117,(CLIENTES!$E$5:$BO$5=BA$5)*(CLIENTES!$E$9:$BO$9="VENDA"),0)</f>
        <v>0</v>
      </c>
      <c r="BB71" s="285" cm="1">
        <f t="array" ref="BB71">_xlfn._xlws.FILTER(CLIENTES!$E117:$BO117,(CLIENTES!$E$5:$BO$5=BB$5)*(CLIENTES!$E$9:$BO$9="VENDA"),0)</f>
        <v>0</v>
      </c>
      <c r="BC71" s="285" cm="1">
        <f t="array" ref="BC71">_xlfn._xlws.FILTER(CLIENTES!$E117:$BO117,(CLIENTES!$E$5:$BO$5=BC$5)*(CLIENTES!$E$9:$BO$9="VENDA"),0)</f>
        <v>0</v>
      </c>
      <c r="BD71" s="285" cm="1">
        <f t="array" ref="BD71">_xlfn._xlws.FILTER(CLIENTES!$E117:$BO117,(CLIENTES!$E$5:$BO$5=BD$5)*(CLIENTES!$E$9:$BO$9="VENDA"),0)</f>
        <v>0</v>
      </c>
      <c r="BE71" s="285" cm="1">
        <f t="array" ref="BE71">_xlfn._xlws.FILTER(CLIENTES!$E117:$BO117,(CLIENTES!$E$5:$BO$5=BE$5)*(CLIENTES!$E$9:$BO$9="VENDA"),0)</f>
        <v>0</v>
      </c>
      <c r="BF71" s="285" cm="1">
        <f t="array" ref="BF71">_xlfn._xlws.FILTER(CLIENTES!$E117:$BO117,(CLIENTES!$E$5:$BO$5=BF$5)*(CLIENTES!$E$9:$BO$9="VENDA"),0)</f>
        <v>0</v>
      </c>
      <c r="BG71" s="285" cm="1">
        <f t="array" ref="BG71">_xlfn._xlws.FILTER(CLIENTES!$E117:$BO117,(CLIENTES!$E$5:$BO$5=BG$5)*(CLIENTES!$E$9:$BO$9="VENDA"),0)</f>
        <v>0</v>
      </c>
      <c r="BH71" s="285" cm="1">
        <f t="array" ref="BH71">_xlfn._xlws.FILTER(CLIENTES!$E117:$BO117,(CLIENTES!$E$5:$BO$5=BH$5)*(CLIENTES!$E$9:$BO$9="VENDA"),0)</f>
        <v>0</v>
      </c>
      <c r="BI71" s="285" cm="1">
        <f t="array" ref="BI71">_xlfn._xlws.FILTER(CLIENTES!$E117:$BO117,(CLIENTES!$E$5:$BO$5=BI$5)*(CLIENTES!$E$9:$BO$9="VENDA"),0)</f>
        <v>0</v>
      </c>
      <c r="BJ71" s="285" cm="1">
        <f t="array" ref="BJ71">_xlfn._xlws.FILTER(CLIENTES!$E117:$BO117,(CLIENTES!$E$5:$BO$5=BJ$5)*(CLIENTES!$E$9:$BO$9="VENDA"),0)</f>
        <v>0</v>
      </c>
      <c r="BK71" s="285" cm="1">
        <f t="array" ref="BK71">_xlfn._xlws.FILTER(CLIENTES!$E117:$BO117,(CLIENTES!$E$5:$BO$5=BK$5)*(CLIENTES!$E$9:$BO$9="VENDA"),0)</f>
        <v>0</v>
      </c>
      <c r="BL71" s="285" cm="1">
        <f t="array" ref="BL71">_xlfn._xlws.FILTER(CLIENTES!$E117:$BO117,(CLIENTES!$E$5:$BO$5=BL$5)*(CLIENTES!$E$9:$BO$9="VENDA"),0)</f>
        <v>0</v>
      </c>
    </row>
    <row r="72" spans="2:84" ht="13.5" thickBot="1" x14ac:dyDescent="0.25">
      <c r="B72" s="326"/>
      <c r="C72" s="23" t="s">
        <v>9</v>
      </c>
      <c r="D72" s="27">
        <f>SUM(E72:BL72)</f>
        <v>0</v>
      </c>
      <c r="E72" s="285" cm="1">
        <f t="array" ref="E72">_xlfn._xlws.FILTER(CLIENTES!$E118:$BO118,(CLIENTES!$E$5:$BO$5=E$5)*(CLIENTES!$E$9:$BO$9="VENDA"),0)</f>
        <v>0</v>
      </c>
      <c r="F72" s="285" cm="1">
        <f t="array" ref="F72">_xlfn._xlws.FILTER(CLIENTES!$E118:$BO118,(CLIENTES!$E$5:$BO$5=F$5)*(CLIENTES!$E$9:$BO$9="VENDA"),0)</f>
        <v>0</v>
      </c>
      <c r="G72" s="285" cm="1">
        <f t="array" ref="G72">_xlfn._xlws.FILTER(CLIENTES!$E118:$BO118,(CLIENTES!$E$5:$BO$5=G$5)*(CLIENTES!$E$9:$BO$9="VENDA"),0)</f>
        <v>0</v>
      </c>
      <c r="H72" s="285" cm="1">
        <f t="array" ref="H72">_xlfn._xlws.FILTER(CLIENTES!$E118:$BO118,(CLIENTES!$E$5:$BO$5=H$5)*(CLIENTES!$E$9:$BO$9="VENDA"),0)</f>
        <v>0</v>
      </c>
      <c r="I72" s="285" cm="1">
        <f t="array" ref="I72">_xlfn._xlws.FILTER(CLIENTES!$E118:$BO118,(CLIENTES!$E$5:$BO$5=I$5)*(CLIENTES!$E$9:$BO$9="VENDA"),0)</f>
        <v>0</v>
      </c>
      <c r="J72" s="285" cm="1">
        <f t="array" ref="J72">_xlfn._xlws.FILTER(CLIENTES!$E118:$BO118,(CLIENTES!$E$5:$BO$5=J$5)*(CLIENTES!$E$9:$BO$9="VENDA"),0)</f>
        <v>0</v>
      </c>
      <c r="K72" s="285" cm="1">
        <f t="array" ref="K72">_xlfn._xlws.FILTER(CLIENTES!$E118:$BO118,(CLIENTES!$E$5:$BO$5=K$5)*(CLIENTES!$E$9:$BO$9="VENDA"),0)</f>
        <v>0</v>
      </c>
      <c r="L72" s="285" cm="1">
        <f t="array" ref="L72">_xlfn._xlws.FILTER(CLIENTES!$E118:$BO118,(CLIENTES!$E$5:$BO$5=L$5)*(CLIENTES!$E$9:$BO$9="VENDA"),0)</f>
        <v>0</v>
      </c>
      <c r="M72" s="285" cm="1">
        <f t="array" ref="M72">_xlfn._xlws.FILTER(CLIENTES!$E118:$BO118,(CLIENTES!$E$5:$BO$5=M$5)*(CLIENTES!$E$9:$BO$9="VENDA"),0)</f>
        <v>0</v>
      </c>
      <c r="N72" s="285" cm="1">
        <f t="array" ref="N72">_xlfn._xlws.FILTER(CLIENTES!$E118:$BO118,(CLIENTES!$E$5:$BO$5=N$5)*(CLIENTES!$E$9:$BO$9="VENDA"),0)</f>
        <v>0</v>
      </c>
      <c r="O72" s="285" cm="1">
        <f t="array" ref="O72">_xlfn._xlws.FILTER(CLIENTES!$E118:$BO118,(CLIENTES!$E$5:$BO$5=O$5)*(CLIENTES!$E$9:$BO$9="VENDA"),0)</f>
        <v>0</v>
      </c>
      <c r="P72" s="285" cm="1">
        <f t="array" ref="P72">_xlfn._xlws.FILTER(CLIENTES!$E118:$BO118,(CLIENTES!$E$5:$BO$5=P$5)*(CLIENTES!$E$9:$BO$9="VENDA"),0)</f>
        <v>0</v>
      </c>
      <c r="Q72" s="285" cm="1">
        <f t="array" ref="Q72">_xlfn._xlws.FILTER(CLIENTES!$E118:$BO118,(CLIENTES!$E$5:$BO$5=Q$5)*(CLIENTES!$E$9:$BO$9="VENDA"),0)</f>
        <v>0</v>
      </c>
      <c r="R72" s="285" cm="1">
        <f t="array" ref="R72">_xlfn._xlws.FILTER(CLIENTES!$E118:$BO118,(CLIENTES!$E$5:$BO$5=R$5)*(CLIENTES!$E$9:$BO$9="VENDA"),0)</f>
        <v>0</v>
      </c>
      <c r="S72" s="285" cm="1">
        <f t="array" ref="S72">_xlfn._xlws.FILTER(CLIENTES!$E118:$BO118,(CLIENTES!$E$5:$BO$5=S$5)*(CLIENTES!$E$9:$BO$9="VENDA"),0)</f>
        <v>0</v>
      </c>
      <c r="T72" s="285" cm="1">
        <f t="array" ref="T72">_xlfn._xlws.FILTER(CLIENTES!$E118:$BO118,(CLIENTES!$E$5:$BO$5=T$5)*(CLIENTES!$E$9:$BO$9="VENDA"),0)</f>
        <v>0</v>
      </c>
      <c r="U72" s="285" cm="1">
        <f t="array" ref="U72">_xlfn._xlws.FILTER(CLIENTES!$E118:$BO118,(CLIENTES!$E$5:$BO$5=U$5)*(CLIENTES!$E$9:$BO$9="VENDA"),0)</f>
        <v>0</v>
      </c>
      <c r="V72" s="285" cm="1">
        <f t="array" ref="V72">_xlfn._xlws.FILTER(CLIENTES!$E118:$BO118,(CLIENTES!$E$5:$BO$5=V$5)*(CLIENTES!$E$9:$BO$9="VENDA"),0)</f>
        <v>0</v>
      </c>
      <c r="W72" s="285" cm="1">
        <f t="array" ref="W72">_xlfn._xlws.FILTER(CLIENTES!$E118:$BO118,(CLIENTES!$E$5:$BO$5=W$5)*(CLIENTES!$E$9:$BO$9="VENDA"),0)</f>
        <v>0</v>
      </c>
      <c r="X72" s="285" cm="1">
        <f t="array" ref="X72">_xlfn._xlws.FILTER(CLIENTES!$E118:$BO118,(CLIENTES!$E$5:$BO$5=X$5)*(CLIENTES!$E$9:$BO$9="VENDA"),0)</f>
        <v>0</v>
      </c>
      <c r="Y72" s="285" cm="1">
        <f t="array" ref="Y72">_xlfn._xlws.FILTER(CLIENTES!$E118:$BO118,(CLIENTES!$E$5:$BO$5=Y$5)*(CLIENTES!$E$9:$BO$9="VENDA"),0)</f>
        <v>0</v>
      </c>
      <c r="Z72" s="285" cm="1">
        <f t="array" ref="Z72">_xlfn._xlws.FILTER(CLIENTES!$E118:$BO118,(CLIENTES!$E$5:$BO$5=Z$5)*(CLIENTES!$E$9:$BO$9="VENDA"),0)</f>
        <v>0</v>
      </c>
      <c r="AA72" s="285" cm="1">
        <f t="array" ref="AA72">_xlfn._xlws.FILTER(CLIENTES!$E118:$BO118,(CLIENTES!$E$5:$BO$5=AA$5)*(CLIENTES!$E$9:$BO$9="VENDA"),0)</f>
        <v>0</v>
      </c>
      <c r="AB72" s="285" cm="1">
        <f t="array" ref="AB72">_xlfn._xlws.FILTER(CLIENTES!$E118:$BO118,(CLIENTES!$E$5:$BO$5=AB$5)*(CLIENTES!$E$9:$BO$9="VENDA"),0)</f>
        <v>0</v>
      </c>
      <c r="AC72" s="285" cm="1">
        <f t="array" ref="AC72">_xlfn._xlws.FILTER(CLIENTES!$E118:$BO118,(CLIENTES!$E$5:$BO$5=AC$5)*(CLIENTES!$E$9:$BO$9="VENDA"),0)</f>
        <v>0</v>
      </c>
      <c r="AD72" s="285" cm="1">
        <f t="array" ref="AD72">_xlfn._xlws.FILTER(CLIENTES!$E118:$BO118,(CLIENTES!$E$5:$BO$5=AD$5)*(CLIENTES!$E$9:$BO$9="VENDA"),0)</f>
        <v>0</v>
      </c>
      <c r="AE72" s="285" cm="1">
        <f t="array" ref="AE72">_xlfn._xlws.FILTER(CLIENTES!$E118:$BO118,(CLIENTES!$E$5:$BO$5=AE$5)*(CLIENTES!$E$9:$BO$9="VENDA"),0)</f>
        <v>0</v>
      </c>
      <c r="AF72" s="285" cm="1">
        <f t="array" ref="AF72">_xlfn._xlws.FILTER(CLIENTES!$E118:$BO118,(CLIENTES!$E$5:$BO$5=AF$5)*(CLIENTES!$E$9:$BO$9="VENDA"),0)</f>
        <v>0</v>
      </c>
      <c r="AG72" s="285" cm="1">
        <f t="array" ref="AG72">_xlfn._xlws.FILTER(CLIENTES!$E118:$BO118,(CLIENTES!$E$5:$BO$5=AG$5)*(CLIENTES!$E$9:$BO$9="VENDA"),0)</f>
        <v>0</v>
      </c>
      <c r="AH72" s="285" cm="1">
        <f t="array" ref="AH72">_xlfn._xlws.FILTER(CLIENTES!$E118:$BO118,(CLIENTES!$E$5:$BO$5=AH$5)*(CLIENTES!$E$9:$BO$9="VENDA"),0)</f>
        <v>0</v>
      </c>
      <c r="AI72" s="285" cm="1">
        <f t="array" ref="AI72">_xlfn._xlws.FILTER(CLIENTES!$E118:$BO118,(CLIENTES!$E$5:$BO$5=AI$5)*(CLIENTES!$E$9:$BO$9="VENDA"),0)</f>
        <v>0</v>
      </c>
      <c r="AJ72" s="285" cm="1">
        <f t="array" ref="AJ72">_xlfn._xlws.FILTER(CLIENTES!$E118:$BO118,(CLIENTES!$E$5:$BO$5=AJ$5)*(CLIENTES!$E$9:$BO$9="VENDA"),0)</f>
        <v>0</v>
      </c>
      <c r="AK72" s="285" cm="1">
        <f t="array" ref="AK72">_xlfn._xlws.FILTER(CLIENTES!$E118:$BO118,(CLIENTES!$E$5:$BO$5=AK$5)*(CLIENTES!$E$9:$BO$9="VENDA"),0)</f>
        <v>0</v>
      </c>
      <c r="AL72" s="285" cm="1">
        <f t="array" ref="AL72">_xlfn._xlws.FILTER(CLIENTES!$E118:$BO118,(CLIENTES!$E$5:$BO$5=AL$5)*(CLIENTES!$E$9:$BO$9="VENDA"),0)</f>
        <v>0</v>
      </c>
      <c r="AM72" s="285" cm="1">
        <f t="array" ref="AM72">_xlfn._xlws.FILTER(CLIENTES!$E118:$BO118,(CLIENTES!$E$5:$BO$5=AM$5)*(CLIENTES!$E$9:$BO$9="VENDA"),0)</f>
        <v>0</v>
      </c>
      <c r="AN72" s="285" cm="1">
        <f t="array" ref="AN72">_xlfn._xlws.FILTER(CLIENTES!$E118:$BO118,(CLIENTES!$E$5:$BO$5=AN$5)*(CLIENTES!$E$9:$BO$9="VENDA"),0)</f>
        <v>0</v>
      </c>
      <c r="AO72" s="285" cm="1">
        <f t="array" ref="AO72">_xlfn._xlws.FILTER(CLIENTES!$E118:$BO118,(CLIENTES!$E$5:$BO$5=AO$5)*(CLIENTES!$E$9:$BO$9="VENDA"),0)</f>
        <v>0</v>
      </c>
      <c r="AP72" s="285" cm="1">
        <f t="array" ref="AP72">_xlfn._xlws.FILTER(CLIENTES!$E118:$BO118,(CLIENTES!$E$5:$BO$5=AP$5)*(CLIENTES!$E$9:$BO$9="VENDA"),0)</f>
        <v>0</v>
      </c>
      <c r="AQ72" s="285" cm="1">
        <f t="array" ref="AQ72">_xlfn._xlws.FILTER(CLIENTES!$E118:$BO118,(CLIENTES!$E$5:$BO$5=AQ$5)*(CLIENTES!$E$9:$BO$9="VENDA"),0)</f>
        <v>0</v>
      </c>
      <c r="AR72" s="285" cm="1">
        <f t="array" ref="AR72">_xlfn._xlws.FILTER(CLIENTES!$E118:$BO118,(CLIENTES!$E$5:$BO$5=AR$5)*(CLIENTES!$E$9:$BO$9="VENDA"),0)</f>
        <v>0</v>
      </c>
      <c r="AS72" s="285" cm="1">
        <f t="array" ref="AS72">_xlfn._xlws.FILTER(CLIENTES!$E118:$BO118,(CLIENTES!$E$5:$BO$5=AS$5)*(CLIENTES!$E$9:$BO$9="VENDA"),0)</f>
        <v>0</v>
      </c>
      <c r="AT72" s="285" cm="1">
        <f t="array" ref="AT72">_xlfn._xlws.FILTER(CLIENTES!$E118:$BO118,(CLIENTES!$E$5:$BO$5=AT$5)*(CLIENTES!$E$9:$BO$9="VENDA"),0)</f>
        <v>0</v>
      </c>
      <c r="AU72" s="285" cm="1">
        <f t="array" ref="AU72">_xlfn._xlws.FILTER(CLIENTES!$E118:$BO118,(CLIENTES!$E$5:$BO$5=AU$5)*(CLIENTES!$E$9:$BO$9="VENDA"),0)</f>
        <v>0</v>
      </c>
      <c r="AV72" s="285" cm="1">
        <f t="array" ref="AV72">_xlfn._xlws.FILTER(CLIENTES!$E118:$BO118,(CLIENTES!$E$5:$BO$5=AV$5)*(CLIENTES!$E$9:$BO$9="VENDA"),0)</f>
        <v>0</v>
      </c>
      <c r="AW72" s="285" cm="1">
        <f t="array" ref="AW72">_xlfn._xlws.FILTER(CLIENTES!$E118:$BO118,(CLIENTES!$E$5:$BO$5=AW$5)*(CLIENTES!$E$9:$BO$9="VENDA"),0)</f>
        <v>0</v>
      </c>
      <c r="AX72" s="285" cm="1">
        <f t="array" ref="AX72">_xlfn._xlws.FILTER(CLIENTES!$E118:$BO118,(CLIENTES!$E$5:$BO$5=AX$5)*(CLIENTES!$E$9:$BO$9="VENDA"),0)</f>
        <v>0</v>
      </c>
      <c r="AY72" s="285" cm="1">
        <f t="array" ref="AY72">_xlfn._xlws.FILTER(CLIENTES!$E118:$BO118,(CLIENTES!$E$5:$BO$5=AY$5)*(CLIENTES!$E$9:$BO$9="VENDA"),0)</f>
        <v>0</v>
      </c>
      <c r="AZ72" s="285" cm="1">
        <f t="array" ref="AZ72">_xlfn._xlws.FILTER(CLIENTES!$E118:$BO118,(CLIENTES!$E$5:$BO$5=AZ$5)*(CLIENTES!$E$9:$BO$9="VENDA"),0)</f>
        <v>0</v>
      </c>
      <c r="BA72" s="285" cm="1">
        <f t="array" ref="BA72">_xlfn._xlws.FILTER(CLIENTES!$E118:$BO118,(CLIENTES!$E$5:$BO$5=BA$5)*(CLIENTES!$E$9:$BO$9="VENDA"),0)</f>
        <v>0</v>
      </c>
      <c r="BB72" s="285" cm="1">
        <f t="array" ref="BB72">_xlfn._xlws.FILTER(CLIENTES!$E118:$BO118,(CLIENTES!$E$5:$BO$5=BB$5)*(CLIENTES!$E$9:$BO$9="VENDA"),0)</f>
        <v>0</v>
      </c>
      <c r="BC72" s="285" cm="1">
        <f t="array" ref="BC72">_xlfn._xlws.FILTER(CLIENTES!$E118:$BO118,(CLIENTES!$E$5:$BO$5=BC$5)*(CLIENTES!$E$9:$BO$9="VENDA"),0)</f>
        <v>0</v>
      </c>
      <c r="BD72" s="285" cm="1">
        <f t="array" ref="BD72">_xlfn._xlws.FILTER(CLIENTES!$E118:$BO118,(CLIENTES!$E$5:$BO$5=BD$5)*(CLIENTES!$E$9:$BO$9="VENDA"),0)</f>
        <v>0</v>
      </c>
      <c r="BE72" s="285" cm="1">
        <f t="array" ref="BE72">_xlfn._xlws.FILTER(CLIENTES!$E118:$BO118,(CLIENTES!$E$5:$BO$5=BE$5)*(CLIENTES!$E$9:$BO$9="VENDA"),0)</f>
        <v>0</v>
      </c>
      <c r="BF72" s="285" cm="1">
        <f t="array" ref="BF72">_xlfn._xlws.FILTER(CLIENTES!$E118:$BO118,(CLIENTES!$E$5:$BO$5=BF$5)*(CLIENTES!$E$9:$BO$9="VENDA"),0)</f>
        <v>0</v>
      </c>
      <c r="BG72" s="285" cm="1">
        <f t="array" ref="BG72">_xlfn._xlws.FILTER(CLIENTES!$E118:$BO118,(CLIENTES!$E$5:$BO$5=BG$5)*(CLIENTES!$E$9:$BO$9="VENDA"),0)</f>
        <v>0</v>
      </c>
      <c r="BH72" s="285" cm="1">
        <f t="array" ref="BH72">_xlfn._xlws.FILTER(CLIENTES!$E118:$BO118,(CLIENTES!$E$5:$BO$5=BH$5)*(CLIENTES!$E$9:$BO$9="VENDA"),0)</f>
        <v>0</v>
      </c>
      <c r="BI72" s="285" cm="1">
        <f t="array" ref="BI72">_xlfn._xlws.FILTER(CLIENTES!$E118:$BO118,(CLIENTES!$E$5:$BO$5=BI$5)*(CLIENTES!$E$9:$BO$9="VENDA"),0)</f>
        <v>0</v>
      </c>
      <c r="BJ72" s="285" cm="1">
        <f t="array" ref="BJ72">_xlfn._xlws.FILTER(CLIENTES!$E118:$BO118,(CLIENTES!$E$5:$BO$5=BJ$5)*(CLIENTES!$E$9:$BO$9="VENDA"),0)</f>
        <v>0</v>
      </c>
      <c r="BK72" s="285" cm="1">
        <f t="array" ref="BK72">_xlfn._xlws.FILTER(CLIENTES!$E118:$BO118,(CLIENTES!$E$5:$BO$5=BK$5)*(CLIENTES!$E$9:$BO$9="VENDA"),0)</f>
        <v>0</v>
      </c>
      <c r="BL72" s="285" cm="1">
        <f t="array" ref="BL72">_xlfn._xlws.FILTER(CLIENTES!$E118:$BO118,(CLIENTES!$E$5:$BO$5=BL$5)*(CLIENTES!$E$9:$BO$9="VENDA"),0)</f>
        <v>0</v>
      </c>
    </row>
    <row r="73" spans="2:84" x14ac:dyDescent="0.2">
      <c r="B73" s="326"/>
      <c r="C73" s="23" t="s">
        <v>10</v>
      </c>
      <c r="D73" s="72">
        <v>2.5999999999999999E-3</v>
      </c>
      <c r="E73" s="200">
        <v>2.5999999999999999E-3</v>
      </c>
      <c r="F73" s="200">
        <v>2.5999999999999999E-3</v>
      </c>
      <c r="G73" s="200">
        <v>2.5999999999999999E-3</v>
      </c>
      <c r="H73" s="200">
        <v>2.5999999999999999E-3</v>
      </c>
      <c r="I73" s="200">
        <v>2.5999999999999999E-3</v>
      </c>
      <c r="J73" s="200">
        <v>2.5999999999999999E-3</v>
      </c>
      <c r="K73" s="200">
        <v>2.5999999999999999E-3</v>
      </c>
      <c r="L73" s="200">
        <v>2.5999999999999999E-3</v>
      </c>
      <c r="M73" s="200">
        <v>2.5999999999999999E-3</v>
      </c>
      <c r="N73" s="200">
        <v>2.5999999999999999E-3</v>
      </c>
      <c r="O73" s="200">
        <v>2.5999999999999999E-3</v>
      </c>
      <c r="P73" s="200">
        <v>2.5999999999999999E-3</v>
      </c>
      <c r="Q73" s="200">
        <v>2.5999999999999999E-3</v>
      </c>
      <c r="R73" s="200">
        <v>2.5999999999999999E-3</v>
      </c>
      <c r="S73" s="200">
        <v>2.5999999999999999E-3</v>
      </c>
      <c r="T73" s="200">
        <v>2.5999999999999999E-3</v>
      </c>
      <c r="U73" s="200">
        <v>2.5999999999999999E-3</v>
      </c>
      <c r="V73" s="200">
        <v>2.5999999999999999E-3</v>
      </c>
      <c r="W73" s="200">
        <v>2.5999999999999999E-3</v>
      </c>
      <c r="X73" s="200">
        <v>2.5999999999999999E-3</v>
      </c>
      <c r="Y73" s="200">
        <v>2.5999999999999999E-3</v>
      </c>
      <c r="Z73" s="200">
        <v>2.5999999999999999E-3</v>
      </c>
      <c r="AA73" s="200">
        <v>2.5999999999999999E-3</v>
      </c>
      <c r="AB73" s="200">
        <v>2.5999999999999999E-3</v>
      </c>
      <c r="AC73" s="200">
        <v>2.5999999999999999E-3</v>
      </c>
      <c r="AD73" s="200">
        <v>2.5999999999999999E-3</v>
      </c>
      <c r="AE73" s="200">
        <v>2.5999999999999999E-3</v>
      </c>
      <c r="AF73" s="200">
        <v>2.5999999999999999E-3</v>
      </c>
      <c r="AG73" s="200">
        <v>2.5999999999999999E-3</v>
      </c>
      <c r="AH73" s="200">
        <v>2.5999999999999999E-3</v>
      </c>
      <c r="AI73" s="200">
        <v>2.5999999999999999E-3</v>
      </c>
      <c r="AJ73" s="200">
        <v>2.5999999999999999E-3</v>
      </c>
      <c r="AK73" s="200">
        <v>2.5999999999999999E-3</v>
      </c>
      <c r="AL73" s="200">
        <v>2.5999999999999999E-3</v>
      </c>
      <c r="AM73" s="200">
        <v>2.5999999999999999E-3</v>
      </c>
      <c r="AN73" s="200">
        <v>2.5999999999999999E-3</v>
      </c>
      <c r="AO73" s="200">
        <v>2.5999999999999999E-3</v>
      </c>
      <c r="AP73" s="200">
        <v>2.5999999999999999E-3</v>
      </c>
      <c r="AQ73" s="200">
        <v>2.5999999999999999E-3</v>
      </c>
      <c r="AR73" s="200">
        <v>2.5999999999999999E-3</v>
      </c>
      <c r="AS73" s="200">
        <v>2.5999999999999999E-3</v>
      </c>
      <c r="AT73" s="200">
        <v>2.5999999999999999E-3</v>
      </c>
      <c r="AU73" s="200">
        <v>2.5999999999999999E-3</v>
      </c>
      <c r="AV73" s="200">
        <v>2.5999999999999999E-3</v>
      </c>
      <c r="AW73" s="200">
        <v>2.5999999999999999E-3</v>
      </c>
      <c r="AX73" s="200">
        <v>2.5999999999999999E-3</v>
      </c>
      <c r="AY73" s="200">
        <v>2.5999999999999999E-3</v>
      </c>
      <c r="AZ73" s="215">
        <v>2.5999999999999999E-3</v>
      </c>
      <c r="BA73" s="200">
        <v>2.5999999999999999E-3</v>
      </c>
      <c r="BB73" s="200">
        <v>2.5999999999999999E-3</v>
      </c>
      <c r="BC73" s="200">
        <v>2.5999999999999999E-3</v>
      </c>
      <c r="BD73" s="200">
        <v>2.5999999999999999E-3</v>
      </c>
      <c r="BE73" s="200">
        <v>2.5999999999999999E-3</v>
      </c>
      <c r="BF73" s="200">
        <v>2.5999999999999999E-3</v>
      </c>
      <c r="BG73" s="200">
        <v>2.5999999999999999E-3</v>
      </c>
      <c r="BH73" s="200">
        <v>2.5999999999999999E-3</v>
      </c>
      <c r="BI73" s="200">
        <v>2.5999999999999999E-3</v>
      </c>
      <c r="BJ73" s="200">
        <v>2.5999999999999999E-3</v>
      </c>
      <c r="BK73" s="200">
        <v>2.5999999999999999E-3</v>
      </c>
      <c r="BL73" s="200">
        <v>2.5999999999999999E-3</v>
      </c>
    </row>
    <row r="74" spans="2:84" x14ac:dyDescent="0.2">
      <c r="B74" s="326"/>
      <c r="C74" s="58" t="s">
        <v>23</v>
      </c>
      <c r="D74" s="27">
        <f>SUM(E74:BL74)</f>
        <v>2985.9637757645091</v>
      </c>
      <c r="E74" s="139">
        <f t="shared" ref="E74:BL74" si="30">IF((E70+E71-E72)*E73&lt;0,0,(E70+E71-E72)*E73)</f>
        <v>1404</v>
      </c>
      <c r="F74" s="139">
        <f t="shared" si="30"/>
        <v>1581.9637757645091</v>
      </c>
      <c r="G74" s="139">
        <f t="shared" si="30"/>
        <v>0</v>
      </c>
      <c r="H74" s="139">
        <f t="shared" si="30"/>
        <v>0</v>
      </c>
      <c r="I74" s="139">
        <f t="shared" si="30"/>
        <v>0</v>
      </c>
      <c r="J74" s="139">
        <f t="shared" si="30"/>
        <v>0</v>
      </c>
      <c r="K74" s="139">
        <f t="shared" si="30"/>
        <v>0</v>
      </c>
      <c r="L74" s="139">
        <f t="shared" si="30"/>
        <v>0</v>
      </c>
      <c r="M74" s="139">
        <f t="shared" si="30"/>
        <v>0</v>
      </c>
      <c r="N74" s="139">
        <f t="shared" si="30"/>
        <v>0</v>
      </c>
      <c r="O74" s="139">
        <f t="shared" si="30"/>
        <v>0</v>
      </c>
      <c r="P74" s="139">
        <f t="shared" si="30"/>
        <v>0</v>
      </c>
      <c r="Q74" s="139">
        <f t="shared" si="30"/>
        <v>0</v>
      </c>
      <c r="R74" s="139">
        <f t="shared" si="30"/>
        <v>0</v>
      </c>
      <c r="S74" s="139">
        <f t="shared" si="30"/>
        <v>0</v>
      </c>
      <c r="T74" s="139">
        <f t="shared" si="30"/>
        <v>0</v>
      </c>
      <c r="U74" s="139">
        <f t="shared" si="30"/>
        <v>0</v>
      </c>
      <c r="V74" s="139">
        <f t="shared" si="30"/>
        <v>0</v>
      </c>
      <c r="W74" s="139">
        <f t="shared" si="30"/>
        <v>0</v>
      </c>
      <c r="X74" s="139">
        <f t="shared" si="30"/>
        <v>0</v>
      </c>
      <c r="Y74" s="139">
        <f t="shared" si="30"/>
        <v>0</v>
      </c>
      <c r="Z74" s="139">
        <f t="shared" si="30"/>
        <v>0</v>
      </c>
      <c r="AA74" s="139">
        <f t="shared" si="30"/>
        <v>0</v>
      </c>
      <c r="AB74" s="139">
        <f t="shared" si="30"/>
        <v>0</v>
      </c>
      <c r="AC74" s="139">
        <f t="shared" si="30"/>
        <v>0</v>
      </c>
      <c r="AD74" s="139">
        <f t="shared" si="30"/>
        <v>0</v>
      </c>
      <c r="AE74" s="139">
        <f t="shared" si="30"/>
        <v>0</v>
      </c>
      <c r="AF74" s="139">
        <f t="shared" si="30"/>
        <v>0</v>
      </c>
      <c r="AG74" s="139">
        <f t="shared" si="30"/>
        <v>0</v>
      </c>
      <c r="AH74" s="139">
        <f t="shared" si="30"/>
        <v>0</v>
      </c>
      <c r="AI74" s="139">
        <f t="shared" si="30"/>
        <v>0</v>
      </c>
      <c r="AJ74" s="139">
        <f t="shared" si="30"/>
        <v>0</v>
      </c>
      <c r="AK74" s="139">
        <f t="shared" si="30"/>
        <v>0</v>
      </c>
      <c r="AL74" s="139">
        <f t="shared" si="30"/>
        <v>0</v>
      </c>
      <c r="AM74" s="139">
        <f t="shared" si="30"/>
        <v>0</v>
      </c>
      <c r="AN74" s="139">
        <f t="shared" si="30"/>
        <v>0</v>
      </c>
      <c r="AO74" s="139">
        <f t="shared" si="30"/>
        <v>0</v>
      </c>
      <c r="AP74" s="139">
        <f t="shared" si="30"/>
        <v>0</v>
      </c>
      <c r="AQ74" s="139">
        <f t="shared" si="30"/>
        <v>0</v>
      </c>
      <c r="AR74" s="139">
        <f t="shared" si="30"/>
        <v>0</v>
      </c>
      <c r="AS74" s="139">
        <f t="shared" si="30"/>
        <v>0</v>
      </c>
      <c r="AT74" s="139">
        <f t="shared" si="30"/>
        <v>0</v>
      </c>
      <c r="AU74" s="139">
        <f t="shared" si="30"/>
        <v>0</v>
      </c>
      <c r="AV74" s="139">
        <f t="shared" si="30"/>
        <v>0</v>
      </c>
      <c r="AW74" s="139">
        <f t="shared" si="30"/>
        <v>0</v>
      </c>
      <c r="AX74" s="139">
        <f t="shared" si="30"/>
        <v>0</v>
      </c>
      <c r="AY74" s="139">
        <f t="shared" si="30"/>
        <v>0</v>
      </c>
      <c r="AZ74" s="139">
        <f t="shared" si="30"/>
        <v>0</v>
      </c>
      <c r="BA74" s="139">
        <f t="shared" si="30"/>
        <v>0</v>
      </c>
      <c r="BB74" s="139">
        <f t="shared" si="30"/>
        <v>0</v>
      </c>
      <c r="BC74" s="139">
        <f t="shared" si="30"/>
        <v>0</v>
      </c>
      <c r="BD74" s="139">
        <f t="shared" si="30"/>
        <v>0</v>
      </c>
      <c r="BE74" s="139">
        <f t="shared" si="30"/>
        <v>0</v>
      </c>
      <c r="BF74" s="139">
        <f t="shared" si="30"/>
        <v>0</v>
      </c>
      <c r="BG74" s="139">
        <f t="shared" si="30"/>
        <v>0</v>
      </c>
      <c r="BH74" s="139">
        <f t="shared" si="30"/>
        <v>0</v>
      </c>
      <c r="BI74" s="139">
        <f t="shared" si="30"/>
        <v>0</v>
      </c>
      <c r="BJ74" s="139">
        <f t="shared" si="30"/>
        <v>0</v>
      </c>
      <c r="BK74" s="139">
        <f t="shared" si="30"/>
        <v>0</v>
      </c>
      <c r="BL74" s="139">
        <f t="shared" si="30"/>
        <v>0</v>
      </c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</row>
    <row r="75" spans="2:84" ht="13.5" thickBot="1" x14ac:dyDescent="0.25">
      <c r="B75" s="327"/>
      <c r="C75" s="25" t="s">
        <v>22</v>
      </c>
      <c r="D75" s="30">
        <f>SUM(E75:BL75)</f>
        <v>1151433.5698390373</v>
      </c>
      <c r="E75" s="146">
        <f>+E70-E72+E71+E74</f>
        <v>541404</v>
      </c>
      <c r="F75" s="146">
        <f>+F70-F72+F71+F74</f>
        <v>610029.56983903726</v>
      </c>
      <c r="G75" s="146">
        <f t="shared" ref="G75:BL75" si="31">+G70-G72+G71+G74</f>
        <v>0</v>
      </c>
      <c r="H75" s="146">
        <f t="shared" si="31"/>
        <v>0</v>
      </c>
      <c r="I75" s="146">
        <f t="shared" si="31"/>
        <v>0</v>
      </c>
      <c r="J75" s="146">
        <f t="shared" si="31"/>
        <v>0</v>
      </c>
      <c r="K75" s="146">
        <f t="shared" si="31"/>
        <v>0</v>
      </c>
      <c r="L75" s="146">
        <f t="shared" si="31"/>
        <v>0</v>
      </c>
      <c r="M75" s="146">
        <f>+M70-M72+M71+M74</f>
        <v>0</v>
      </c>
      <c r="N75" s="146">
        <f t="shared" si="31"/>
        <v>0</v>
      </c>
      <c r="O75" s="146">
        <f t="shared" si="31"/>
        <v>0</v>
      </c>
      <c r="P75" s="146">
        <f t="shared" si="31"/>
        <v>0</v>
      </c>
      <c r="Q75" s="146">
        <f t="shared" si="31"/>
        <v>0</v>
      </c>
      <c r="R75" s="146">
        <f t="shared" si="31"/>
        <v>0</v>
      </c>
      <c r="S75" s="146">
        <f t="shared" si="31"/>
        <v>0</v>
      </c>
      <c r="T75" s="146">
        <f t="shared" si="31"/>
        <v>0</v>
      </c>
      <c r="U75" s="146">
        <f t="shared" si="31"/>
        <v>0</v>
      </c>
      <c r="V75" s="146">
        <f t="shared" si="31"/>
        <v>0</v>
      </c>
      <c r="W75" s="146">
        <f t="shared" si="31"/>
        <v>0</v>
      </c>
      <c r="X75" s="146">
        <f t="shared" si="31"/>
        <v>0</v>
      </c>
      <c r="Y75" s="146">
        <f t="shared" si="31"/>
        <v>0</v>
      </c>
      <c r="Z75" s="146">
        <f t="shared" si="31"/>
        <v>0</v>
      </c>
      <c r="AA75" s="146">
        <f t="shared" si="31"/>
        <v>0</v>
      </c>
      <c r="AB75" s="146">
        <f t="shared" si="31"/>
        <v>0</v>
      </c>
      <c r="AC75" s="146">
        <f t="shared" si="31"/>
        <v>0</v>
      </c>
      <c r="AD75" s="146">
        <f t="shared" si="31"/>
        <v>0</v>
      </c>
      <c r="AE75" s="146">
        <f t="shared" si="31"/>
        <v>0</v>
      </c>
      <c r="AF75" s="146">
        <f t="shared" si="31"/>
        <v>0</v>
      </c>
      <c r="AG75" s="146">
        <f t="shared" si="31"/>
        <v>0</v>
      </c>
      <c r="AH75" s="146">
        <f t="shared" si="31"/>
        <v>0</v>
      </c>
      <c r="AI75" s="146">
        <f t="shared" si="31"/>
        <v>0</v>
      </c>
      <c r="AJ75" s="146">
        <f t="shared" si="31"/>
        <v>0</v>
      </c>
      <c r="AK75" s="146">
        <f t="shared" si="31"/>
        <v>0</v>
      </c>
      <c r="AL75" s="146">
        <f t="shared" si="31"/>
        <v>0</v>
      </c>
      <c r="AM75" s="146">
        <f t="shared" si="31"/>
        <v>0</v>
      </c>
      <c r="AN75" s="146">
        <f t="shared" si="31"/>
        <v>0</v>
      </c>
      <c r="AO75" s="146">
        <f t="shared" si="31"/>
        <v>0</v>
      </c>
      <c r="AP75" s="146">
        <f t="shared" si="31"/>
        <v>0</v>
      </c>
      <c r="AQ75" s="146">
        <f t="shared" si="31"/>
        <v>0</v>
      </c>
      <c r="AR75" s="146">
        <f t="shared" si="31"/>
        <v>0</v>
      </c>
      <c r="AS75" s="146">
        <f t="shared" si="31"/>
        <v>0</v>
      </c>
      <c r="AT75" s="146">
        <f t="shared" si="31"/>
        <v>0</v>
      </c>
      <c r="AU75" s="146">
        <f t="shared" si="31"/>
        <v>0</v>
      </c>
      <c r="AV75" s="146">
        <f t="shared" si="31"/>
        <v>0</v>
      </c>
      <c r="AW75" s="146">
        <f t="shared" si="31"/>
        <v>0</v>
      </c>
      <c r="AX75" s="146">
        <f t="shared" si="31"/>
        <v>0</v>
      </c>
      <c r="AY75" s="146">
        <f t="shared" si="31"/>
        <v>0</v>
      </c>
      <c r="AZ75" s="146">
        <f t="shared" si="31"/>
        <v>0</v>
      </c>
      <c r="BA75" s="146">
        <f t="shared" si="31"/>
        <v>0</v>
      </c>
      <c r="BB75" s="146">
        <f t="shared" si="31"/>
        <v>0</v>
      </c>
      <c r="BC75" s="146">
        <f t="shared" si="31"/>
        <v>0</v>
      </c>
      <c r="BD75" s="146">
        <f t="shared" si="31"/>
        <v>0</v>
      </c>
      <c r="BE75" s="146">
        <f t="shared" si="31"/>
        <v>0</v>
      </c>
      <c r="BF75" s="146">
        <f t="shared" si="31"/>
        <v>0</v>
      </c>
      <c r="BG75" s="146">
        <f t="shared" si="31"/>
        <v>0</v>
      </c>
      <c r="BH75" s="146">
        <f t="shared" si="31"/>
        <v>0</v>
      </c>
      <c r="BI75" s="146">
        <f t="shared" si="31"/>
        <v>0</v>
      </c>
      <c r="BJ75" s="146">
        <f t="shared" si="31"/>
        <v>0</v>
      </c>
      <c r="BK75" s="146">
        <f t="shared" si="31"/>
        <v>0</v>
      </c>
      <c r="BL75" s="146">
        <f t="shared" si="31"/>
        <v>0</v>
      </c>
    </row>
    <row r="76" spans="2:84" ht="13.5" thickBot="1" x14ac:dyDescent="0.25">
      <c r="B76" s="325">
        <v>43983</v>
      </c>
      <c r="C76" s="62" t="s">
        <v>6</v>
      </c>
      <c r="D76" s="31">
        <f>SUM(E76:BL76)</f>
        <v>95000</v>
      </c>
      <c r="E76" s="285" cm="1">
        <f t="array" ref="E76">_xlfn._xlws.FILTER(CLIENTES!$E125:$BO125,(CLIENTES!$E$5:$BO$5=E$5)*(CLIENTES!$E$9:$BO$9="VENDA"),0)</f>
        <v>45000</v>
      </c>
      <c r="F76" s="285" cm="1">
        <f t="array" ref="F76">_xlfn._xlws.FILTER(CLIENTES!$E125:$BO125,(CLIENTES!$E$5:$BO$5=F$5)*(CLIENTES!$E$9:$BO$9="VENDA"),0)</f>
        <v>50000</v>
      </c>
      <c r="G76" s="285" cm="1">
        <f t="array" ref="G76">_xlfn._xlws.FILTER(CLIENTES!$E125:$BO125,(CLIENTES!$E$5:$BO$5=G$5)*(CLIENTES!$E$9:$BO$9="VENDA"),0)</f>
        <v>0</v>
      </c>
      <c r="H76" s="285" cm="1">
        <f t="array" ref="H76">_xlfn._xlws.FILTER(CLIENTES!$E125:$BO125,(CLIENTES!$E$5:$BO$5=H$5)*(CLIENTES!$E$9:$BO$9="VENDA"),0)</f>
        <v>0</v>
      </c>
      <c r="I76" s="285" cm="1">
        <f t="array" ref="I76">_xlfn._xlws.FILTER(CLIENTES!$E125:$BO125,(CLIENTES!$E$5:$BO$5=I$5)*(CLIENTES!$E$9:$BO$9="VENDA"),0)</f>
        <v>0</v>
      </c>
      <c r="J76" s="285" cm="1">
        <f t="array" ref="J76">_xlfn._xlws.FILTER(CLIENTES!$E125:$BO125,(CLIENTES!$E$5:$BO$5=J$5)*(CLIENTES!$E$9:$BO$9="VENDA"),0)</f>
        <v>0</v>
      </c>
      <c r="K76" s="285" cm="1">
        <f t="array" ref="K76">_xlfn._xlws.FILTER(CLIENTES!$E125:$BO125,(CLIENTES!$E$5:$BO$5=K$5)*(CLIENTES!$E$9:$BO$9="VENDA"),0)</f>
        <v>0</v>
      </c>
      <c r="L76" s="285" cm="1">
        <f t="array" ref="L76">_xlfn._xlws.FILTER(CLIENTES!$E125:$BO125,(CLIENTES!$E$5:$BO$5=L$5)*(CLIENTES!$E$9:$BO$9="VENDA"),0)</f>
        <v>0</v>
      </c>
      <c r="M76" s="285" cm="1">
        <f t="array" ref="M76">_xlfn._xlws.FILTER(CLIENTES!$E125:$BO125,(CLIENTES!$E$5:$BO$5=M$5)*(CLIENTES!$E$9:$BO$9="VENDA"),0)</f>
        <v>0</v>
      </c>
      <c r="N76" s="285" cm="1">
        <f t="array" ref="N76">_xlfn._xlws.FILTER(CLIENTES!$E125:$BO125,(CLIENTES!$E$5:$BO$5=N$5)*(CLIENTES!$E$9:$BO$9="VENDA"),0)</f>
        <v>0</v>
      </c>
      <c r="O76" s="285" cm="1">
        <f t="array" ref="O76">_xlfn._xlws.FILTER(CLIENTES!$E125:$BO125,(CLIENTES!$E$5:$BO$5=O$5)*(CLIENTES!$E$9:$BO$9="VENDA"),0)</f>
        <v>0</v>
      </c>
      <c r="P76" s="285" cm="1">
        <f t="array" ref="P76">_xlfn._xlws.FILTER(CLIENTES!$E125:$BO125,(CLIENTES!$E$5:$BO$5=P$5)*(CLIENTES!$E$9:$BO$9="VENDA"),0)</f>
        <v>0</v>
      </c>
      <c r="Q76" s="285" cm="1">
        <f t="array" ref="Q76">_xlfn._xlws.FILTER(CLIENTES!$E125:$BO125,(CLIENTES!$E$5:$BO$5=Q$5)*(CLIENTES!$E$9:$BO$9="VENDA"),0)</f>
        <v>0</v>
      </c>
      <c r="R76" s="285" cm="1">
        <f t="array" ref="R76">_xlfn._xlws.FILTER(CLIENTES!$E125:$BO125,(CLIENTES!$E$5:$BO$5=R$5)*(CLIENTES!$E$9:$BO$9="VENDA"),0)</f>
        <v>0</v>
      </c>
      <c r="S76" s="285" cm="1">
        <f t="array" ref="S76">_xlfn._xlws.FILTER(CLIENTES!$E125:$BO125,(CLIENTES!$E$5:$BO$5=S$5)*(CLIENTES!$E$9:$BO$9="VENDA"),0)</f>
        <v>0</v>
      </c>
      <c r="T76" s="285" cm="1">
        <f t="array" ref="T76">_xlfn._xlws.FILTER(CLIENTES!$E125:$BO125,(CLIENTES!$E$5:$BO$5=T$5)*(CLIENTES!$E$9:$BO$9="VENDA"),0)</f>
        <v>0</v>
      </c>
      <c r="U76" s="285" cm="1">
        <f t="array" ref="U76">_xlfn._xlws.FILTER(CLIENTES!$E125:$BO125,(CLIENTES!$E$5:$BO$5=U$5)*(CLIENTES!$E$9:$BO$9="VENDA"),0)</f>
        <v>0</v>
      </c>
      <c r="V76" s="285" cm="1">
        <f t="array" ref="V76">_xlfn._xlws.FILTER(CLIENTES!$E125:$BO125,(CLIENTES!$E$5:$BO$5=V$5)*(CLIENTES!$E$9:$BO$9="VENDA"),0)</f>
        <v>0</v>
      </c>
      <c r="W76" s="285" cm="1">
        <f t="array" ref="W76">_xlfn._xlws.FILTER(CLIENTES!$E125:$BO125,(CLIENTES!$E$5:$BO$5=W$5)*(CLIENTES!$E$9:$BO$9="VENDA"),0)</f>
        <v>0</v>
      </c>
      <c r="X76" s="285" cm="1">
        <f t="array" ref="X76">_xlfn._xlws.FILTER(CLIENTES!$E125:$BO125,(CLIENTES!$E$5:$BO$5=X$5)*(CLIENTES!$E$9:$BO$9="VENDA"),0)</f>
        <v>0</v>
      </c>
      <c r="Y76" s="285" cm="1">
        <f t="array" ref="Y76">_xlfn._xlws.FILTER(CLIENTES!$E125:$BO125,(CLIENTES!$E$5:$BO$5=Y$5)*(CLIENTES!$E$9:$BO$9="VENDA"),0)</f>
        <v>0</v>
      </c>
      <c r="Z76" s="285" cm="1">
        <f t="array" ref="Z76">_xlfn._xlws.FILTER(CLIENTES!$E125:$BO125,(CLIENTES!$E$5:$BO$5=Z$5)*(CLIENTES!$E$9:$BO$9="VENDA"),0)</f>
        <v>0</v>
      </c>
      <c r="AA76" s="285" cm="1">
        <f t="array" ref="AA76">_xlfn._xlws.FILTER(CLIENTES!$E125:$BO125,(CLIENTES!$E$5:$BO$5=AA$5)*(CLIENTES!$E$9:$BO$9="VENDA"),0)</f>
        <v>0</v>
      </c>
      <c r="AB76" s="285" cm="1">
        <f t="array" ref="AB76">_xlfn._xlws.FILTER(CLIENTES!$E125:$BO125,(CLIENTES!$E$5:$BO$5=AB$5)*(CLIENTES!$E$9:$BO$9="VENDA"),0)</f>
        <v>0</v>
      </c>
      <c r="AC76" s="285" cm="1">
        <f t="array" ref="AC76">_xlfn._xlws.FILTER(CLIENTES!$E125:$BO125,(CLIENTES!$E$5:$BO$5=AC$5)*(CLIENTES!$E$9:$BO$9="VENDA"),0)</f>
        <v>0</v>
      </c>
      <c r="AD76" s="285" cm="1">
        <f t="array" ref="AD76">_xlfn._xlws.FILTER(CLIENTES!$E125:$BO125,(CLIENTES!$E$5:$BO$5=AD$5)*(CLIENTES!$E$9:$BO$9="VENDA"),0)</f>
        <v>0</v>
      </c>
      <c r="AE76" s="285" cm="1">
        <f t="array" ref="AE76">_xlfn._xlws.FILTER(CLIENTES!$E125:$BO125,(CLIENTES!$E$5:$BO$5=AE$5)*(CLIENTES!$E$9:$BO$9="VENDA"),0)</f>
        <v>0</v>
      </c>
      <c r="AF76" s="285" cm="1">
        <f t="array" ref="AF76">_xlfn._xlws.FILTER(CLIENTES!$E125:$BO125,(CLIENTES!$E$5:$BO$5=AF$5)*(CLIENTES!$E$9:$BO$9="VENDA"),0)</f>
        <v>0</v>
      </c>
      <c r="AG76" s="285" cm="1">
        <f t="array" ref="AG76">_xlfn._xlws.FILTER(CLIENTES!$E125:$BO125,(CLIENTES!$E$5:$BO$5=AG$5)*(CLIENTES!$E$9:$BO$9="VENDA"),0)</f>
        <v>0</v>
      </c>
      <c r="AH76" s="285" cm="1">
        <f t="array" ref="AH76">_xlfn._xlws.FILTER(CLIENTES!$E125:$BO125,(CLIENTES!$E$5:$BO$5=AH$5)*(CLIENTES!$E$9:$BO$9="VENDA"),0)</f>
        <v>0</v>
      </c>
      <c r="AI76" s="285" cm="1">
        <f t="array" ref="AI76">_xlfn._xlws.FILTER(CLIENTES!$E125:$BO125,(CLIENTES!$E$5:$BO$5=AI$5)*(CLIENTES!$E$9:$BO$9="VENDA"),0)</f>
        <v>0</v>
      </c>
      <c r="AJ76" s="285" cm="1">
        <f t="array" ref="AJ76">_xlfn._xlws.FILTER(CLIENTES!$E125:$BO125,(CLIENTES!$E$5:$BO$5=AJ$5)*(CLIENTES!$E$9:$BO$9="VENDA"),0)</f>
        <v>0</v>
      </c>
      <c r="AK76" s="285" cm="1">
        <f t="array" ref="AK76">_xlfn._xlws.FILTER(CLIENTES!$E125:$BO125,(CLIENTES!$E$5:$BO$5=AK$5)*(CLIENTES!$E$9:$BO$9="VENDA"),0)</f>
        <v>0</v>
      </c>
      <c r="AL76" s="285" cm="1">
        <f t="array" ref="AL76">_xlfn._xlws.FILTER(CLIENTES!$E125:$BO125,(CLIENTES!$E$5:$BO$5=AL$5)*(CLIENTES!$E$9:$BO$9="VENDA"),0)</f>
        <v>0</v>
      </c>
      <c r="AM76" s="285" cm="1">
        <f t="array" ref="AM76">_xlfn._xlws.FILTER(CLIENTES!$E125:$BO125,(CLIENTES!$E$5:$BO$5=AM$5)*(CLIENTES!$E$9:$BO$9="VENDA"),0)</f>
        <v>0</v>
      </c>
      <c r="AN76" s="285" cm="1">
        <f t="array" ref="AN76">_xlfn._xlws.FILTER(CLIENTES!$E125:$BO125,(CLIENTES!$E$5:$BO$5=AN$5)*(CLIENTES!$E$9:$BO$9="VENDA"),0)</f>
        <v>0</v>
      </c>
      <c r="AO76" s="285" cm="1">
        <f t="array" ref="AO76">_xlfn._xlws.FILTER(CLIENTES!$E125:$BO125,(CLIENTES!$E$5:$BO$5=AO$5)*(CLIENTES!$E$9:$BO$9="VENDA"),0)</f>
        <v>0</v>
      </c>
      <c r="AP76" s="285" cm="1">
        <f t="array" ref="AP76">_xlfn._xlws.FILTER(CLIENTES!$E125:$BO125,(CLIENTES!$E$5:$BO$5=AP$5)*(CLIENTES!$E$9:$BO$9="VENDA"),0)</f>
        <v>0</v>
      </c>
      <c r="AQ76" s="285" cm="1">
        <f t="array" ref="AQ76">_xlfn._xlws.FILTER(CLIENTES!$E125:$BO125,(CLIENTES!$E$5:$BO$5=AQ$5)*(CLIENTES!$E$9:$BO$9="VENDA"),0)</f>
        <v>0</v>
      </c>
      <c r="AR76" s="285" cm="1">
        <f t="array" ref="AR76">_xlfn._xlws.FILTER(CLIENTES!$E125:$BO125,(CLIENTES!$E$5:$BO$5=AR$5)*(CLIENTES!$E$9:$BO$9="VENDA"),0)</f>
        <v>0</v>
      </c>
      <c r="AS76" s="285" cm="1">
        <f t="array" ref="AS76">_xlfn._xlws.FILTER(CLIENTES!$E125:$BO125,(CLIENTES!$E$5:$BO$5=AS$5)*(CLIENTES!$E$9:$BO$9="VENDA"),0)</f>
        <v>0</v>
      </c>
      <c r="AT76" s="285" cm="1">
        <f t="array" ref="AT76">_xlfn._xlws.FILTER(CLIENTES!$E125:$BO125,(CLIENTES!$E$5:$BO$5=AT$5)*(CLIENTES!$E$9:$BO$9="VENDA"),0)</f>
        <v>0</v>
      </c>
      <c r="AU76" s="285" cm="1">
        <f t="array" ref="AU76">_xlfn._xlws.FILTER(CLIENTES!$E125:$BO125,(CLIENTES!$E$5:$BO$5=AU$5)*(CLIENTES!$E$9:$BO$9="VENDA"),0)</f>
        <v>0</v>
      </c>
      <c r="AV76" s="285" cm="1">
        <f t="array" ref="AV76">_xlfn._xlws.FILTER(CLIENTES!$E125:$BO125,(CLIENTES!$E$5:$BO$5=AV$5)*(CLIENTES!$E$9:$BO$9="VENDA"),0)</f>
        <v>0</v>
      </c>
      <c r="AW76" s="285" cm="1">
        <f t="array" ref="AW76">_xlfn._xlws.FILTER(CLIENTES!$E125:$BO125,(CLIENTES!$E$5:$BO$5=AW$5)*(CLIENTES!$E$9:$BO$9="VENDA"),0)</f>
        <v>0</v>
      </c>
      <c r="AX76" s="285" cm="1">
        <f t="array" ref="AX76">_xlfn._xlws.FILTER(CLIENTES!$E125:$BO125,(CLIENTES!$E$5:$BO$5=AX$5)*(CLIENTES!$E$9:$BO$9="VENDA"),0)</f>
        <v>0</v>
      </c>
      <c r="AY76" s="285" cm="1">
        <f t="array" ref="AY76">_xlfn._xlws.FILTER(CLIENTES!$E125:$BO125,(CLIENTES!$E$5:$BO$5=AY$5)*(CLIENTES!$E$9:$BO$9="VENDA"),0)</f>
        <v>0</v>
      </c>
      <c r="AZ76" s="285" cm="1">
        <f t="array" ref="AZ76">_xlfn._xlws.FILTER(CLIENTES!$E125:$BO125,(CLIENTES!$E$5:$BO$5=AZ$5)*(CLIENTES!$E$9:$BO$9="VENDA"),0)</f>
        <v>0</v>
      </c>
      <c r="BA76" s="285" cm="1">
        <f t="array" ref="BA76">_xlfn._xlws.FILTER(CLIENTES!$E125:$BO125,(CLIENTES!$E$5:$BO$5=BA$5)*(CLIENTES!$E$9:$BO$9="VENDA"),0)</f>
        <v>0</v>
      </c>
      <c r="BB76" s="285" cm="1">
        <f t="array" ref="BB76">_xlfn._xlws.FILTER(CLIENTES!$E125:$BO125,(CLIENTES!$E$5:$BO$5=BB$5)*(CLIENTES!$E$9:$BO$9="VENDA"),0)</f>
        <v>0</v>
      </c>
      <c r="BC76" s="285" cm="1">
        <f t="array" ref="BC76">_xlfn._xlws.FILTER(CLIENTES!$E125:$BO125,(CLIENTES!$E$5:$BO$5=BC$5)*(CLIENTES!$E$9:$BO$9="VENDA"),0)</f>
        <v>0</v>
      </c>
      <c r="BD76" s="285" cm="1">
        <f t="array" ref="BD76">_xlfn._xlws.FILTER(CLIENTES!$E125:$BO125,(CLIENTES!$E$5:$BO$5=BD$5)*(CLIENTES!$E$9:$BO$9="VENDA"),0)</f>
        <v>0</v>
      </c>
      <c r="BE76" s="285" cm="1">
        <f t="array" ref="BE76">_xlfn._xlws.FILTER(CLIENTES!$E125:$BO125,(CLIENTES!$E$5:$BO$5=BE$5)*(CLIENTES!$E$9:$BO$9="VENDA"),0)</f>
        <v>0</v>
      </c>
      <c r="BF76" s="285" cm="1">
        <f t="array" ref="BF76">_xlfn._xlws.FILTER(CLIENTES!$E125:$BO125,(CLIENTES!$E$5:$BO$5=BF$5)*(CLIENTES!$E$9:$BO$9="VENDA"),0)</f>
        <v>0</v>
      </c>
      <c r="BG76" s="285" cm="1">
        <f t="array" ref="BG76">_xlfn._xlws.FILTER(CLIENTES!$E125:$BO125,(CLIENTES!$E$5:$BO$5=BG$5)*(CLIENTES!$E$9:$BO$9="VENDA"),0)</f>
        <v>0</v>
      </c>
      <c r="BH76" s="285" cm="1">
        <f t="array" ref="BH76">_xlfn._xlws.FILTER(CLIENTES!$E125:$BO125,(CLIENTES!$E$5:$BO$5=BH$5)*(CLIENTES!$E$9:$BO$9="VENDA"),0)</f>
        <v>0</v>
      </c>
      <c r="BI76" s="285" cm="1">
        <f t="array" ref="BI76">_xlfn._xlws.FILTER(CLIENTES!$E125:$BO125,(CLIENTES!$E$5:$BO$5=BI$5)*(CLIENTES!$E$9:$BO$9="VENDA"),0)</f>
        <v>0</v>
      </c>
      <c r="BJ76" s="285" cm="1">
        <f t="array" ref="BJ76">_xlfn._xlws.FILTER(CLIENTES!$E125:$BO125,(CLIENTES!$E$5:$BO$5=BJ$5)*(CLIENTES!$E$9:$BO$9="VENDA"),0)</f>
        <v>0</v>
      </c>
      <c r="BK76" s="285" cm="1">
        <f t="array" ref="BK76">_xlfn._xlws.FILTER(CLIENTES!$E125:$BO125,(CLIENTES!$E$5:$BO$5=BK$5)*(CLIENTES!$E$9:$BO$9="VENDA"),0)</f>
        <v>0</v>
      </c>
      <c r="BL76" s="285" cm="1">
        <f t="array" ref="BL76">_xlfn._xlws.FILTER(CLIENTES!$E125:$BO125,(CLIENTES!$E$5:$BO$5=BL$5)*(CLIENTES!$E$9:$BO$9="VENDA"),0)</f>
        <v>0</v>
      </c>
    </row>
    <row r="77" spans="2:84" ht="13.5" thickBot="1" x14ac:dyDescent="0.25">
      <c r="B77" s="326"/>
      <c r="C77" s="23" t="s">
        <v>9</v>
      </c>
      <c r="D77" s="27">
        <f>SUM(E77:BL77)</f>
        <v>0</v>
      </c>
      <c r="E77" s="285" cm="1">
        <f t="array" ref="E77">_xlfn._xlws.FILTER(CLIENTES!$E126:$BO126,(CLIENTES!$E$5:$BO$5=E$5)*(CLIENTES!$E$9:$BO$9="VENDA"),0)</f>
        <v>0</v>
      </c>
      <c r="F77" s="285" cm="1">
        <f t="array" ref="F77">_xlfn._xlws.FILTER(CLIENTES!$E126:$BO126,(CLIENTES!$E$5:$BO$5=F$5)*(CLIENTES!$E$9:$BO$9="VENDA"),0)</f>
        <v>0</v>
      </c>
      <c r="G77" s="285" cm="1">
        <f t="array" ref="G77">_xlfn._xlws.FILTER(CLIENTES!$E126:$BO126,(CLIENTES!$E$5:$BO$5=G$5)*(CLIENTES!$E$9:$BO$9="VENDA"),0)</f>
        <v>0</v>
      </c>
      <c r="H77" s="285" cm="1">
        <f t="array" ref="H77">_xlfn._xlws.FILTER(CLIENTES!$E126:$BO126,(CLIENTES!$E$5:$BO$5=H$5)*(CLIENTES!$E$9:$BO$9="VENDA"),0)</f>
        <v>0</v>
      </c>
      <c r="I77" s="285" cm="1">
        <f t="array" ref="I77">_xlfn._xlws.FILTER(CLIENTES!$E126:$BO126,(CLIENTES!$E$5:$BO$5=I$5)*(CLIENTES!$E$9:$BO$9="VENDA"),0)</f>
        <v>0</v>
      </c>
      <c r="J77" s="285" cm="1">
        <f t="array" ref="J77">_xlfn._xlws.FILTER(CLIENTES!$E126:$BO126,(CLIENTES!$E$5:$BO$5=J$5)*(CLIENTES!$E$9:$BO$9="VENDA"),0)</f>
        <v>0</v>
      </c>
      <c r="K77" s="285" cm="1">
        <f t="array" ref="K77">_xlfn._xlws.FILTER(CLIENTES!$E126:$BO126,(CLIENTES!$E$5:$BO$5=K$5)*(CLIENTES!$E$9:$BO$9="VENDA"),0)</f>
        <v>0</v>
      </c>
      <c r="L77" s="285" cm="1">
        <f t="array" ref="L77">_xlfn._xlws.FILTER(CLIENTES!$E126:$BO126,(CLIENTES!$E$5:$BO$5=L$5)*(CLIENTES!$E$9:$BO$9="VENDA"),0)</f>
        <v>0</v>
      </c>
      <c r="M77" s="285" cm="1">
        <f t="array" ref="M77">_xlfn._xlws.FILTER(CLIENTES!$E126:$BO126,(CLIENTES!$E$5:$BO$5=M$5)*(CLIENTES!$E$9:$BO$9="VENDA"),0)</f>
        <v>0</v>
      </c>
      <c r="N77" s="285" cm="1">
        <f t="array" ref="N77">_xlfn._xlws.FILTER(CLIENTES!$E126:$BO126,(CLIENTES!$E$5:$BO$5=N$5)*(CLIENTES!$E$9:$BO$9="VENDA"),0)</f>
        <v>0</v>
      </c>
      <c r="O77" s="285" cm="1">
        <f t="array" ref="O77">_xlfn._xlws.FILTER(CLIENTES!$E126:$BO126,(CLIENTES!$E$5:$BO$5=O$5)*(CLIENTES!$E$9:$BO$9="VENDA"),0)</f>
        <v>0</v>
      </c>
      <c r="P77" s="285" cm="1">
        <f t="array" ref="P77">_xlfn._xlws.FILTER(CLIENTES!$E126:$BO126,(CLIENTES!$E$5:$BO$5=P$5)*(CLIENTES!$E$9:$BO$9="VENDA"),0)</f>
        <v>0</v>
      </c>
      <c r="Q77" s="285" cm="1">
        <f t="array" ref="Q77">_xlfn._xlws.FILTER(CLIENTES!$E126:$BO126,(CLIENTES!$E$5:$BO$5=Q$5)*(CLIENTES!$E$9:$BO$9="VENDA"),0)</f>
        <v>0</v>
      </c>
      <c r="R77" s="285" cm="1">
        <f t="array" ref="R77">_xlfn._xlws.FILTER(CLIENTES!$E126:$BO126,(CLIENTES!$E$5:$BO$5=R$5)*(CLIENTES!$E$9:$BO$9="VENDA"),0)</f>
        <v>0</v>
      </c>
      <c r="S77" s="285" cm="1">
        <f t="array" ref="S77">_xlfn._xlws.FILTER(CLIENTES!$E126:$BO126,(CLIENTES!$E$5:$BO$5=S$5)*(CLIENTES!$E$9:$BO$9="VENDA"),0)</f>
        <v>0</v>
      </c>
      <c r="T77" s="285" cm="1">
        <f t="array" ref="T77">_xlfn._xlws.FILTER(CLIENTES!$E126:$BO126,(CLIENTES!$E$5:$BO$5=T$5)*(CLIENTES!$E$9:$BO$9="VENDA"),0)</f>
        <v>0</v>
      </c>
      <c r="U77" s="285" cm="1">
        <f t="array" ref="U77">_xlfn._xlws.FILTER(CLIENTES!$E126:$BO126,(CLIENTES!$E$5:$BO$5=U$5)*(CLIENTES!$E$9:$BO$9="VENDA"),0)</f>
        <v>0</v>
      </c>
      <c r="V77" s="285" cm="1">
        <f t="array" ref="V77">_xlfn._xlws.FILTER(CLIENTES!$E126:$BO126,(CLIENTES!$E$5:$BO$5=V$5)*(CLIENTES!$E$9:$BO$9="VENDA"),0)</f>
        <v>0</v>
      </c>
      <c r="W77" s="285" cm="1">
        <f t="array" ref="W77">_xlfn._xlws.FILTER(CLIENTES!$E126:$BO126,(CLIENTES!$E$5:$BO$5=W$5)*(CLIENTES!$E$9:$BO$9="VENDA"),0)</f>
        <v>0</v>
      </c>
      <c r="X77" s="285" cm="1">
        <f t="array" ref="X77">_xlfn._xlws.FILTER(CLIENTES!$E126:$BO126,(CLIENTES!$E$5:$BO$5=X$5)*(CLIENTES!$E$9:$BO$9="VENDA"),0)</f>
        <v>0</v>
      </c>
      <c r="Y77" s="285" cm="1">
        <f t="array" ref="Y77">_xlfn._xlws.FILTER(CLIENTES!$E126:$BO126,(CLIENTES!$E$5:$BO$5=Y$5)*(CLIENTES!$E$9:$BO$9="VENDA"),0)</f>
        <v>0</v>
      </c>
      <c r="Z77" s="285" cm="1">
        <f t="array" ref="Z77">_xlfn._xlws.FILTER(CLIENTES!$E126:$BO126,(CLIENTES!$E$5:$BO$5=Z$5)*(CLIENTES!$E$9:$BO$9="VENDA"),0)</f>
        <v>0</v>
      </c>
      <c r="AA77" s="285" cm="1">
        <f t="array" ref="AA77">_xlfn._xlws.FILTER(CLIENTES!$E126:$BO126,(CLIENTES!$E$5:$BO$5=AA$5)*(CLIENTES!$E$9:$BO$9="VENDA"),0)</f>
        <v>0</v>
      </c>
      <c r="AB77" s="285" cm="1">
        <f t="array" ref="AB77">_xlfn._xlws.FILTER(CLIENTES!$E126:$BO126,(CLIENTES!$E$5:$BO$5=AB$5)*(CLIENTES!$E$9:$BO$9="VENDA"),0)</f>
        <v>0</v>
      </c>
      <c r="AC77" s="285" cm="1">
        <f t="array" ref="AC77">_xlfn._xlws.FILTER(CLIENTES!$E126:$BO126,(CLIENTES!$E$5:$BO$5=AC$5)*(CLIENTES!$E$9:$BO$9="VENDA"),0)</f>
        <v>0</v>
      </c>
      <c r="AD77" s="285" cm="1">
        <f t="array" ref="AD77">_xlfn._xlws.FILTER(CLIENTES!$E126:$BO126,(CLIENTES!$E$5:$BO$5=AD$5)*(CLIENTES!$E$9:$BO$9="VENDA"),0)</f>
        <v>0</v>
      </c>
      <c r="AE77" s="285" cm="1">
        <f t="array" ref="AE77">_xlfn._xlws.FILTER(CLIENTES!$E126:$BO126,(CLIENTES!$E$5:$BO$5=AE$5)*(CLIENTES!$E$9:$BO$9="VENDA"),0)</f>
        <v>0</v>
      </c>
      <c r="AF77" s="285" cm="1">
        <f t="array" ref="AF77">_xlfn._xlws.FILTER(CLIENTES!$E126:$BO126,(CLIENTES!$E$5:$BO$5=AF$5)*(CLIENTES!$E$9:$BO$9="VENDA"),0)</f>
        <v>0</v>
      </c>
      <c r="AG77" s="285" cm="1">
        <f t="array" ref="AG77">_xlfn._xlws.FILTER(CLIENTES!$E126:$BO126,(CLIENTES!$E$5:$BO$5=AG$5)*(CLIENTES!$E$9:$BO$9="VENDA"),0)</f>
        <v>0</v>
      </c>
      <c r="AH77" s="285" cm="1">
        <f t="array" ref="AH77">_xlfn._xlws.FILTER(CLIENTES!$E126:$BO126,(CLIENTES!$E$5:$BO$5=AH$5)*(CLIENTES!$E$9:$BO$9="VENDA"),0)</f>
        <v>0</v>
      </c>
      <c r="AI77" s="285" cm="1">
        <f t="array" ref="AI77">_xlfn._xlws.FILTER(CLIENTES!$E126:$BO126,(CLIENTES!$E$5:$BO$5=AI$5)*(CLIENTES!$E$9:$BO$9="VENDA"),0)</f>
        <v>0</v>
      </c>
      <c r="AJ77" s="285" cm="1">
        <f t="array" ref="AJ77">_xlfn._xlws.FILTER(CLIENTES!$E126:$BO126,(CLIENTES!$E$5:$BO$5=AJ$5)*(CLIENTES!$E$9:$BO$9="VENDA"),0)</f>
        <v>0</v>
      </c>
      <c r="AK77" s="285" cm="1">
        <f t="array" ref="AK77">_xlfn._xlws.FILTER(CLIENTES!$E126:$BO126,(CLIENTES!$E$5:$BO$5=AK$5)*(CLIENTES!$E$9:$BO$9="VENDA"),0)</f>
        <v>0</v>
      </c>
      <c r="AL77" s="285" cm="1">
        <f t="array" ref="AL77">_xlfn._xlws.FILTER(CLIENTES!$E126:$BO126,(CLIENTES!$E$5:$BO$5=AL$5)*(CLIENTES!$E$9:$BO$9="VENDA"),0)</f>
        <v>0</v>
      </c>
      <c r="AM77" s="285" cm="1">
        <f t="array" ref="AM77">_xlfn._xlws.FILTER(CLIENTES!$E126:$BO126,(CLIENTES!$E$5:$BO$5=AM$5)*(CLIENTES!$E$9:$BO$9="VENDA"),0)</f>
        <v>0</v>
      </c>
      <c r="AN77" s="285" cm="1">
        <f t="array" ref="AN77">_xlfn._xlws.FILTER(CLIENTES!$E126:$BO126,(CLIENTES!$E$5:$BO$5=AN$5)*(CLIENTES!$E$9:$BO$9="VENDA"),0)</f>
        <v>0</v>
      </c>
      <c r="AO77" s="285" cm="1">
        <f t="array" ref="AO77">_xlfn._xlws.FILTER(CLIENTES!$E126:$BO126,(CLIENTES!$E$5:$BO$5=AO$5)*(CLIENTES!$E$9:$BO$9="VENDA"),0)</f>
        <v>0</v>
      </c>
      <c r="AP77" s="285" cm="1">
        <f t="array" ref="AP77">_xlfn._xlws.FILTER(CLIENTES!$E126:$BO126,(CLIENTES!$E$5:$BO$5=AP$5)*(CLIENTES!$E$9:$BO$9="VENDA"),0)</f>
        <v>0</v>
      </c>
      <c r="AQ77" s="285" cm="1">
        <f t="array" ref="AQ77">_xlfn._xlws.FILTER(CLIENTES!$E126:$BO126,(CLIENTES!$E$5:$BO$5=AQ$5)*(CLIENTES!$E$9:$BO$9="VENDA"),0)</f>
        <v>0</v>
      </c>
      <c r="AR77" s="285" cm="1">
        <f t="array" ref="AR77">_xlfn._xlws.FILTER(CLIENTES!$E126:$BO126,(CLIENTES!$E$5:$BO$5=AR$5)*(CLIENTES!$E$9:$BO$9="VENDA"),0)</f>
        <v>0</v>
      </c>
      <c r="AS77" s="285" cm="1">
        <f t="array" ref="AS77">_xlfn._xlws.FILTER(CLIENTES!$E126:$BO126,(CLIENTES!$E$5:$BO$5=AS$5)*(CLIENTES!$E$9:$BO$9="VENDA"),0)</f>
        <v>0</v>
      </c>
      <c r="AT77" s="285" cm="1">
        <f t="array" ref="AT77">_xlfn._xlws.FILTER(CLIENTES!$E126:$BO126,(CLIENTES!$E$5:$BO$5=AT$5)*(CLIENTES!$E$9:$BO$9="VENDA"),0)</f>
        <v>0</v>
      </c>
      <c r="AU77" s="285" cm="1">
        <f t="array" ref="AU77">_xlfn._xlws.FILTER(CLIENTES!$E126:$BO126,(CLIENTES!$E$5:$BO$5=AU$5)*(CLIENTES!$E$9:$BO$9="VENDA"),0)</f>
        <v>0</v>
      </c>
      <c r="AV77" s="285" cm="1">
        <f t="array" ref="AV77">_xlfn._xlws.FILTER(CLIENTES!$E126:$BO126,(CLIENTES!$E$5:$BO$5=AV$5)*(CLIENTES!$E$9:$BO$9="VENDA"),0)</f>
        <v>0</v>
      </c>
      <c r="AW77" s="285" cm="1">
        <f t="array" ref="AW77">_xlfn._xlws.FILTER(CLIENTES!$E126:$BO126,(CLIENTES!$E$5:$BO$5=AW$5)*(CLIENTES!$E$9:$BO$9="VENDA"),0)</f>
        <v>0</v>
      </c>
      <c r="AX77" s="285" cm="1">
        <f t="array" ref="AX77">_xlfn._xlws.FILTER(CLIENTES!$E126:$BO126,(CLIENTES!$E$5:$BO$5=AX$5)*(CLIENTES!$E$9:$BO$9="VENDA"),0)</f>
        <v>0</v>
      </c>
      <c r="AY77" s="285" cm="1">
        <f t="array" ref="AY77">_xlfn._xlws.FILTER(CLIENTES!$E126:$BO126,(CLIENTES!$E$5:$BO$5=AY$5)*(CLIENTES!$E$9:$BO$9="VENDA"),0)</f>
        <v>0</v>
      </c>
      <c r="AZ77" s="285" cm="1">
        <f t="array" ref="AZ77">_xlfn._xlws.FILTER(CLIENTES!$E126:$BO126,(CLIENTES!$E$5:$BO$5=AZ$5)*(CLIENTES!$E$9:$BO$9="VENDA"),0)</f>
        <v>0</v>
      </c>
      <c r="BA77" s="285" cm="1">
        <f t="array" ref="BA77">_xlfn._xlws.FILTER(CLIENTES!$E126:$BO126,(CLIENTES!$E$5:$BO$5=BA$5)*(CLIENTES!$E$9:$BO$9="VENDA"),0)</f>
        <v>0</v>
      </c>
      <c r="BB77" s="285" cm="1">
        <f t="array" ref="BB77">_xlfn._xlws.FILTER(CLIENTES!$E126:$BO126,(CLIENTES!$E$5:$BO$5=BB$5)*(CLIENTES!$E$9:$BO$9="VENDA"),0)</f>
        <v>0</v>
      </c>
      <c r="BC77" s="285" cm="1">
        <f t="array" ref="BC77">_xlfn._xlws.FILTER(CLIENTES!$E126:$BO126,(CLIENTES!$E$5:$BO$5=BC$5)*(CLIENTES!$E$9:$BO$9="VENDA"),0)</f>
        <v>0</v>
      </c>
      <c r="BD77" s="285" cm="1">
        <f t="array" ref="BD77">_xlfn._xlws.FILTER(CLIENTES!$E126:$BO126,(CLIENTES!$E$5:$BO$5=BD$5)*(CLIENTES!$E$9:$BO$9="VENDA"),0)</f>
        <v>0</v>
      </c>
      <c r="BE77" s="285" cm="1">
        <f t="array" ref="BE77">_xlfn._xlws.FILTER(CLIENTES!$E126:$BO126,(CLIENTES!$E$5:$BO$5=BE$5)*(CLIENTES!$E$9:$BO$9="VENDA"),0)</f>
        <v>0</v>
      </c>
      <c r="BF77" s="285" cm="1">
        <f t="array" ref="BF77">_xlfn._xlws.FILTER(CLIENTES!$E126:$BO126,(CLIENTES!$E$5:$BO$5=BF$5)*(CLIENTES!$E$9:$BO$9="VENDA"),0)</f>
        <v>0</v>
      </c>
      <c r="BG77" s="285" cm="1">
        <f t="array" ref="BG77">_xlfn._xlws.FILTER(CLIENTES!$E126:$BO126,(CLIENTES!$E$5:$BO$5=BG$5)*(CLIENTES!$E$9:$BO$9="VENDA"),0)</f>
        <v>0</v>
      </c>
      <c r="BH77" s="285" cm="1">
        <f t="array" ref="BH77">_xlfn._xlws.FILTER(CLIENTES!$E126:$BO126,(CLIENTES!$E$5:$BO$5=BH$5)*(CLIENTES!$E$9:$BO$9="VENDA"),0)</f>
        <v>0</v>
      </c>
      <c r="BI77" s="285" cm="1">
        <f t="array" ref="BI77">_xlfn._xlws.FILTER(CLIENTES!$E126:$BO126,(CLIENTES!$E$5:$BO$5=BI$5)*(CLIENTES!$E$9:$BO$9="VENDA"),0)</f>
        <v>0</v>
      </c>
      <c r="BJ77" s="285" cm="1">
        <f t="array" ref="BJ77">_xlfn._xlws.FILTER(CLIENTES!$E126:$BO126,(CLIENTES!$E$5:$BO$5=BJ$5)*(CLIENTES!$E$9:$BO$9="VENDA"),0)</f>
        <v>0</v>
      </c>
      <c r="BK77" s="285" cm="1">
        <f t="array" ref="BK77">_xlfn._xlws.FILTER(CLIENTES!$E126:$BO126,(CLIENTES!$E$5:$BO$5=BK$5)*(CLIENTES!$E$9:$BO$9="VENDA"),0)</f>
        <v>0</v>
      </c>
      <c r="BL77" s="285" cm="1">
        <f t="array" ref="BL77">_xlfn._xlws.FILTER(CLIENTES!$E126:$BO126,(CLIENTES!$E$5:$BO$5=BL$5)*(CLIENTES!$E$9:$BO$9="VENDA"),0)</f>
        <v>0</v>
      </c>
    </row>
    <row r="78" spans="2:84" x14ac:dyDescent="0.2">
      <c r="B78" s="326"/>
      <c r="C78" s="23" t="s">
        <v>10</v>
      </c>
      <c r="D78" s="72">
        <v>2.2000000000000001E-3</v>
      </c>
      <c r="E78" s="200">
        <v>2.2000000000000001E-3</v>
      </c>
      <c r="F78" s="200">
        <v>2.2000000000000001E-3</v>
      </c>
      <c r="G78" s="200">
        <v>2.2000000000000001E-3</v>
      </c>
      <c r="H78" s="200">
        <v>2.2000000000000001E-3</v>
      </c>
      <c r="I78" s="200">
        <v>2.2000000000000001E-3</v>
      </c>
      <c r="J78" s="200">
        <v>2.2000000000000001E-3</v>
      </c>
      <c r="K78" s="200">
        <v>2.2000000000000001E-3</v>
      </c>
      <c r="L78" s="200">
        <v>2.2000000000000001E-3</v>
      </c>
      <c r="M78" s="200">
        <v>2.2000000000000001E-3</v>
      </c>
      <c r="N78" s="200">
        <v>2.2000000000000001E-3</v>
      </c>
      <c r="O78" s="200">
        <v>2.2000000000000001E-3</v>
      </c>
      <c r="P78" s="200">
        <v>2.2000000000000001E-3</v>
      </c>
      <c r="Q78" s="200">
        <v>2.2000000000000001E-3</v>
      </c>
      <c r="R78" s="200">
        <v>2.2000000000000001E-3</v>
      </c>
      <c r="S78" s="200">
        <v>2.2000000000000001E-3</v>
      </c>
      <c r="T78" s="200">
        <v>2.2000000000000001E-3</v>
      </c>
      <c r="U78" s="200">
        <v>2.2000000000000001E-3</v>
      </c>
      <c r="V78" s="200">
        <v>2.2000000000000001E-3</v>
      </c>
      <c r="W78" s="200">
        <v>2.2000000000000001E-3</v>
      </c>
      <c r="X78" s="200">
        <v>2.2000000000000001E-3</v>
      </c>
      <c r="Y78" s="200">
        <v>2.2000000000000001E-3</v>
      </c>
      <c r="Z78" s="200">
        <v>2.2000000000000001E-3</v>
      </c>
      <c r="AA78" s="200">
        <v>2.2000000000000001E-3</v>
      </c>
      <c r="AB78" s="200">
        <v>2.2000000000000001E-3</v>
      </c>
      <c r="AC78" s="200">
        <v>2.2000000000000001E-3</v>
      </c>
      <c r="AD78" s="200">
        <v>2.2000000000000001E-3</v>
      </c>
      <c r="AE78" s="200">
        <v>2.2000000000000001E-3</v>
      </c>
      <c r="AF78" s="200">
        <v>2.2000000000000001E-3</v>
      </c>
      <c r="AG78" s="200">
        <v>2.2000000000000001E-3</v>
      </c>
      <c r="AH78" s="200">
        <v>2.2000000000000001E-3</v>
      </c>
      <c r="AI78" s="200">
        <v>2.2000000000000001E-3</v>
      </c>
      <c r="AJ78" s="200">
        <v>2.2000000000000001E-3</v>
      </c>
      <c r="AK78" s="200">
        <v>2.2000000000000001E-3</v>
      </c>
      <c r="AL78" s="200">
        <v>2.2000000000000001E-3</v>
      </c>
      <c r="AM78" s="200">
        <v>2.2000000000000001E-3</v>
      </c>
      <c r="AN78" s="200">
        <v>2.2000000000000001E-3</v>
      </c>
      <c r="AO78" s="200">
        <v>2.2000000000000001E-3</v>
      </c>
      <c r="AP78" s="200">
        <v>2.2000000000000001E-3</v>
      </c>
      <c r="AQ78" s="200">
        <v>2.2000000000000001E-3</v>
      </c>
      <c r="AR78" s="200">
        <v>2.2000000000000001E-3</v>
      </c>
      <c r="AS78" s="200">
        <v>2.2000000000000001E-3</v>
      </c>
      <c r="AT78" s="200">
        <v>2.2000000000000001E-3</v>
      </c>
      <c r="AU78" s="200">
        <v>2.2000000000000001E-3</v>
      </c>
      <c r="AV78" s="200">
        <v>2.2000000000000001E-3</v>
      </c>
      <c r="AW78" s="200">
        <v>2.2000000000000001E-3</v>
      </c>
      <c r="AX78" s="200">
        <v>2.2000000000000001E-3</v>
      </c>
      <c r="AY78" s="200">
        <v>2.2000000000000001E-3</v>
      </c>
      <c r="AZ78" s="215">
        <v>2.2000000000000001E-3</v>
      </c>
      <c r="BA78" s="200">
        <v>2.2000000000000001E-3</v>
      </c>
      <c r="BB78" s="200">
        <v>2.2000000000000001E-3</v>
      </c>
      <c r="BC78" s="200">
        <v>2.2000000000000001E-3</v>
      </c>
      <c r="BD78" s="200">
        <v>2.2000000000000001E-3</v>
      </c>
      <c r="BE78" s="200">
        <v>2.2000000000000001E-3</v>
      </c>
      <c r="BF78" s="200">
        <v>2.2000000000000001E-3</v>
      </c>
      <c r="BG78" s="200">
        <v>2.2000000000000001E-3</v>
      </c>
      <c r="BH78" s="200">
        <v>2.2000000000000001E-3</v>
      </c>
      <c r="BI78" s="200">
        <v>2.2000000000000001E-3</v>
      </c>
      <c r="BJ78" s="200">
        <v>2.2000000000000001E-3</v>
      </c>
      <c r="BK78" s="200">
        <v>2.2000000000000001E-3</v>
      </c>
      <c r="BL78" s="200">
        <v>2.2000000000000001E-3</v>
      </c>
    </row>
    <row r="79" spans="2:84" x14ac:dyDescent="0.2">
      <c r="B79" s="326"/>
      <c r="C79" s="58" t="s">
        <v>23</v>
      </c>
      <c r="D79" s="27">
        <f>SUM(E79:BL79)</f>
        <v>2742.153853645882</v>
      </c>
      <c r="E79" s="139">
        <f>IF((E75+E76-E77)*E78&lt;0,0,(E75+E76-E77)*E78)</f>
        <v>1290.0888</v>
      </c>
      <c r="F79" s="139">
        <f t="shared" ref="F79:BL79" si="32">IF((F75+F76-F77)*F78&lt;0,0,(F75+F76-F77)*F78)</f>
        <v>1452.065053645882</v>
      </c>
      <c r="G79" s="139">
        <f t="shared" si="32"/>
        <v>0</v>
      </c>
      <c r="H79" s="139">
        <f t="shared" si="32"/>
        <v>0</v>
      </c>
      <c r="I79" s="139">
        <f t="shared" si="32"/>
        <v>0</v>
      </c>
      <c r="J79" s="139">
        <f t="shared" si="32"/>
        <v>0</v>
      </c>
      <c r="K79" s="139">
        <f t="shared" si="32"/>
        <v>0</v>
      </c>
      <c r="L79" s="139">
        <f t="shared" si="32"/>
        <v>0</v>
      </c>
      <c r="M79" s="139">
        <f t="shared" si="32"/>
        <v>0</v>
      </c>
      <c r="N79" s="139">
        <f t="shared" si="32"/>
        <v>0</v>
      </c>
      <c r="O79" s="139">
        <f t="shared" si="32"/>
        <v>0</v>
      </c>
      <c r="P79" s="139">
        <f t="shared" si="32"/>
        <v>0</v>
      </c>
      <c r="Q79" s="139">
        <f t="shared" si="32"/>
        <v>0</v>
      </c>
      <c r="R79" s="139">
        <f t="shared" si="32"/>
        <v>0</v>
      </c>
      <c r="S79" s="139">
        <f t="shared" si="32"/>
        <v>0</v>
      </c>
      <c r="T79" s="139">
        <f t="shared" si="32"/>
        <v>0</v>
      </c>
      <c r="U79" s="139">
        <f t="shared" si="32"/>
        <v>0</v>
      </c>
      <c r="V79" s="139">
        <f t="shared" si="32"/>
        <v>0</v>
      </c>
      <c r="W79" s="139">
        <f t="shared" si="32"/>
        <v>0</v>
      </c>
      <c r="X79" s="139">
        <f t="shared" si="32"/>
        <v>0</v>
      </c>
      <c r="Y79" s="139">
        <f t="shared" si="32"/>
        <v>0</v>
      </c>
      <c r="Z79" s="139">
        <f t="shared" si="32"/>
        <v>0</v>
      </c>
      <c r="AA79" s="139">
        <f t="shared" si="32"/>
        <v>0</v>
      </c>
      <c r="AB79" s="139">
        <f t="shared" si="32"/>
        <v>0</v>
      </c>
      <c r="AC79" s="139">
        <f t="shared" si="32"/>
        <v>0</v>
      </c>
      <c r="AD79" s="139">
        <f t="shared" si="32"/>
        <v>0</v>
      </c>
      <c r="AE79" s="139">
        <f t="shared" si="32"/>
        <v>0</v>
      </c>
      <c r="AF79" s="139">
        <f t="shared" si="32"/>
        <v>0</v>
      </c>
      <c r="AG79" s="139">
        <f t="shared" si="32"/>
        <v>0</v>
      </c>
      <c r="AH79" s="139">
        <f t="shared" si="32"/>
        <v>0</v>
      </c>
      <c r="AI79" s="139">
        <f t="shared" si="32"/>
        <v>0</v>
      </c>
      <c r="AJ79" s="139">
        <f t="shared" si="32"/>
        <v>0</v>
      </c>
      <c r="AK79" s="139">
        <f t="shared" si="32"/>
        <v>0</v>
      </c>
      <c r="AL79" s="139">
        <f t="shared" si="32"/>
        <v>0</v>
      </c>
      <c r="AM79" s="139">
        <f t="shared" si="32"/>
        <v>0</v>
      </c>
      <c r="AN79" s="139">
        <f t="shared" si="32"/>
        <v>0</v>
      </c>
      <c r="AO79" s="139">
        <f t="shared" si="32"/>
        <v>0</v>
      </c>
      <c r="AP79" s="139">
        <f t="shared" si="32"/>
        <v>0</v>
      </c>
      <c r="AQ79" s="139">
        <f t="shared" si="32"/>
        <v>0</v>
      </c>
      <c r="AR79" s="139">
        <f t="shared" si="32"/>
        <v>0</v>
      </c>
      <c r="AS79" s="139">
        <f t="shared" si="32"/>
        <v>0</v>
      </c>
      <c r="AT79" s="139">
        <f t="shared" si="32"/>
        <v>0</v>
      </c>
      <c r="AU79" s="139">
        <f t="shared" si="32"/>
        <v>0</v>
      </c>
      <c r="AV79" s="139">
        <f t="shared" si="32"/>
        <v>0</v>
      </c>
      <c r="AW79" s="139">
        <f t="shared" si="32"/>
        <v>0</v>
      </c>
      <c r="AX79" s="139">
        <f t="shared" si="32"/>
        <v>0</v>
      </c>
      <c r="AY79" s="139">
        <f t="shared" si="32"/>
        <v>0</v>
      </c>
      <c r="AZ79" s="139">
        <f t="shared" si="32"/>
        <v>0</v>
      </c>
      <c r="BA79" s="139">
        <f t="shared" si="32"/>
        <v>0</v>
      </c>
      <c r="BB79" s="139">
        <f>IF((BB76-BB77)*BB78&lt;0,0,(BB76-BB77)*BB78)</f>
        <v>0</v>
      </c>
      <c r="BC79" s="139">
        <f t="shared" si="32"/>
        <v>0</v>
      </c>
      <c r="BD79" s="139">
        <f t="shared" si="32"/>
        <v>0</v>
      </c>
      <c r="BE79" s="139">
        <f t="shared" si="32"/>
        <v>0</v>
      </c>
      <c r="BF79" s="139">
        <f t="shared" si="32"/>
        <v>0</v>
      </c>
      <c r="BG79" s="139">
        <f t="shared" si="32"/>
        <v>0</v>
      </c>
      <c r="BH79" s="139">
        <f t="shared" si="32"/>
        <v>0</v>
      </c>
      <c r="BI79" s="139">
        <f t="shared" si="32"/>
        <v>0</v>
      </c>
      <c r="BJ79" s="139">
        <f t="shared" si="32"/>
        <v>0</v>
      </c>
      <c r="BK79" s="139">
        <f t="shared" si="32"/>
        <v>0</v>
      </c>
      <c r="BL79" s="139">
        <f t="shared" si="32"/>
        <v>0</v>
      </c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</row>
    <row r="80" spans="2:84" ht="13.5" thickBot="1" x14ac:dyDescent="0.25">
      <c r="B80" s="327"/>
      <c r="C80" s="25" t="s">
        <v>22</v>
      </c>
      <c r="D80" s="30">
        <f>SUM(E80:BL80)</f>
        <v>1249175.723692683</v>
      </c>
      <c r="E80" s="146">
        <f>+E75-E77+E76+E79</f>
        <v>587694.08880000003</v>
      </c>
      <c r="F80" s="146">
        <f t="shared" ref="F80:BL80" si="33">+F75-F77+F76+F79</f>
        <v>661481.63489268313</v>
      </c>
      <c r="G80" s="146">
        <f t="shared" si="33"/>
        <v>0</v>
      </c>
      <c r="H80" s="146">
        <f t="shared" si="33"/>
        <v>0</v>
      </c>
      <c r="I80" s="146">
        <f t="shared" si="33"/>
        <v>0</v>
      </c>
      <c r="J80" s="146">
        <f t="shared" si="33"/>
        <v>0</v>
      </c>
      <c r="K80" s="146">
        <f t="shared" si="33"/>
        <v>0</v>
      </c>
      <c r="L80" s="146">
        <f t="shared" si="33"/>
        <v>0</v>
      </c>
      <c r="M80" s="146">
        <f t="shared" si="33"/>
        <v>0</v>
      </c>
      <c r="N80" s="146">
        <f t="shared" si="33"/>
        <v>0</v>
      </c>
      <c r="O80" s="146">
        <f t="shared" si="33"/>
        <v>0</v>
      </c>
      <c r="P80" s="146">
        <f t="shared" si="33"/>
        <v>0</v>
      </c>
      <c r="Q80" s="146">
        <f t="shared" si="33"/>
        <v>0</v>
      </c>
      <c r="R80" s="146">
        <f t="shared" si="33"/>
        <v>0</v>
      </c>
      <c r="S80" s="146">
        <f t="shared" si="33"/>
        <v>0</v>
      </c>
      <c r="T80" s="146">
        <f t="shared" si="33"/>
        <v>0</v>
      </c>
      <c r="U80" s="146">
        <f t="shared" si="33"/>
        <v>0</v>
      </c>
      <c r="V80" s="146">
        <f t="shared" si="33"/>
        <v>0</v>
      </c>
      <c r="W80" s="146">
        <f t="shared" si="33"/>
        <v>0</v>
      </c>
      <c r="X80" s="146">
        <f t="shared" si="33"/>
        <v>0</v>
      </c>
      <c r="Y80" s="146">
        <f t="shared" si="33"/>
        <v>0</v>
      </c>
      <c r="Z80" s="146">
        <f t="shared" si="33"/>
        <v>0</v>
      </c>
      <c r="AA80" s="146">
        <f t="shared" si="33"/>
        <v>0</v>
      </c>
      <c r="AB80" s="146">
        <f t="shared" si="33"/>
        <v>0</v>
      </c>
      <c r="AC80" s="146">
        <f t="shared" si="33"/>
        <v>0</v>
      </c>
      <c r="AD80" s="146">
        <f t="shared" si="33"/>
        <v>0</v>
      </c>
      <c r="AE80" s="146">
        <f t="shared" si="33"/>
        <v>0</v>
      </c>
      <c r="AF80" s="146">
        <f t="shared" si="33"/>
        <v>0</v>
      </c>
      <c r="AG80" s="146">
        <f t="shared" si="33"/>
        <v>0</v>
      </c>
      <c r="AH80" s="146">
        <f t="shared" si="33"/>
        <v>0</v>
      </c>
      <c r="AI80" s="146">
        <f t="shared" si="33"/>
        <v>0</v>
      </c>
      <c r="AJ80" s="146">
        <f t="shared" si="33"/>
        <v>0</v>
      </c>
      <c r="AK80" s="146">
        <f t="shared" si="33"/>
        <v>0</v>
      </c>
      <c r="AL80" s="146">
        <f t="shared" si="33"/>
        <v>0</v>
      </c>
      <c r="AM80" s="146">
        <f t="shared" si="33"/>
        <v>0</v>
      </c>
      <c r="AN80" s="146">
        <f t="shared" si="33"/>
        <v>0</v>
      </c>
      <c r="AO80" s="146">
        <f t="shared" si="33"/>
        <v>0</v>
      </c>
      <c r="AP80" s="146">
        <f t="shared" si="33"/>
        <v>0</v>
      </c>
      <c r="AQ80" s="146">
        <f t="shared" si="33"/>
        <v>0</v>
      </c>
      <c r="AR80" s="146">
        <f t="shared" si="33"/>
        <v>0</v>
      </c>
      <c r="AS80" s="146">
        <f t="shared" si="33"/>
        <v>0</v>
      </c>
      <c r="AT80" s="146">
        <f t="shared" si="33"/>
        <v>0</v>
      </c>
      <c r="AU80" s="146">
        <f t="shared" si="33"/>
        <v>0</v>
      </c>
      <c r="AV80" s="146">
        <f t="shared" si="33"/>
        <v>0</v>
      </c>
      <c r="AW80" s="146">
        <f t="shared" si="33"/>
        <v>0</v>
      </c>
      <c r="AX80" s="146">
        <f t="shared" si="33"/>
        <v>0</v>
      </c>
      <c r="AY80" s="146">
        <f t="shared" si="33"/>
        <v>0</v>
      </c>
      <c r="AZ80" s="146">
        <f t="shared" si="33"/>
        <v>0</v>
      </c>
      <c r="BA80" s="146">
        <f t="shared" si="33"/>
        <v>0</v>
      </c>
      <c r="BB80" s="146">
        <f>BB76-BB77+BB79</f>
        <v>0</v>
      </c>
      <c r="BC80" s="146">
        <f>+BC75-BC77+BC76+BC79</f>
        <v>0</v>
      </c>
      <c r="BD80" s="146">
        <f t="shared" si="33"/>
        <v>0</v>
      </c>
      <c r="BE80" s="146">
        <f t="shared" si="33"/>
        <v>0</v>
      </c>
      <c r="BF80" s="146">
        <f t="shared" si="33"/>
        <v>0</v>
      </c>
      <c r="BG80" s="146">
        <f t="shared" si="33"/>
        <v>0</v>
      </c>
      <c r="BH80" s="146">
        <f t="shared" si="33"/>
        <v>0</v>
      </c>
      <c r="BI80" s="146">
        <f t="shared" si="33"/>
        <v>0</v>
      </c>
      <c r="BJ80" s="146">
        <f t="shared" si="33"/>
        <v>0</v>
      </c>
      <c r="BK80" s="146">
        <f t="shared" si="33"/>
        <v>0</v>
      </c>
      <c r="BL80" s="146">
        <f t="shared" si="33"/>
        <v>0</v>
      </c>
    </row>
    <row r="81" spans="2:84" ht="13.5" thickBot="1" x14ac:dyDescent="0.25">
      <c r="B81" s="325">
        <v>44013</v>
      </c>
      <c r="C81" s="62" t="s">
        <v>6</v>
      </c>
      <c r="D81" s="31">
        <f>SUM(E81:BL81)</f>
        <v>95000</v>
      </c>
      <c r="E81" s="285" cm="1">
        <f t="array" ref="E81">_xlfn._xlws.FILTER(CLIENTES!$E133:$BO133,(CLIENTES!$E$5:$BO$5=E$5)*(CLIENTES!$E$9:$BO$9="VENDA"),0)</f>
        <v>45000</v>
      </c>
      <c r="F81" s="285" cm="1">
        <f t="array" ref="F81">_xlfn._xlws.FILTER(CLIENTES!$E133:$BO133,(CLIENTES!$E$5:$BO$5=F$5)*(CLIENTES!$E$9:$BO$9="VENDA"),0)</f>
        <v>50000</v>
      </c>
      <c r="G81" s="285" cm="1">
        <f t="array" ref="G81">_xlfn._xlws.FILTER(CLIENTES!$E133:$BO133,(CLIENTES!$E$5:$BO$5=G$5)*(CLIENTES!$E$9:$BO$9="VENDA"),0)</f>
        <v>0</v>
      </c>
      <c r="H81" s="285" cm="1">
        <f t="array" ref="H81">_xlfn._xlws.FILTER(CLIENTES!$E133:$BO133,(CLIENTES!$E$5:$BO$5=H$5)*(CLIENTES!$E$9:$BO$9="VENDA"),0)</f>
        <v>0</v>
      </c>
      <c r="I81" s="285" cm="1">
        <f t="array" ref="I81">_xlfn._xlws.FILTER(CLIENTES!$E133:$BO133,(CLIENTES!$E$5:$BO$5=I$5)*(CLIENTES!$E$9:$BO$9="VENDA"),0)</f>
        <v>0</v>
      </c>
      <c r="J81" s="285" cm="1">
        <f t="array" ref="J81">_xlfn._xlws.FILTER(CLIENTES!$E133:$BO133,(CLIENTES!$E$5:$BO$5=J$5)*(CLIENTES!$E$9:$BO$9="VENDA"),0)</f>
        <v>0</v>
      </c>
      <c r="K81" s="285" cm="1">
        <f t="array" ref="K81">_xlfn._xlws.FILTER(CLIENTES!$E133:$BO133,(CLIENTES!$E$5:$BO$5=K$5)*(CLIENTES!$E$9:$BO$9="VENDA"),0)</f>
        <v>0</v>
      </c>
      <c r="L81" s="285" cm="1">
        <f t="array" ref="L81">_xlfn._xlws.FILTER(CLIENTES!$E133:$BO133,(CLIENTES!$E$5:$BO$5=L$5)*(CLIENTES!$E$9:$BO$9="VENDA"),0)</f>
        <v>0</v>
      </c>
      <c r="M81" s="285" cm="1">
        <f t="array" ref="M81">_xlfn._xlws.FILTER(CLIENTES!$E133:$BO133,(CLIENTES!$E$5:$BO$5=M$5)*(CLIENTES!$E$9:$BO$9="VENDA"),0)</f>
        <v>0</v>
      </c>
      <c r="N81" s="285" cm="1">
        <f t="array" ref="N81">_xlfn._xlws.FILTER(CLIENTES!$E133:$BO133,(CLIENTES!$E$5:$BO$5=N$5)*(CLIENTES!$E$9:$BO$9="VENDA"),0)</f>
        <v>0</v>
      </c>
      <c r="O81" s="285" cm="1">
        <f t="array" ref="O81">_xlfn._xlws.FILTER(CLIENTES!$E133:$BO133,(CLIENTES!$E$5:$BO$5=O$5)*(CLIENTES!$E$9:$BO$9="VENDA"),0)</f>
        <v>0</v>
      </c>
      <c r="P81" s="285" cm="1">
        <f t="array" ref="P81">_xlfn._xlws.FILTER(CLIENTES!$E133:$BO133,(CLIENTES!$E$5:$BO$5=P$5)*(CLIENTES!$E$9:$BO$9="VENDA"),0)</f>
        <v>0</v>
      </c>
      <c r="Q81" s="285" cm="1">
        <f t="array" ref="Q81">_xlfn._xlws.FILTER(CLIENTES!$E133:$BO133,(CLIENTES!$E$5:$BO$5=Q$5)*(CLIENTES!$E$9:$BO$9="VENDA"),0)</f>
        <v>0</v>
      </c>
      <c r="R81" s="285" cm="1">
        <f t="array" ref="R81">_xlfn._xlws.FILTER(CLIENTES!$E133:$BO133,(CLIENTES!$E$5:$BO$5=R$5)*(CLIENTES!$E$9:$BO$9="VENDA"),0)</f>
        <v>0</v>
      </c>
      <c r="S81" s="285" cm="1">
        <f t="array" ref="S81">_xlfn._xlws.FILTER(CLIENTES!$E133:$BO133,(CLIENTES!$E$5:$BO$5=S$5)*(CLIENTES!$E$9:$BO$9="VENDA"),0)</f>
        <v>0</v>
      </c>
      <c r="T81" s="285" cm="1">
        <f t="array" ref="T81">_xlfn._xlws.FILTER(CLIENTES!$E133:$BO133,(CLIENTES!$E$5:$BO$5=T$5)*(CLIENTES!$E$9:$BO$9="VENDA"),0)</f>
        <v>0</v>
      </c>
      <c r="U81" s="285" cm="1">
        <f t="array" ref="U81">_xlfn._xlws.FILTER(CLIENTES!$E133:$BO133,(CLIENTES!$E$5:$BO$5=U$5)*(CLIENTES!$E$9:$BO$9="VENDA"),0)</f>
        <v>0</v>
      </c>
      <c r="V81" s="285" cm="1">
        <f t="array" ref="V81">_xlfn._xlws.FILTER(CLIENTES!$E133:$BO133,(CLIENTES!$E$5:$BO$5=V$5)*(CLIENTES!$E$9:$BO$9="VENDA"),0)</f>
        <v>0</v>
      </c>
      <c r="W81" s="285" cm="1">
        <f t="array" ref="W81">_xlfn._xlws.FILTER(CLIENTES!$E133:$BO133,(CLIENTES!$E$5:$BO$5=W$5)*(CLIENTES!$E$9:$BO$9="VENDA"),0)</f>
        <v>0</v>
      </c>
      <c r="X81" s="285" cm="1">
        <f t="array" ref="X81">_xlfn._xlws.FILTER(CLIENTES!$E133:$BO133,(CLIENTES!$E$5:$BO$5=X$5)*(CLIENTES!$E$9:$BO$9="VENDA"),0)</f>
        <v>0</v>
      </c>
      <c r="Y81" s="285" cm="1">
        <f t="array" ref="Y81">_xlfn._xlws.FILTER(CLIENTES!$E133:$BO133,(CLIENTES!$E$5:$BO$5=Y$5)*(CLIENTES!$E$9:$BO$9="VENDA"),0)</f>
        <v>0</v>
      </c>
      <c r="Z81" s="285" cm="1">
        <f t="array" ref="Z81">_xlfn._xlws.FILTER(CLIENTES!$E133:$BO133,(CLIENTES!$E$5:$BO$5=Z$5)*(CLIENTES!$E$9:$BO$9="VENDA"),0)</f>
        <v>0</v>
      </c>
      <c r="AA81" s="285" cm="1">
        <f t="array" ref="AA81">_xlfn._xlws.FILTER(CLIENTES!$E133:$BO133,(CLIENTES!$E$5:$BO$5=AA$5)*(CLIENTES!$E$9:$BO$9="VENDA"),0)</f>
        <v>0</v>
      </c>
      <c r="AB81" s="285" cm="1">
        <f t="array" ref="AB81">_xlfn._xlws.FILTER(CLIENTES!$E133:$BO133,(CLIENTES!$E$5:$BO$5=AB$5)*(CLIENTES!$E$9:$BO$9="VENDA"),0)</f>
        <v>0</v>
      </c>
      <c r="AC81" s="285" cm="1">
        <f t="array" ref="AC81">_xlfn._xlws.FILTER(CLIENTES!$E133:$BO133,(CLIENTES!$E$5:$BO$5=AC$5)*(CLIENTES!$E$9:$BO$9="VENDA"),0)</f>
        <v>0</v>
      </c>
      <c r="AD81" s="285" cm="1">
        <f t="array" ref="AD81">_xlfn._xlws.FILTER(CLIENTES!$E133:$BO133,(CLIENTES!$E$5:$BO$5=AD$5)*(CLIENTES!$E$9:$BO$9="VENDA"),0)</f>
        <v>0</v>
      </c>
      <c r="AE81" s="285" cm="1">
        <f t="array" ref="AE81">_xlfn._xlws.FILTER(CLIENTES!$E133:$BO133,(CLIENTES!$E$5:$BO$5=AE$5)*(CLIENTES!$E$9:$BO$9="VENDA"),0)</f>
        <v>0</v>
      </c>
      <c r="AF81" s="285" cm="1">
        <f t="array" ref="AF81">_xlfn._xlws.FILTER(CLIENTES!$E133:$BO133,(CLIENTES!$E$5:$BO$5=AF$5)*(CLIENTES!$E$9:$BO$9="VENDA"),0)</f>
        <v>0</v>
      </c>
      <c r="AG81" s="285" cm="1">
        <f t="array" ref="AG81">_xlfn._xlws.FILTER(CLIENTES!$E133:$BO133,(CLIENTES!$E$5:$BO$5=AG$5)*(CLIENTES!$E$9:$BO$9="VENDA"),0)</f>
        <v>0</v>
      </c>
      <c r="AH81" s="285" cm="1">
        <f t="array" ref="AH81">_xlfn._xlws.FILTER(CLIENTES!$E133:$BO133,(CLIENTES!$E$5:$BO$5=AH$5)*(CLIENTES!$E$9:$BO$9="VENDA"),0)</f>
        <v>0</v>
      </c>
      <c r="AI81" s="285" cm="1">
        <f t="array" ref="AI81">_xlfn._xlws.FILTER(CLIENTES!$E133:$BO133,(CLIENTES!$E$5:$BO$5=AI$5)*(CLIENTES!$E$9:$BO$9="VENDA"),0)</f>
        <v>0</v>
      </c>
      <c r="AJ81" s="285" cm="1">
        <f t="array" ref="AJ81">_xlfn._xlws.FILTER(CLIENTES!$E133:$BO133,(CLIENTES!$E$5:$BO$5=AJ$5)*(CLIENTES!$E$9:$BO$9="VENDA"),0)</f>
        <v>0</v>
      </c>
      <c r="AK81" s="285" cm="1">
        <f t="array" ref="AK81">_xlfn._xlws.FILTER(CLIENTES!$E133:$BO133,(CLIENTES!$E$5:$BO$5=AK$5)*(CLIENTES!$E$9:$BO$9="VENDA"),0)</f>
        <v>0</v>
      </c>
      <c r="AL81" s="285" cm="1">
        <f t="array" ref="AL81">_xlfn._xlws.FILTER(CLIENTES!$E133:$BO133,(CLIENTES!$E$5:$BO$5=AL$5)*(CLIENTES!$E$9:$BO$9="VENDA"),0)</f>
        <v>0</v>
      </c>
      <c r="AM81" s="285" cm="1">
        <f t="array" ref="AM81">_xlfn._xlws.FILTER(CLIENTES!$E133:$BO133,(CLIENTES!$E$5:$BO$5=AM$5)*(CLIENTES!$E$9:$BO$9="VENDA"),0)</f>
        <v>0</v>
      </c>
      <c r="AN81" s="285" cm="1">
        <f t="array" ref="AN81">_xlfn._xlws.FILTER(CLIENTES!$E133:$BO133,(CLIENTES!$E$5:$BO$5=AN$5)*(CLIENTES!$E$9:$BO$9="VENDA"),0)</f>
        <v>0</v>
      </c>
      <c r="AO81" s="285" cm="1">
        <f t="array" ref="AO81">_xlfn._xlws.FILTER(CLIENTES!$E133:$BO133,(CLIENTES!$E$5:$BO$5=AO$5)*(CLIENTES!$E$9:$BO$9="VENDA"),0)</f>
        <v>0</v>
      </c>
      <c r="AP81" s="285" cm="1">
        <f t="array" ref="AP81">_xlfn._xlws.FILTER(CLIENTES!$E133:$BO133,(CLIENTES!$E$5:$BO$5=AP$5)*(CLIENTES!$E$9:$BO$9="VENDA"),0)</f>
        <v>0</v>
      </c>
      <c r="AQ81" s="285" cm="1">
        <f t="array" ref="AQ81">_xlfn._xlws.FILTER(CLIENTES!$E133:$BO133,(CLIENTES!$E$5:$BO$5=AQ$5)*(CLIENTES!$E$9:$BO$9="VENDA"),0)</f>
        <v>0</v>
      </c>
      <c r="AR81" s="285" cm="1">
        <f t="array" ref="AR81">_xlfn._xlws.FILTER(CLIENTES!$E133:$BO133,(CLIENTES!$E$5:$BO$5=AR$5)*(CLIENTES!$E$9:$BO$9="VENDA"),0)</f>
        <v>0</v>
      </c>
      <c r="AS81" s="285" cm="1">
        <f t="array" ref="AS81">_xlfn._xlws.FILTER(CLIENTES!$E133:$BO133,(CLIENTES!$E$5:$BO$5=AS$5)*(CLIENTES!$E$9:$BO$9="VENDA"),0)</f>
        <v>0</v>
      </c>
      <c r="AT81" s="285" cm="1">
        <f t="array" ref="AT81">_xlfn._xlws.FILTER(CLIENTES!$E133:$BO133,(CLIENTES!$E$5:$BO$5=AT$5)*(CLIENTES!$E$9:$BO$9="VENDA"),0)</f>
        <v>0</v>
      </c>
      <c r="AU81" s="285" cm="1">
        <f t="array" ref="AU81">_xlfn._xlws.FILTER(CLIENTES!$E133:$BO133,(CLIENTES!$E$5:$BO$5=AU$5)*(CLIENTES!$E$9:$BO$9="VENDA"),0)</f>
        <v>0</v>
      </c>
      <c r="AV81" s="285" cm="1">
        <f t="array" ref="AV81">_xlfn._xlws.FILTER(CLIENTES!$E133:$BO133,(CLIENTES!$E$5:$BO$5=AV$5)*(CLIENTES!$E$9:$BO$9="VENDA"),0)</f>
        <v>0</v>
      </c>
      <c r="AW81" s="285" cm="1">
        <f t="array" ref="AW81">_xlfn._xlws.FILTER(CLIENTES!$E133:$BO133,(CLIENTES!$E$5:$BO$5=AW$5)*(CLIENTES!$E$9:$BO$9="VENDA"),0)</f>
        <v>0</v>
      </c>
      <c r="AX81" s="285" cm="1">
        <f t="array" ref="AX81">_xlfn._xlws.FILTER(CLIENTES!$E133:$BO133,(CLIENTES!$E$5:$BO$5=AX$5)*(CLIENTES!$E$9:$BO$9="VENDA"),0)</f>
        <v>0</v>
      </c>
      <c r="AY81" s="285" cm="1">
        <f t="array" ref="AY81">_xlfn._xlws.FILTER(CLIENTES!$E133:$BO133,(CLIENTES!$E$5:$BO$5=AY$5)*(CLIENTES!$E$9:$BO$9="VENDA"),0)</f>
        <v>0</v>
      </c>
      <c r="AZ81" s="285" cm="1">
        <f t="array" ref="AZ81">_xlfn._xlws.FILTER(CLIENTES!$E133:$BO133,(CLIENTES!$E$5:$BO$5=AZ$5)*(CLIENTES!$E$9:$BO$9="VENDA"),0)</f>
        <v>0</v>
      </c>
      <c r="BA81" s="285" cm="1">
        <f t="array" ref="BA81">_xlfn._xlws.FILTER(CLIENTES!$E133:$BO133,(CLIENTES!$E$5:$BO$5=BA$5)*(CLIENTES!$E$9:$BO$9="VENDA"),0)</f>
        <v>0</v>
      </c>
      <c r="BB81" s="285" cm="1">
        <f t="array" ref="BB81">_xlfn._xlws.FILTER(CLIENTES!$E133:$BO133,(CLIENTES!$E$5:$BO$5=BB$5)*(CLIENTES!$E$9:$BO$9="VENDA"),0)</f>
        <v>0</v>
      </c>
      <c r="BC81" s="285" cm="1">
        <f t="array" ref="BC81">_xlfn._xlws.FILTER(CLIENTES!$E133:$BO133,(CLIENTES!$E$5:$BO$5=BC$5)*(CLIENTES!$E$9:$BO$9="VENDA"),0)</f>
        <v>0</v>
      </c>
      <c r="BD81" s="285" cm="1">
        <f t="array" ref="BD81">_xlfn._xlws.FILTER(CLIENTES!$E133:$BO133,(CLIENTES!$E$5:$BO$5=BD$5)*(CLIENTES!$E$9:$BO$9="VENDA"),0)</f>
        <v>0</v>
      </c>
      <c r="BE81" s="285" cm="1">
        <f t="array" ref="BE81">_xlfn._xlws.FILTER(CLIENTES!$E133:$BO133,(CLIENTES!$E$5:$BO$5=BE$5)*(CLIENTES!$E$9:$BO$9="VENDA"),0)</f>
        <v>0</v>
      </c>
      <c r="BF81" s="285" cm="1">
        <f t="array" ref="BF81">_xlfn._xlws.FILTER(CLIENTES!$E133:$BO133,(CLIENTES!$E$5:$BO$5=BF$5)*(CLIENTES!$E$9:$BO$9="VENDA"),0)</f>
        <v>0</v>
      </c>
      <c r="BG81" s="285" cm="1">
        <f t="array" ref="BG81">_xlfn._xlws.FILTER(CLIENTES!$E133:$BO133,(CLIENTES!$E$5:$BO$5=BG$5)*(CLIENTES!$E$9:$BO$9="VENDA"),0)</f>
        <v>0</v>
      </c>
      <c r="BH81" s="285" cm="1">
        <f t="array" ref="BH81">_xlfn._xlws.FILTER(CLIENTES!$E133:$BO133,(CLIENTES!$E$5:$BO$5=BH$5)*(CLIENTES!$E$9:$BO$9="VENDA"),0)</f>
        <v>0</v>
      </c>
      <c r="BI81" s="285" cm="1">
        <f t="array" ref="BI81">_xlfn._xlws.FILTER(CLIENTES!$E133:$BO133,(CLIENTES!$E$5:$BO$5=BI$5)*(CLIENTES!$E$9:$BO$9="VENDA"),0)</f>
        <v>0</v>
      </c>
      <c r="BJ81" s="285" cm="1">
        <f t="array" ref="BJ81">_xlfn._xlws.FILTER(CLIENTES!$E133:$BO133,(CLIENTES!$E$5:$BO$5=BJ$5)*(CLIENTES!$E$9:$BO$9="VENDA"),0)</f>
        <v>0</v>
      </c>
      <c r="BK81" s="285" cm="1">
        <f t="array" ref="BK81">_xlfn._xlws.FILTER(CLIENTES!$E133:$BO133,(CLIENTES!$E$5:$BO$5=BK$5)*(CLIENTES!$E$9:$BO$9="VENDA"),0)</f>
        <v>0</v>
      </c>
      <c r="BL81" s="285" cm="1">
        <f t="array" ref="BL81">_xlfn._xlws.FILTER(CLIENTES!$E133:$BO133,(CLIENTES!$E$5:$BO$5=BL$5)*(CLIENTES!$E$9:$BO$9="VENDA"),0)</f>
        <v>0</v>
      </c>
    </row>
    <row r="82" spans="2:84" ht="13.5" thickBot="1" x14ac:dyDescent="0.25">
      <c r="B82" s="326"/>
      <c r="C82" s="23" t="s">
        <v>9</v>
      </c>
      <c r="D82" s="27">
        <f>SUM(E82:BL82)</f>
        <v>0</v>
      </c>
      <c r="E82" s="285" cm="1">
        <f t="array" ref="E82">_xlfn._xlws.FILTER(CLIENTES!$E134:$BO134,(CLIENTES!$E$5:$BO$5=E$5)*(CLIENTES!$E$9:$BO$9="VENDA"),0)</f>
        <v>0</v>
      </c>
      <c r="F82" s="285" cm="1">
        <f t="array" ref="F82">_xlfn._xlws.FILTER(CLIENTES!$E134:$BO134,(CLIENTES!$E$5:$BO$5=F$5)*(CLIENTES!$E$9:$BO$9="VENDA"),0)</f>
        <v>0</v>
      </c>
      <c r="G82" s="285" cm="1">
        <f t="array" ref="G82">_xlfn._xlws.FILTER(CLIENTES!$E134:$BO134,(CLIENTES!$E$5:$BO$5=G$5)*(CLIENTES!$E$9:$BO$9="VENDA"),0)</f>
        <v>0</v>
      </c>
      <c r="H82" s="285" cm="1">
        <f t="array" ref="H82">_xlfn._xlws.FILTER(CLIENTES!$E134:$BO134,(CLIENTES!$E$5:$BO$5=H$5)*(CLIENTES!$E$9:$BO$9="VENDA"),0)</f>
        <v>0</v>
      </c>
      <c r="I82" s="285" cm="1">
        <f t="array" ref="I82">_xlfn._xlws.FILTER(CLIENTES!$E134:$BO134,(CLIENTES!$E$5:$BO$5=I$5)*(CLIENTES!$E$9:$BO$9="VENDA"),0)</f>
        <v>0</v>
      </c>
      <c r="J82" s="285" cm="1">
        <f t="array" ref="J82">_xlfn._xlws.FILTER(CLIENTES!$E134:$BO134,(CLIENTES!$E$5:$BO$5=J$5)*(CLIENTES!$E$9:$BO$9="VENDA"),0)</f>
        <v>0</v>
      </c>
      <c r="K82" s="285" cm="1">
        <f t="array" ref="K82">_xlfn._xlws.FILTER(CLIENTES!$E134:$BO134,(CLIENTES!$E$5:$BO$5=K$5)*(CLIENTES!$E$9:$BO$9="VENDA"),0)</f>
        <v>0</v>
      </c>
      <c r="L82" s="285" cm="1">
        <f t="array" ref="L82">_xlfn._xlws.FILTER(CLIENTES!$E134:$BO134,(CLIENTES!$E$5:$BO$5=L$5)*(CLIENTES!$E$9:$BO$9="VENDA"),0)</f>
        <v>0</v>
      </c>
      <c r="M82" s="285" cm="1">
        <f t="array" ref="M82">_xlfn._xlws.FILTER(CLIENTES!$E134:$BO134,(CLIENTES!$E$5:$BO$5=M$5)*(CLIENTES!$E$9:$BO$9="VENDA"),0)</f>
        <v>0</v>
      </c>
      <c r="N82" s="285" cm="1">
        <f t="array" ref="N82">_xlfn._xlws.FILTER(CLIENTES!$E134:$BO134,(CLIENTES!$E$5:$BO$5=N$5)*(CLIENTES!$E$9:$BO$9="VENDA"),0)</f>
        <v>0</v>
      </c>
      <c r="O82" s="285" cm="1">
        <f t="array" ref="O82">_xlfn._xlws.FILTER(CLIENTES!$E134:$BO134,(CLIENTES!$E$5:$BO$5=O$5)*(CLIENTES!$E$9:$BO$9="VENDA"),0)</f>
        <v>0</v>
      </c>
      <c r="P82" s="285" cm="1">
        <f t="array" ref="P82">_xlfn._xlws.FILTER(CLIENTES!$E134:$BO134,(CLIENTES!$E$5:$BO$5=P$5)*(CLIENTES!$E$9:$BO$9="VENDA"),0)</f>
        <v>0</v>
      </c>
      <c r="Q82" s="285" cm="1">
        <f t="array" ref="Q82">_xlfn._xlws.FILTER(CLIENTES!$E134:$BO134,(CLIENTES!$E$5:$BO$5=Q$5)*(CLIENTES!$E$9:$BO$9="VENDA"),0)</f>
        <v>0</v>
      </c>
      <c r="R82" s="285" cm="1">
        <f t="array" ref="R82">_xlfn._xlws.FILTER(CLIENTES!$E134:$BO134,(CLIENTES!$E$5:$BO$5=R$5)*(CLIENTES!$E$9:$BO$9="VENDA"),0)</f>
        <v>0</v>
      </c>
      <c r="S82" s="285" cm="1">
        <f t="array" ref="S82">_xlfn._xlws.FILTER(CLIENTES!$E134:$BO134,(CLIENTES!$E$5:$BO$5=S$5)*(CLIENTES!$E$9:$BO$9="VENDA"),0)</f>
        <v>0</v>
      </c>
      <c r="T82" s="285" cm="1">
        <f t="array" ref="T82">_xlfn._xlws.FILTER(CLIENTES!$E134:$BO134,(CLIENTES!$E$5:$BO$5=T$5)*(CLIENTES!$E$9:$BO$9="VENDA"),0)</f>
        <v>0</v>
      </c>
      <c r="U82" s="285" cm="1">
        <f t="array" ref="U82">_xlfn._xlws.FILTER(CLIENTES!$E134:$BO134,(CLIENTES!$E$5:$BO$5=U$5)*(CLIENTES!$E$9:$BO$9="VENDA"),0)</f>
        <v>0</v>
      </c>
      <c r="V82" s="285" cm="1">
        <f t="array" ref="V82">_xlfn._xlws.FILTER(CLIENTES!$E134:$BO134,(CLIENTES!$E$5:$BO$5=V$5)*(CLIENTES!$E$9:$BO$9="VENDA"),0)</f>
        <v>0</v>
      </c>
      <c r="W82" s="285" cm="1">
        <f t="array" ref="W82">_xlfn._xlws.FILTER(CLIENTES!$E134:$BO134,(CLIENTES!$E$5:$BO$5=W$5)*(CLIENTES!$E$9:$BO$9="VENDA"),0)</f>
        <v>0</v>
      </c>
      <c r="X82" s="285" cm="1">
        <f t="array" ref="X82">_xlfn._xlws.FILTER(CLIENTES!$E134:$BO134,(CLIENTES!$E$5:$BO$5=X$5)*(CLIENTES!$E$9:$BO$9="VENDA"),0)</f>
        <v>0</v>
      </c>
      <c r="Y82" s="285" cm="1">
        <f t="array" ref="Y82">_xlfn._xlws.FILTER(CLIENTES!$E134:$BO134,(CLIENTES!$E$5:$BO$5=Y$5)*(CLIENTES!$E$9:$BO$9="VENDA"),0)</f>
        <v>0</v>
      </c>
      <c r="Z82" s="285" cm="1">
        <f t="array" ref="Z82">_xlfn._xlws.FILTER(CLIENTES!$E134:$BO134,(CLIENTES!$E$5:$BO$5=Z$5)*(CLIENTES!$E$9:$BO$9="VENDA"),0)</f>
        <v>0</v>
      </c>
      <c r="AA82" s="285" cm="1">
        <f t="array" ref="AA82">_xlfn._xlws.FILTER(CLIENTES!$E134:$BO134,(CLIENTES!$E$5:$BO$5=AA$5)*(CLIENTES!$E$9:$BO$9="VENDA"),0)</f>
        <v>0</v>
      </c>
      <c r="AB82" s="285" cm="1">
        <f t="array" ref="AB82">_xlfn._xlws.FILTER(CLIENTES!$E134:$BO134,(CLIENTES!$E$5:$BO$5=AB$5)*(CLIENTES!$E$9:$BO$9="VENDA"),0)</f>
        <v>0</v>
      </c>
      <c r="AC82" s="285" cm="1">
        <f t="array" ref="AC82">_xlfn._xlws.FILTER(CLIENTES!$E134:$BO134,(CLIENTES!$E$5:$BO$5=AC$5)*(CLIENTES!$E$9:$BO$9="VENDA"),0)</f>
        <v>0</v>
      </c>
      <c r="AD82" s="285" cm="1">
        <f t="array" ref="AD82">_xlfn._xlws.FILTER(CLIENTES!$E134:$BO134,(CLIENTES!$E$5:$BO$5=AD$5)*(CLIENTES!$E$9:$BO$9="VENDA"),0)</f>
        <v>0</v>
      </c>
      <c r="AE82" s="285" cm="1">
        <f t="array" ref="AE82">_xlfn._xlws.FILTER(CLIENTES!$E134:$BO134,(CLIENTES!$E$5:$BO$5=AE$5)*(CLIENTES!$E$9:$BO$9="VENDA"),0)</f>
        <v>0</v>
      </c>
      <c r="AF82" s="285" cm="1">
        <f t="array" ref="AF82">_xlfn._xlws.FILTER(CLIENTES!$E134:$BO134,(CLIENTES!$E$5:$BO$5=AF$5)*(CLIENTES!$E$9:$BO$9="VENDA"),0)</f>
        <v>0</v>
      </c>
      <c r="AG82" s="285" cm="1">
        <f t="array" ref="AG82">_xlfn._xlws.FILTER(CLIENTES!$E134:$BO134,(CLIENTES!$E$5:$BO$5=AG$5)*(CLIENTES!$E$9:$BO$9="VENDA"),0)</f>
        <v>0</v>
      </c>
      <c r="AH82" s="285" cm="1">
        <f t="array" ref="AH82">_xlfn._xlws.FILTER(CLIENTES!$E134:$BO134,(CLIENTES!$E$5:$BO$5=AH$5)*(CLIENTES!$E$9:$BO$9="VENDA"),0)</f>
        <v>0</v>
      </c>
      <c r="AI82" s="285" cm="1">
        <f t="array" ref="AI82">_xlfn._xlws.FILTER(CLIENTES!$E134:$BO134,(CLIENTES!$E$5:$BO$5=AI$5)*(CLIENTES!$E$9:$BO$9="VENDA"),0)</f>
        <v>0</v>
      </c>
      <c r="AJ82" s="285" cm="1">
        <f t="array" ref="AJ82">_xlfn._xlws.FILTER(CLIENTES!$E134:$BO134,(CLIENTES!$E$5:$BO$5=AJ$5)*(CLIENTES!$E$9:$BO$9="VENDA"),0)</f>
        <v>0</v>
      </c>
      <c r="AK82" s="285" cm="1">
        <f t="array" ref="AK82">_xlfn._xlws.FILTER(CLIENTES!$E134:$BO134,(CLIENTES!$E$5:$BO$5=AK$5)*(CLIENTES!$E$9:$BO$9="VENDA"),0)</f>
        <v>0</v>
      </c>
      <c r="AL82" s="285" cm="1">
        <f t="array" ref="AL82">_xlfn._xlws.FILTER(CLIENTES!$E134:$BO134,(CLIENTES!$E$5:$BO$5=AL$5)*(CLIENTES!$E$9:$BO$9="VENDA"),0)</f>
        <v>0</v>
      </c>
      <c r="AM82" s="285" cm="1">
        <f t="array" ref="AM82">_xlfn._xlws.FILTER(CLIENTES!$E134:$BO134,(CLIENTES!$E$5:$BO$5=AM$5)*(CLIENTES!$E$9:$BO$9="VENDA"),0)</f>
        <v>0</v>
      </c>
      <c r="AN82" s="285" cm="1">
        <f t="array" ref="AN82">_xlfn._xlws.FILTER(CLIENTES!$E134:$BO134,(CLIENTES!$E$5:$BO$5=AN$5)*(CLIENTES!$E$9:$BO$9="VENDA"),0)</f>
        <v>0</v>
      </c>
      <c r="AO82" s="285" cm="1">
        <f t="array" ref="AO82">_xlfn._xlws.FILTER(CLIENTES!$E134:$BO134,(CLIENTES!$E$5:$BO$5=AO$5)*(CLIENTES!$E$9:$BO$9="VENDA"),0)</f>
        <v>0</v>
      </c>
      <c r="AP82" s="285" cm="1">
        <f t="array" ref="AP82">_xlfn._xlws.FILTER(CLIENTES!$E134:$BO134,(CLIENTES!$E$5:$BO$5=AP$5)*(CLIENTES!$E$9:$BO$9="VENDA"),0)</f>
        <v>0</v>
      </c>
      <c r="AQ82" s="285" cm="1">
        <f t="array" ref="AQ82">_xlfn._xlws.FILTER(CLIENTES!$E134:$BO134,(CLIENTES!$E$5:$BO$5=AQ$5)*(CLIENTES!$E$9:$BO$9="VENDA"),0)</f>
        <v>0</v>
      </c>
      <c r="AR82" s="285" cm="1">
        <f t="array" ref="AR82">_xlfn._xlws.FILTER(CLIENTES!$E134:$BO134,(CLIENTES!$E$5:$BO$5=AR$5)*(CLIENTES!$E$9:$BO$9="VENDA"),0)</f>
        <v>0</v>
      </c>
      <c r="AS82" s="285" cm="1">
        <f t="array" ref="AS82">_xlfn._xlws.FILTER(CLIENTES!$E134:$BO134,(CLIENTES!$E$5:$BO$5=AS$5)*(CLIENTES!$E$9:$BO$9="VENDA"),0)</f>
        <v>0</v>
      </c>
      <c r="AT82" s="285" cm="1">
        <f t="array" ref="AT82">_xlfn._xlws.FILTER(CLIENTES!$E134:$BO134,(CLIENTES!$E$5:$BO$5=AT$5)*(CLIENTES!$E$9:$BO$9="VENDA"),0)</f>
        <v>0</v>
      </c>
      <c r="AU82" s="285" cm="1">
        <f t="array" ref="AU82">_xlfn._xlws.FILTER(CLIENTES!$E134:$BO134,(CLIENTES!$E$5:$BO$5=AU$5)*(CLIENTES!$E$9:$BO$9="VENDA"),0)</f>
        <v>0</v>
      </c>
      <c r="AV82" s="285" cm="1">
        <f t="array" ref="AV82">_xlfn._xlws.FILTER(CLIENTES!$E134:$BO134,(CLIENTES!$E$5:$BO$5=AV$5)*(CLIENTES!$E$9:$BO$9="VENDA"),0)</f>
        <v>0</v>
      </c>
      <c r="AW82" s="285" cm="1">
        <f t="array" ref="AW82">_xlfn._xlws.FILTER(CLIENTES!$E134:$BO134,(CLIENTES!$E$5:$BO$5=AW$5)*(CLIENTES!$E$9:$BO$9="VENDA"),0)</f>
        <v>0</v>
      </c>
      <c r="AX82" s="285" cm="1">
        <f t="array" ref="AX82">_xlfn._xlws.FILTER(CLIENTES!$E134:$BO134,(CLIENTES!$E$5:$BO$5=AX$5)*(CLIENTES!$E$9:$BO$9="VENDA"),0)</f>
        <v>0</v>
      </c>
      <c r="AY82" s="285" cm="1">
        <f t="array" ref="AY82">_xlfn._xlws.FILTER(CLIENTES!$E134:$BO134,(CLIENTES!$E$5:$BO$5=AY$5)*(CLIENTES!$E$9:$BO$9="VENDA"),0)</f>
        <v>0</v>
      </c>
      <c r="AZ82" s="285" cm="1">
        <f t="array" ref="AZ82">_xlfn._xlws.FILTER(CLIENTES!$E134:$BO134,(CLIENTES!$E$5:$BO$5=AZ$5)*(CLIENTES!$E$9:$BO$9="VENDA"),0)</f>
        <v>0</v>
      </c>
      <c r="BA82" s="285" cm="1">
        <f t="array" ref="BA82">_xlfn._xlws.FILTER(CLIENTES!$E134:$BO134,(CLIENTES!$E$5:$BO$5=BA$5)*(CLIENTES!$E$9:$BO$9="VENDA"),0)</f>
        <v>0</v>
      </c>
      <c r="BB82" s="285" cm="1">
        <f t="array" ref="BB82">_xlfn._xlws.FILTER(CLIENTES!$E134:$BO134,(CLIENTES!$E$5:$BO$5=BB$5)*(CLIENTES!$E$9:$BO$9="VENDA"),0)</f>
        <v>0</v>
      </c>
      <c r="BC82" s="285" cm="1">
        <f t="array" ref="BC82">_xlfn._xlws.FILTER(CLIENTES!$E134:$BO134,(CLIENTES!$E$5:$BO$5=BC$5)*(CLIENTES!$E$9:$BO$9="VENDA"),0)</f>
        <v>0</v>
      </c>
      <c r="BD82" s="285" cm="1">
        <f t="array" ref="BD82">_xlfn._xlws.FILTER(CLIENTES!$E134:$BO134,(CLIENTES!$E$5:$BO$5=BD$5)*(CLIENTES!$E$9:$BO$9="VENDA"),0)</f>
        <v>0</v>
      </c>
      <c r="BE82" s="285" cm="1">
        <f t="array" ref="BE82">_xlfn._xlws.FILTER(CLIENTES!$E134:$BO134,(CLIENTES!$E$5:$BO$5=BE$5)*(CLIENTES!$E$9:$BO$9="VENDA"),0)</f>
        <v>0</v>
      </c>
      <c r="BF82" s="285" cm="1">
        <f t="array" ref="BF82">_xlfn._xlws.FILTER(CLIENTES!$E134:$BO134,(CLIENTES!$E$5:$BO$5=BF$5)*(CLIENTES!$E$9:$BO$9="VENDA"),0)</f>
        <v>0</v>
      </c>
      <c r="BG82" s="285" cm="1">
        <f t="array" ref="BG82">_xlfn._xlws.FILTER(CLIENTES!$E134:$BO134,(CLIENTES!$E$5:$BO$5=BG$5)*(CLIENTES!$E$9:$BO$9="VENDA"),0)</f>
        <v>0</v>
      </c>
      <c r="BH82" s="285" cm="1">
        <f t="array" ref="BH82">_xlfn._xlws.FILTER(CLIENTES!$E134:$BO134,(CLIENTES!$E$5:$BO$5=BH$5)*(CLIENTES!$E$9:$BO$9="VENDA"),0)</f>
        <v>0</v>
      </c>
      <c r="BI82" s="285" cm="1">
        <f t="array" ref="BI82">_xlfn._xlws.FILTER(CLIENTES!$E134:$BO134,(CLIENTES!$E$5:$BO$5=BI$5)*(CLIENTES!$E$9:$BO$9="VENDA"),0)</f>
        <v>0</v>
      </c>
      <c r="BJ82" s="285" cm="1">
        <f t="array" ref="BJ82">_xlfn._xlws.FILTER(CLIENTES!$E134:$BO134,(CLIENTES!$E$5:$BO$5=BJ$5)*(CLIENTES!$E$9:$BO$9="VENDA"),0)</f>
        <v>0</v>
      </c>
      <c r="BK82" s="285" cm="1">
        <f t="array" ref="BK82">_xlfn._xlws.FILTER(CLIENTES!$E134:$BO134,(CLIENTES!$E$5:$BO$5=BK$5)*(CLIENTES!$E$9:$BO$9="VENDA"),0)</f>
        <v>0</v>
      </c>
      <c r="BL82" s="285" cm="1">
        <f t="array" ref="BL82">_xlfn._xlws.FILTER(CLIENTES!$E134:$BO134,(CLIENTES!$E$5:$BO$5=BL$5)*(CLIENTES!$E$9:$BO$9="VENDA"),0)</f>
        <v>0</v>
      </c>
    </row>
    <row r="83" spans="2:84" x14ac:dyDescent="0.2">
      <c r="B83" s="326"/>
      <c r="C83" s="23" t="s">
        <v>10</v>
      </c>
      <c r="D83" s="72">
        <v>2E-3</v>
      </c>
      <c r="E83" s="200">
        <f>CLIENTES!F136</f>
        <v>2E-3</v>
      </c>
      <c r="F83" s="200">
        <f>CLIENTES!H136</f>
        <v>2E-3</v>
      </c>
      <c r="G83" s="200">
        <f>CLIENTES!I136</f>
        <v>2E-3</v>
      </c>
      <c r="H83" s="200">
        <f>CLIENTES!J136</f>
        <v>2E-3</v>
      </c>
      <c r="I83" s="200">
        <f>CLIENTES!K136</f>
        <v>2E-3</v>
      </c>
      <c r="J83" s="200">
        <f>CLIENTES!L136</f>
        <v>2E-3</v>
      </c>
      <c r="K83" s="200">
        <f>CLIENTES!M136</f>
        <v>2E-3</v>
      </c>
      <c r="L83" s="200">
        <f>CLIENTES!N136</f>
        <v>2E-3</v>
      </c>
      <c r="M83" s="200">
        <f>CLIENTES!O136</f>
        <v>2E-3</v>
      </c>
      <c r="N83" s="200">
        <f>CLIENTES!P136</f>
        <v>2E-3</v>
      </c>
      <c r="O83" s="200">
        <f>CLIENTES!Q136</f>
        <v>2E-3</v>
      </c>
      <c r="P83" s="200">
        <f>CLIENTES!R136</f>
        <v>2E-3</v>
      </c>
      <c r="Q83" s="200">
        <f>CLIENTES!S136</f>
        <v>2E-3</v>
      </c>
      <c r="R83" s="200">
        <f>CLIENTES!T136</f>
        <v>2E-3</v>
      </c>
      <c r="S83" s="200">
        <f>CLIENTES!U136</f>
        <v>2E-3</v>
      </c>
      <c r="T83" s="200">
        <f>CLIENTES!V136</f>
        <v>2E-3</v>
      </c>
      <c r="U83" s="200">
        <f>CLIENTES!W136</f>
        <v>2E-3</v>
      </c>
      <c r="V83" s="200">
        <f>CLIENTES!X136</f>
        <v>2E-3</v>
      </c>
      <c r="W83" s="200">
        <f>CLIENTES!Y136</f>
        <v>2E-3</v>
      </c>
      <c r="X83" s="200">
        <f>CLIENTES!Z136</f>
        <v>2E-3</v>
      </c>
      <c r="Y83" s="200">
        <f>CLIENTES!AA136</f>
        <v>2E-3</v>
      </c>
      <c r="Z83" s="200">
        <f>CLIENTES!AB136</f>
        <v>2E-3</v>
      </c>
      <c r="AA83" s="200">
        <f>CLIENTES!AC136</f>
        <v>2E-3</v>
      </c>
      <c r="AB83" s="200">
        <f>CLIENTES!AD136</f>
        <v>2E-3</v>
      </c>
      <c r="AC83" s="200">
        <f>CLIENTES!AE136</f>
        <v>2E-3</v>
      </c>
      <c r="AD83" s="200">
        <f>CLIENTES!AF136</f>
        <v>2E-3</v>
      </c>
      <c r="AE83" s="200">
        <f>CLIENTES!AG136</f>
        <v>2E-3</v>
      </c>
      <c r="AF83" s="200">
        <f>CLIENTES!AH136</f>
        <v>2E-3</v>
      </c>
      <c r="AG83" s="200">
        <f>CLIENTES!AI136</f>
        <v>2E-3</v>
      </c>
      <c r="AH83" s="200">
        <f>CLIENTES!AJ136</f>
        <v>2E-3</v>
      </c>
      <c r="AI83" s="200">
        <f>CLIENTES!AK136</f>
        <v>2E-3</v>
      </c>
      <c r="AJ83" s="200">
        <f>CLIENTES!AL136</f>
        <v>2E-3</v>
      </c>
      <c r="AK83" s="200">
        <f>CLIENTES!AM136</f>
        <v>2E-3</v>
      </c>
      <c r="AL83" s="200">
        <f>CLIENTES!AN136</f>
        <v>2E-3</v>
      </c>
      <c r="AM83" s="200">
        <f>CLIENTES!AO136</f>
        <v>2E-3</v>
      </c>
      <c r="AN83" s="200">
        <f>CLIENTES!AP136</f>
        <v>2E-3</v>
      </c>
      <c r="AO83" s="200">
        <f>CLIENTES!AQ136</f>
        <v>2E-3</v>
      </c>
      <c r="AP83" s="200">
        <f>CLIENTES!AR136</f>
        <v>2E-3</v>
      </c>
      <c r="AQ83" s="200">
        <f>CLIENTES!AS136</f>
        <v>2E-3</v>
      </c>
      <c r="AR83" s="200">
        <f>CLIENTES!AT136</f>
        <v>2E-3</v>
      </c>
      <c r="AS83" s="200">
        <f>CLIENTES!AU136</f>
        <v>2E-3</v>
      </c>
      <c r="AT83" s="200">
        <f>CLIENTES!AV136</f>
        <v>2E-3</v>
      </c>
      <c r="AU83" s="200">
        <f>CLIENTES!AW136</f>
        <v>2E-3</v>
      </c>
      <c r="AV83" s="200">
        <f>CLIENTES!AX136</f>
        <v>2E-3</v>
      </c>
      <c r="AW83" s="200">
        <f>CLIENTES!AY136</f>
        <v>2E-3</v>
      </c>
      <c r="AX83" s="200">
        <f>CLIENTES!AZ136</f>
        <v>2E-3</v>
      </c>
      <c r="AY83" s="200">
        <f>CLIENTES!BA136</f>
        <v>2E-3</v>
      </c>
      <c r="AZ83" s="215">
        <f>CLIENTES!BB136</f>
        <v>2E-3</v>
      </c>
      <c r="BA83" s="200">
        <f>CLIENTES!BC136</f>
        <v>2E-3</v>
      </c>
      <c r="BB83" s="200">
        <f>CLIENTES!BD136</f>
        <v>2E-3</v>
      </c>
      <c r="BC83" s="200">
        <f>CLIENTES!BE136</f>
        <v>2E-3</v>
      </c>
      <c r="BD83" s="200">
        <f>CLIENTES!BF136</f>
        <v>2E-3</v>
      </c>
      <c r="BE83" s="200">
        <f>CLIENTES!BG136</f>
        <v>2E-3</v>
      </c>
      <c r="BF83" s="200">
        <f>CLIENTES!BH136</f>
        <v>2E-3</v>
      </c>
      <c r="BG83" s="200">
        <f>CLIENTES!BI136</f>
        <v>2E-3</v>
      </c>
      <c r="BH83" s="200">
        <f>CLIENTES!BJ136</f>
        <v>2E-3</v>
      </c>
      <c r="BI83" s="200">
        <f>CLIENTES!BK136</f>
        <v>2E-3</v>
      </c>
      <c r="BJ83" s="200">
        <f>CLIENTES!BL136</f>
        <v>2E-3</v>
      </c>
      <c r="BK83" s="200">
        <f>CLIENTES!BM136</f>
        <v>2E-3</v>
      </c>
      <c r="BL83" s="200">
        <f>CLIENTES!BN136</f>
        <v>2E-3</v>
      </c>
    </row>
    <row r="84" spans="2:84" x14ac:dyDescent="0.2">
      <c r="B84" s="326"/>
      <c r="C84" s="58" t="s">
        <v>23</v>
      </c>
      <c r="D84" s="27">
        <f>SUM(E84:BL84)</f>
        <v>2688.3514473853666</v>
      </c>
      <c r="E84" s="139">
        <f>IF((E80+E81-E82)*E83&lt;0,0,(E80+E81-E82)*E83)</f>
        <v>1265.3881776000001</v>
      </c>
      <c r="F84" s="139">
        <f t="shared" ref="F84:BL84" si="34">IF((F80+F81-F82)*F83&lt;0,0,(F80+F81-F82)*F83)</f>
        <v>1422.9632697853663</v>
      </c>
      <c r="G84" s="139">
        <f t="shared" si="34"/>
        <v>0</v>
      </c>
      <c r="H84" s="139">
        <f t="shared" si="34"/>
        <v>0</v>
      </c>
      <c r="I84" s="139">
        <f t="shared" si="34"/>
        <v>0</v>
      </c>
      <c r="J84" s="139">
        <f t="shared" si="34"/>
        <v>0</v>
      </c>
      <c r="K84" s="139">
        <f t="shared" si="34"/>
        <v>0</v>
      </c>
      <c r="L84" s="139">
        <f t="shared" si="34"/>
        <v>0</v>
      </c>
      <c r="M84" s="139">
        <f t="shared" si="34"/>
        <v>0</v>
      </c>
      <c r="N84" s="139">
        <f t="shared" si="34"/>
        <v>0</v>
      </c>
      <c r="O84" s="139">
        <f t="shared" si="34"/>
        <v>0</v>
      </c>
      <c r="P84" s="139">
        <f t="shared" si="34"/>
        <v>0</v>
      </c>
      <c r="Q84" s="139">
        <f t="shared" si="34"/>
        <v>0</v>
      </c>
      <c r="R84" s="139">
        <f t="shared" si="34"/>
        <v>0</v>
      </c>
      <c r="S84" s="139">
        <f t="shared" si="34"/>
        <v>0</v>
      </c>
      <c r="T84" s="139">
        <f t="shared" si="34"/>
        <v>0</v>
      </c>
      <c r="U84" s="139">
        <f t="shared" si="34"/>
        <v>0</v>
      </c>
      <c r="V84" s="139">
        <f t="shared" si="34"/>
        <v>0</v>
      </c>
      <c r="W84" s="139">
        <f t="shared" si="34"/>
        <v>0</v>
      </c>
      <c r="X84" s="139">
        <f t="shared" si="34"/>
        <v>0</v>
      </c>
      <c r="Y84" s="139">
        <f t="shared" si="34"/>
        <v>0</v>
      </c>
      <c r="Z84" s="139">
        <f t="shared" si="34"/>
        <v>0</v>
      </c>
      <c r="AA84" s="139">
        <f t="shared" si="34"/>
        <v>0</v>
      </c>
      <c r="AB84" s="139">
        <f t="shared" si="34"/>
        <v>0</v>
      </c>
      <c r="AC84" s="139">
        <f t="shared" si="34"/>
        <v>0</v>
      </c>
      <c r="AD84" s="139">
        <f t="shared" si="34"/>
        <v>0</v>
      </c>
      <c r="AE84" s="139">
        <f t="shared" si="34"/>
        <v>0</v>
      </c>
      <c r="AF84" s="139">
        <f t="shared" si="34"/>
        <v>0</v>
      </c>
      <c r="AG84" s="139">
        <f t="shared" si="34"/>
        <v>0</v>
      </c>
      <c r="AH84" s="139">
        <f t="shared" si="34"/>
        <v>0</v>
      </c>
      <c r="AI84" s="139">
        <f t="shared" si="34"/>
        <v>0</v>
      </c>
      <c r="AJ84" s="139">
        <f t="shared" si="34"/>
        <v>0</v>
      </c>
      <c r="AK84" s="139">
        <f t="shared" si="34"/>
        <v>0</v>
      </c>
      <c r="AL84" s="139">
        <f t="shared" si="34"/>
        <v>0</v>
      </c>
      <c r="AM84" s="139">
        <f t="shared" si="34"/>
        <v>0</v>
      </c>
      <c r="AN84" s="139">
        <f t="shared" si="34"/>
        <v>0</v>
      </c>
      <c r="AO84" s="139">
        <f t="shared" si="34"/>
        <v>0</v>
      </c>
      <c r="AP84" s="139">
        <f t="shared" si="34"/>
        <v>0</v>
      </c>
      <c r="AQ84" s="139">
        <f t="shared" si="34"/>
        <v>0</v>
      </c>
      <c r="AR84" s="139">
        <f t="shared" si="34"/>
        <v>0</v>
      </c>
      <c r="AS84" s="139">
        <f t="shared" si="34"/>
        <v>0</v>
      </c>
      <c r="AT84" s="139">
        <f t="shared" si="34"/>
        <v>0</v>
      </c>
      <c r="AU84" s="139">
        <f t="shared" si="34"/>
        <v>0</v>
      </c>
      <c r="AV84" s="139">
        <f t="shared" si="34"/>
        <v>0</v>
      </c>
      <c r="AW84" s="139">
        <f t="shared" si="34"/>
        <v>0</v>
      </c>
      <c r="AX84" s="139">
        <f t="shared" si="34"/>
        <v>0</v>
      </c>
      <c r="AY84" s="139">
        <f t="shared" si="34"/>
        <v>0</v>
      </c>
      <c r="AZ84" s="139">
        <f t="shared" si="34"/>
        <v>0</v>
      </c>
      <c r="BA84" s="139">
        <f t="shared" si="34"/>
        <v>0</v>
      </c>
      <c r="BB84" s="139">
        <f t="shared" si="34"/>
        <v>0</v>
      </c>
      <c r="BC84" s="139">
        <f t="shared" si="34"/>
        <v>0</v>
      </c>
      <c r="BD84" s="139">
        <f t="shared" si="34"/>
        <v>0</v>
      </c>
      <c r="BE84" s="139">
        <f t="shared" si="34"/>
        <v>0</v>
      </c>
      <c r="BF84" s="139">
        <f t="shared" si="34"/>
        <v>0</v>
      </c>
      <c r="BG84" s="139">
        <f t="shared" si="34"/>
        <v>0</v>
      </c>
      <c r="BH84" s="139">
        <f t="shared" si="34"/>
        <v>0</v>
      </c>
      <c r="BI84" s="139">
        <f t="shared" si="34"/>
        <v>0</v>
      </c>
      <c r="BJ84" s="139">
        <f t="shared" si="34"/>
        <v>0</v>
      </c>
      <c r="BK84" s="139">
        <f t="shared" si="34"/>
        <v>0</v>
      </c>
      <c r="BL84" s="139">
        <f t="shared" si="34"/>
        <v>0</v>
      </c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</row>
    <row r="85" spans="2:84" ht="13.5" thickBot="1" x14ac:dyDescent="0.25">
      <c r="B85" s="327"/>
      <c r="C85" s="25" t="s">
        <v>22</v>
      </c>
      <c r="D85" s="30">
        <f>SUM(E85:BL85)</f>
        <v>1346864.0751400685</v>
      </c>
      <c r="E85" s="146">
        <f>+E80-E82+E81+E84</f>
        <v>633959.47697760002</v>
      </c>
      <c r="F85" s="146">
        <f t="shared" ref="F85:BL85" si="35">+F80-F82+F81+F84</f>
        <v>712904.59816246852</v>
      </c>
      <c r="G85" s="146">
        <f t="shared" si="35"/>
        <v>0</v>
      </c>
      <c r="H85" s="146">
        <f t="shared" si="35"/>
        <v>0</v>
      </c>
      <c r="I85" s="146">
        <f t="shared" si="35"/>
        <v>0</v>
      </c>
      <c r="J85" s="146">
        <f t="shared" si="35"/>
        <v>0</v>
      </c>
      <c r="K85" s="146">
        <f t="shared" si="35"/>
        <v>0</v>
      </c>
      <c r="L85" s="146">
        <f t="shared" si="35"/>
        <v>0</v>
      </c>
      <c r="M85" s="146">
        <f t="shared" si="35"/>
        <v>0</v>
      </c>
      <c r="N85" s="146">
        <f t="shared" si="35"/>
        <v>0</v>
      </c>
      <c r="O85" s="146">
        <f t="shared" si="35"/>
        <v>0</v>
      </c>
      <c r="P85" s="146">
        <f t="shared" si="35"/>
        <v>0</v>
      </c>
      <c r="Q85" s="146">
        <f t="shared" si="35"/>
        <v>0</v>
      </c>
      <c r="R85" s="146">
        <f t="shared" si="35"/>
        <v>0</v>
      </c>
      <c r="S85" s="146">
        <f t="shared" si="35"/>
        <v>0</v>
      </c>
      <c r="T85" s="146">
        <f t="shared" si="35"/>
        <v>0</v>
      </c>
      <c r="U85" s="146">
        <f t="shared" si="35"/>
        <v>0</v>
      </c>
      <c r="V85" s="146">
        <f t="shared" si="35"/>
        <v>0</v>
      </c>
      <c r="W85" s="146">
        <f t="shared" si="35"/>
        <v>0</v>
      </c>
      <c r="X85" s="146">
        <f t="shared" si="35"/>
        <v>0</v>
      </c>
      <c r="Y85" s="146">
        <f t="shared" si="35"/>
        <v>0</v>
      </c>
      <c r="Z85" s="146">
        <f t="shared" si="35"/>
        <v>0</v>
      </c>
      <c r="AA85" s="146">
        <f t="shared" si="35"/>
        <v>0</v>
      </c>
      <c r="AB85" s="146">
        <f t="shared" si="35"/>
        <v>0</v>
      </c>
      <c r="AC85" s="146">
        <f t="shared" si="35"/>
        <v>0</v>
      </c>
      <c r="AD85" s="146">
        <f t="shared" si="35"/>
        <v>0</v>
      </c>
      <c r="AE85" s="146">
        <f t="shared" si="35"/>
        <v>0</v>
      </c>
      <c r="AF85" s="146">
        <f t="shared" si="35"/>
        <v>0</v>
      </c>
      <c r="AG85" s="146">
        <f t="shared" si="35"/>
        <v>0</v>
      </c>
      <c r="AH85" s="146">
        <f t="shared" si="35"/>
        <v>0</v>
      </c>
      <c r="AI85" s="146">
        <f t="shared" si="35"/>
        <v>0</v>
      </c>
      <c r="AJ85" s="146">
        <f t="shared" si="35"/>
        <v>0</v>
      </c>
      <c r="AK85" s="146">
        <f t="shared" si="35"/>
        <v>0</v>
      </c>
      <c r="AL85" s="146">
        <f t="shared" si="35"/>
        <v>0</v>
      </c>
      <c r="AM85" s="146">
        <f t="shared" si="35"/>
        <v>0</v>
      </c>
      <c r="AN85" s="146">
        <f t="shared" si="35"/>
        <v>0</v>
      </c>
      <c r="AO85" s="146">
        <f t="shared" si="35"/>
        <v>0</v>
      </c>
      <c r="AP85" s="146">
        <f t="shared" si="35"/>
        <v>0</v>
      </c>
      <c r="AQ85" s="146">
        <f t="shared" si="35"/>
        <v>0</v>
      </c>
      <c r="AR85" s="146">
        <f t="shared" si="35"/>
        <v>0</v>
      </c>
      <c r="AS85" s="146">
        <f t="shared" si="35"/>
        <v>0</v>
      </c>
      <c r="AT85" s="146">
        <f t="shared" si="35"/>
        <v>0</v>
      </c>
      <c r="AU85" s="146">
        <f t="shared" si="35"/>
        <v>0</v>
      </c>
      <c r="AV85" s="146">
        <f t="shared" si="35"/>
        <v>0</v>
      </c>
      <c r="AW85" s="146">
        <f t="shared" si="35"/>
        <v>0</v>
      </c>
      <c r="AX85" s="146">
        <f t="shared" si="35"/>
        <v>0</v>
      </c>
      <c r="AY85" s="146">
        <f t="shared" si="35"/>
        <v>0</v>
      </c>
      <c r="AZ85" s="146">
        <f t="shared" si="35"/>
        <v>0</v>
      </c>
      <c r="BA85" s="146">
        <f t="shared" si="35"/>
        <v>0</v>
      </c>
      <c r="BB85" s="146">
        <f t="shared" si="35"/>
        <v>0</v>
      </c>
      <c r="BC85" s="146">
        <f t="shared" si="35"/>
        <v>0</v>
      </c>
      <c r="BD85" s="146">
        <f t="shared" si="35"/>
        <v>0</v>
      </c>
      <c r="BE85" s="146">
        <f t="shared" si="35"/>
        <v>0</v>
      </c>
      <c r="BF85" s="146">
        <f t="shared" si="35"/>
        <v>0</v>
      </c>
      <c r="BG85" s="146">
        <f t="shared" si="35"/>
        <v>0</v>
      </c>
      <c r="BH85" s="146">
        <f t="shared" si="35"/>
        <v>0</v>
      </c>
      <c r="BI85" s="146">
        <f t="shared" si="35"/>
        <v>0</v>
      </c>
      <c r="BJ85" s="146">
        <f t="shared" si="35"/>
        <v>0</v>
      </c>
      <c r="BK85" s="146">
        <f t="shared" si="35"/>
        <v>0</v>
      </c>
      <c r="BL85" s="146">
        <f t="shared" si="35"/>
        <v>0</v>
      </c>
    </row>
    <row r="86" spans="2:84" ht="13.5" thickBot="1" x14ac:dyDescent="0.25">
      <c r="B86" s="325">
        <v>44044</v>
      </c>
      <c r="C86" s="62" t="s">
        <v>6</v>
      </c>
      <c r="D86" s="31">
        <f>SUM(E86:BL86)</f>
        <v>95000</v>
      </c>
      <c r="E86" s="285" cm="1">
        <f t="array" ref="E86">_xlfn._xlws.FILTER(CLIENTES!$E141:$BO141,(CLIENTES!$E$5:$BO$5=E$5)*(CLIENTES!$E$9:$BO$9="VENDA"),0)</f>
        <v>45000</v>
      </c>
      <c r="F86" s="285" cm="1">
        <f t="array" ref="F86">_xlfn._xlws.FILTER(CLIENTES!$E141:$BO141,(CLIENTES!$E$5:$BO$5=F$5)*(CLIENTES!$E$9:$BO$9="VENDA"),0)</f>
        <v>50000</v>
      </c>
      <c r="G86" s="285" cm="1">
        <f t="array" ref="G86">_xlfn._xlws.FILTER(CLIENTES!$E141:$BO141,(CLIENTES!$E$5:$BO$5=G$5)*(CLIENTES!$E$9:$BO$9="VENDA"),0)</f>
        <v>0</v>
      </c>
      <c r="H86" s="285" cm="1">
        <f t="array" ref="H86">_xlfn._xlws.FILTER(CLIENTES!$E141:$BO141,(CLIENTES!$E$5:$BO$5=H$5)*(CLIENTES!$E$9:$BO$9="VENDA"),0)</f>
        <v>0</v>
      </c>
      <c r="I86" s="285" cm="1">
        <f t="array" ref="I86">_xlfn._xlws.FILTER(CLIENTES!$E141:$BO141,(CLIENTES!$E$5:$BO$5=I$5)*(CLIENTES!$E$9:$BO$9="VENDA"),0)</f>
        <v>0</v>
      </c>
      <c r="J86" s="285" cm="1">
        <f t="array" ref="J86">_xlfn._xlws.FILTER(CLIENTES!$E141:$BO141,(CLIENTES!$E$5:$BO$5=J$5)*(CLIENTES!$E$9:$BO$9="VENDA"),0)</f>
        <v>0</v>
      </c>
      <c r="K86" s="285" cm="1">
        <f t="array" ref="K86">_xlfn._xlws.FILTER(CLIENTES!$E141:$BO141,(CLIENTES!$E$5:$BO$5=K$5)*(CLIENTES!$E$9:$BO$9="VENDA"),0)</f>
        <v>0</v>
      </c>
      <c r="L86" s="285" cm="1">
        <f t="array" ref="L86">_xlfn._xlws.FILTER(CLIENTES!$E141:$BO141,(CLIENTES!$E$5:$BO$5=L$5)*(CLIENTES!$E$9:$BO$9="VENDA"),0)</f>
        <v>0</v>
      </c>
      <c r="M86" s="285" cm="1">
        <f t="array" ref="M86">_xlfn._xlws.FILTER(CLIENTES!$E141:$BO141,(CLIENTES!$E$5:$BO$5=M$5)*(CLIENTES!$E$9:$BO$9="VENDA"),0)</f>
        <v>0</v>
      </c>
      <c r="N86" s="285" cm="1">
        <f t="array" ref="N86">_xlfn._xlws.FILTER(CLIENTES!$E141:$BO141,(CLIENTES!$E$5:$BO$5=N$5)*(CLIENTES!$E$9:$BO$9="VENDA"),0)</f>
        <v>0</v>
      </c>
      <c r="O86" s="285" cm="1">
        <f t="array" ref="O86">_xlfn._xlws.FILTER(CLIENTES!$E141:$BO141,(CLIENTES!$E$5:$BO$5=O$5)*(CLIENTES!$E$9:$BO$9="VENDA"),0)</f>
        <v>0</v>
      </c>
      <c r="P86" s="285" cm="1">
        <f t="array" ref="P86">_xlfn._xlws.FILTER(CLIENTES!$E141:$BO141,(CLIENTES!$E$5:$BO$5=P$5)*(CLIENTES!$E$9:$BO$9="VENDA"),0)</f>
        <v>0</v>
      </c>
      <c r="Q86" s="285" cm="1">
        <f t="array" ref="Q86">_xlfn._xlws.FILTER(CLIENTES!$E141:$BO141,(CLIENTES!$E$5:$BO$5=Q$5)*(CLIENTES!$E$9:$BO$9="VENDA"),0)</f>
        <v>0</v>
      </c>
      <c r="R86" s="285" cm="1">
        <f t="array" ref="R86">_xlfn._xlws.FILTER(CLIENTES!$E141:$BO141,(CLIENTES!$E$5:$BO$5=R$5)*(CLIENTES!$E$9:$BO$9="VENDA"),0)</f>
        <v>0</v>
      </c>
      <c r="S86" s="285" cm="1">
        <f t="array" ref="S86">_xlfn._xlws.FILTER(CLIENTES!$E141:$BO141,(CLIENTES!$E$5:$BO$5=S$5)*(CLIENTES!$E$9:$BO$9="VENDA"),0)</f>
        <v>0</v>
      </c>
      <c r="T86" s="285" cm="1">
        <f t="array" ref="T86">_xlfn._xlws.FILTER(CLIENTES!$E141:$BO141,(CLIENTES!$E$5:$BO$5=T$5)*(CLIENTES!$E$9:$BO$9="VENDA"),0)</f>
        <v>0</v>
      </c>
      <c r="U86" s="285" cm="1">
        <f t="array" ref="U86">_xlfn._xlws.FILTER(CLIENTES!$E141:$BO141,(CLIENTES!$E$5:$BO$5=U$5)*(CLIENTES!$E$9:$BO$9="VENDA"),0)</f>
        <v>0</v>
      </c>
      <c r="V86" s="285" cm="1">
        <f t="array" ref="V86">_xlfn._xlws.FILTER(CLIENTES!$E141:$BO141,(CLIENTES!$E$5:$BO$5=V$5)*(CLIENTES!$E$9:$BO$9="VENDA"),0)</f>
        <v>0</v>
      </c>
      <c r="W86" s="285" cm="1">
        <f t="array" ref="W86">_xlfn._xlws.FILTER(CLIENTES!$E141:$BO141,(CLIENTES!$E$5:$BO$5=W$5)*(CLIENTES!$E$9:$BO$9="VENDA"),0)</f>
        <v>0</v>
      </c>
      <c r="X86" s="285" cm="1">
        <f t="array" ref="X86">_xlfn._xlws.FILTER(CLIENTES!$E141:$BO141,(CLIENTES!$E$5:$BO$5=X$5)*(CLIENTES!$E$9:$BO$9="VENDA"),0)</f>
        <v>0</v>
      </c>
      <c r="Y86" s="285" cm="1">
        <f t="array" ref="Y86">_xlfn._xlws.FILTER(CLIENTES!$E141:$BO141,(CLIENTES!$E$5:$BO$5=Y$5)*(CLIENTES!$E$9:$BO$9="VENDA"),0)</f>
        <v>0</v>
      </c>
      <c r="Z86" s="285" cm="1">
        <f t="array" ref="Z86">_xlfn._xlws.FILTER(CLIENTES!$E141:$BO141,(CLIENTES!$E$5:$BO$5=Z$5)*(CLIENTES!$E$9:$BO$9="VENDA"),0)</f>
        <v>0</v>
      </c>
      <c r="AA86" s="285" cm="1">
        <f t="array" ref="AA86">_xlfn._xlws.FILTER(CLIENTES!$E141:$BO141,(CLIENTES!$E$5:$BO$5=AA$5)*(CLIENTES!$E$9:$BO$9="VENDA"),0)</f>
        <v>0</v>
      </c>
      <c r="AB86" s="285" cm="1">
        <f t="array" ref="AB86">_xlfn._xlws.FILTER(CLIENTES!$E141:$BO141,(CLIENTES!$E$5:$BO$5=AB$5)*(CLIENTES!$E$9:$BO$9="VENDA"),0)</f>
        <v>0</v>
      </c>
      <c r="AC86" s="285" cm="1">
        <f t="array" ref="AC86">_xlfn._xlws.FILTER(CLIENTES!$E141:$BO141,(CLIENTES!$E$5:$BO$5=AC$5)*(CLIENTES!$E$9:$BO$9="VENDA"),0)</f>
        <v>0</v>
      </c>
      <c r="AD86" s="285" cm="1">
        <f t="array" ref="AD86">_xlfn._xlws.FILTER(CLIENTES!$E141:$BO141,(CLIENTES!$E$5:$BO$5=AD$5)*(CLIENTES!$E$9:$BO$9="VENDA"),0)</f>
        <v>0</v>
      </c>
      <c r="AE86" s="285" cm="1">
        <f t="array" ref="AE86">_xlfn._xlws.FILTER(CLIENTES!$E141:$BO141,(CLIENTES!$E$5:$BO$5=AE$5)*(CLIENTES!$E$9:$BO$9="VENDA"),0)</f>
        <v>0</v>
      </c>
      <c r="AF86" s="285" cm="1">
        <f t="array" ref="AF86">_xlfn._xlws.FILTER(CLIENTES!$E141:$BO141,(CLIENTES!$E$5:$BO$5=AF$5)*(CLIENTES!$E$9:$BO$9="VENDA"),0)</f>
        <v>0</v>
      </c>
      <c r="AG86" s="285" cm="1">
        <f t="array" ref="AG86">_xlfn._xlws.FILTER(CLIENTES!$E141:$BO141,(CLIENTES!$E$5:$BO$5=AG$5)*(CLIENTES!$E$9:$BO$9="VENDA"),0)</f>
        <v>0</v>
      </c>
      <c r="AH86" s="285" cm="1">
        <f t="array" ref="AH86">_xlfn._xlws.FILTER(CLIENTES!$E141:$BO141,(CLIENTES!$E$5:$BO$5=AH$5)*(CLIENTES!$E$9:$BO$9="VENDA"),0)</f>
        <v>0</v>
      </c>
      <c r="AI86" s="285" cm="1">
        <f t="array" ref="AI86">_xlfn._xlws.FILTER(CLIENTES!$E141:$BO141,(CLIENTES!$E$5:$BO$5=AI$5)*(CLIENTES!$E$9:$BO$9="VENDA"),0)</f>
        <v>0</v>
      </c>
      <c r="AJ86" s="285" cm="1">
        <f t="array" ref="AJ86">_xlfn._xlws.FILTER(CLIENTES!$E141:$BO141,(CLIENTES!$E$5:$BO$5=AJ$5)*(CLIENTES!$E$9:$BO$9="VENDA"),0)</f>
        <v>0</v>
      </c>
      <c r="AK86" s="285" cm="1">
        <f t="array" ref="AK86">_xlfn._xlws.FILTER(CLIENTES!$E141:$BO141,(CLIENTES!$E$5:$BO$5=AK$5)*(CLIENTES!$E$9:$BO$9="VENDA"),0)</f>
        <v>0</v>
      </c>
      <c r="AL86" s="285" cm="1">
        <f t="array" ref="AL86">_xlfn._xlws.FILTER(CLIENTES!$E141:$BO141,(CLIENTES!$E$5:$BO$5=AL$5)*(CLIENTES!$E$9:$BO$9="VENDA"),0)</f>
        <v>0</v>
      </c>
      <c r="AM86" s="285" cm="1">
        <f t="array" ref="AM86">_xlfn._xlws.FILTER(CLIENTES!$E141:$BO141,(CLIENTES!$E$5:$BO$5=AM$5)*(CLIENTES!$E$9:$BO$9="VENDA"),0)</f>
        <v>0</v>
      </c>
      <c r="AN86" s="285" cm="1">
        <f t="array" ref="AN86">_xlfn._xlws.FILTER(CLIENTES!$E141:$BO141,(CLIENTES!$E$5:$BO$5=AN$5)*(CLIENTES!$E$9:$BO$9="VENDA"),0)</f>
        <v>0</v>
      </c>
      <c r="AO86" s="285" cm="1">
        <f t="array" ref="AO86">_xlfn._xlws.FILTER(CLIENTES!$E141:$BO141,(CLIENTES!$E$5:$BO$5=AO$5)*(CLIENTES!$E$9:$BO$9="VENDA"),0)</f>
        <v>0</v>
      </c>
      <c r="AP86" s="285" cm="1">
        <f t="array" ref="AP86">_xlfn._xlws.FILTER(CLIENTES!$E141:$BO141,(CLIENTES!$E$5:$BO$5=AP$5)*(CLIENTES!$E$9:$BO$9="VENDA"),0)</f>
        <v>0</v>
      </c>
      <c r="AQ86" s="285" cm="1">
        <f t="array" ref="AQ86">_xlfn._xlws.FILTER(CLIENTES!$E141:$BO141,(CLIENTES!$E$5:$BO$5=AQ$5)*(CLIENTES!$E$9:$BO$9="VENDA"),0)</f>
        <v>0</v>
      </c>
      <c r="AR86" s="285" cm="1">
        <f t="array" ref="AR86">_xlfn._xlws.FILTER(CLIENTES!$E141:$BO141,(CLIENTES!$E$5:$BO$5=AR$5)*(CLIENTES!$E$9:$BO$9="VENDA"),0)</f>
        <v>0</v>
      </c>
      <c r="AS86" s="285" cm="1">
        <f t="array" ref="AS86">_xlfn._xlws.FILTER(CLIENTES!$E141:$BO141,(CLIENTES!$E$5:$BO$5=AS$5)*(CLIENTES!$E$9:$BO$9="VENDA"),0)</f>
        <v>0</v>
      </c>
      <c r="AT86" s="285" cm="1">
        <f t="array" ref="AT86">_xlfn._xlws.FILTER(CLIENTES!$E141:$BO141,(CLIENTES!$E$5:$BO$5=AT$5)*(CLIENTES!$E$9:$BO$9="VENDA"),0)</f>
        <v>0</v>
      </c>
      <c r="AU86" s="285" cm="1">
        <f t="array" ref="AU86">_xlfn._xlws.FILTER(CLIENTES!$E141:$BO141,(CLIENTES!$E$5:$BO$5=AU$5)*(CLIENTES!$E$9:$BO$9="VENDA"),0)</f>
        <v>0</v>
      </c>
      <c r="AV86" s="285" cm="1">
        <f t="array" ref="AV86">_xlfn._xlws.FILTER(CLIENTES!$E141:$BO141,(CLIENTES!$E$5:$BO$5=AV$5)*(CLIENTES!$E$9:$BO$9="VENDA"),0)</f>
        <v>0</v>
      </c>
      <c r="AW86" s="285" cm="1">
        <f t="array" ref="AW86">_xlfn._xlws.FILTER(CLIENTES!$E141:$BO141,(CLIENTES!$E$5:$BO$5=AW$5)*(CLIENTES!$E$9:$BO$9="VENDA"),0)</f>
        <v>0</v>
      </c>
      <c r="AX86" s="285" cm="1">
        <f t="array" ref="AX86">_xlfn._xlws.FILTER(CLIENTES!$E141:$BO141,(CLIENTES!$E$5:$BO$5=AX$5)*(CLIENTES!$E$9:$BO$9="VENDA"),0)</f>
        <v>0</v>
      </c>
      <c r="AY86" s="285" cm="1">
        <f t="array" ref="AY86">_xlfn._xlws.FILTER(CLIENTES!$E141:$BO141,(CLIENTES!$E$5:$BO$5=AY$5)*(CLIENTES!$E$9:$BO$9="VENDA"),0)</f>
        <v>0</v>
      </c>
      <c r="AZ86" s="285" cm="1">
        <f t="array" ref="AZ86">_xlfn._xlws.FILTER(CLIENTES!$E141:$BO141,(CLIENTES!$E$5:$BO$5=AZ$5)*(CLIENTES!$E$9:$BO$9="VENDA"),0)</f>
        <v>0</v>
      </c>
      <c r="BA86" s="285" cm="1">
        <f t="array" ref="BA86">_xlfn._xlws.FILTER(CLIENTES!$E141:$BO141,(CLIENTES!$E$5:$BO$5=BA$5)*(CLIENTES!$E$9:$BO$9="VENDA"),0)</f>
        <v>0</v>
      </c>
      <c r="BB86" s="285" cm="1">
        <f t="array" ref="BB86">_xlfn._xlws.FILTER(CLIENTES!$E141:$BO141,(CLIENTES!$E$5:$BO$5=BB$5)*(CLIENTES!$E$9:$BO$9="VENDA"),0)</f>
        <v>0</v>
      </c>
      <c r="BC86" s="285" cm="1">
        <f t="array" ref="BC86">_xlfn._xlws.FILTER(CLIENTES!$E141:$BO141,(CLIENTES!$E$5:$BO$5=BC$5)*(CLIENTES!$E$9:$BO$9="VENDA"),0)</f>
        <v>0</v>
      </c>
      <c r="BD86" s="285" cm="1">
        <f t="array" ref="BD86">_xlfn._xlws.FILTER(CLIENTES!$E141:$BO141,(CLIENTES!$E$5:$BO$5=BD$5)*(CLIENTES!$E$9:$BO$9="VENDA"),0)</f>
        <v>0</v>
      </c>
      <c r="BE86" s="285" cm="1">
        <f t="array" ref="BE86">_xlfn._xlws.FILTER(CLIENTES!$E141:$BO141,(CLIENTES!$E$5:$BO$5=BE$5)*(CLIENTES!$E$9:$BO$9="VENDA"),0)</f>
        <v>0</v>
      </c>
      <c r="BF86" s="285" cm="1">
        <f t="array" ref="BF86">_xlfn._xlws.FILTER(CLIENTES!$E141:$BO141,(CLIENTES!$E$5:$BO$5=BF$5)*(CLIENTES!$E$9:$BO$9="VENDA"),0)</f>
        <v>0</v>
      </c>
      <c r="BG86" s="285" cm="1">
        <f t="array" ref="BG86">_xlfn._xlws.FILTER(CLIENTES!$E141:$BO141,(CLIENTES!$E$5:$BO$5=BG$5)*(CLIENTES!$E$9:$BO$9="VENDA"),0)</f>
        <v>0</v>
      </c>
      <c r="BH86" s="285" cm="1">
        <f t="array" ref="BH86">_xlfn._xlws.FILTER(CLIENTES!$E141:$BO141,(CLIENTES!$E$5:$BO$5=BH$5)*(CLIENTES!$E$9:$BO$9="VENDA"),0)</f>
        <v>0</v>
      </c>
      <c r="BI86" s="285" cm="1">
        <f t="array" ref="BI86">_xlfn._xlws.FILTER(CLIENTES!$E141:$BO141,(CLIENTES!$E$5:$BO$5=BI$5)*(CLIENTES!$E$9:$BO$9="VENDA"),0)</f>
        <v>0</v>
      </c>
      <c r="BJ86" s="285" cm="1">
        <f t="array" ref="BJ86">_xlfn._xlws.FILTER(CLIENTES!$E141:$BO141,(CLIENTES!$E$5:$BO$5=BJ$5)*(CLIENTES!$E$9:$BO$9="VENDA"),0)</f>
        <v>0</v>
      </c>
      <c r="BK86" s="285" cm="1">
        <f t="array" ref="BK86">_xlfn._xlws.FILTER(CLIENTES!$E141:$BO141,(CLIENTES!$E$5:$BO$5=BK$5)*(CLIENTES!$E$9:$BO$9="VENDA"),0)</f>
        <v>0</v>
      </c>
      <c r="BL86" s="285" cm="1">
        <f t="array" ref="BL86">_xlfn._xlws.FILTER(CLIENTES!$E141:$BO141,(CLIENTES!$E$5:$BO$5=BL$5)*(CLIENTES!$E$9:$BO$9="VENDA"),0)</f>
        <v>0</v>
      </c>
    </row>
    <row r="87" spans="2:84" ht="13.5" thickBot="1" x14ac:dyDescent="0.25">
      <c r="B87" s="326"/>
      <c r="C87" s="23" t="s">
        <v>9</v>
      </c>
      <c r="D87" s="27">
        <f>SUM(E87:BL87)</f>
        <v>0</v>
      </c>
      <c r="E87" s="285" cm="1">
        <f t="array" ref="E87">_xlfn._xlws.FILTER(CLIENTES!$E142:$BO142,(CLIENTES!$E$5:$BO$5=E$5)*(CLIENTES!$E$9:$BO$9="VENDA"),0)</f>
        <v>0</v>
      </c>
      <c r="F87" s="285" cm="1">
        <f t="array" ref="F87">_xlfn._xlws.FILTER(CLIENTES!$E142:$BO142,(CLIENTES!$E$5:$BO$5=F$5)*(CLIENTES!$E$9:$BO$9="VENDA"),0)</f>
        <v>0</v>
      </c>
      <c r="G87" s="285" cm="1">
        <f t="array" ref="G87">_xlfn._xlws.FILTER(CLIENTES!$E142:$BO142,(CLIENTES!$E$5:$BO$5=G$5)*(CLIENTES!$E$9:$BO$9="VENDA"),0)</f>
        <v>0</v>
      </c>
      <c r="H87" s="285" cm="1">
        <f t="array" ref="H87">_xlfn._xlws.FILTER(CLIENTES!$E142:$BO142,(CLIENTES!$E$5:$BO$5=H$5)*(CLIENTES!$E$9:$BO$9="VENDA"),0)</f>
        <v>0</v>
      </c>
      <c r="I87" s="285" cm="1">
        <f t="array" ref="I87">_xlfn._xlws.FILTER(CLIENTES!$E142:$BO142,(CLIENTES!$E$5:$BO$5=I$5)*(CLIENTES!$E$9:$BO$9="VENDA"),0)</f>
        <v>0</v>
      </c>
      <c r="J87" s="285" cm="1">
        <f t="array" ref="J87">_xlfn._xlws.FILTER(CLIENTES!$E142:$BO142,(CLIENTES!$E$5:$BO$5=J$5)*(CLIENTES!$E$9:$BO$9="VENDA"),0)</f>
        <v>0</v>
      </c>
      <c r="K87" s="285" cm="1">
        <f t="array" ref="K87">_xlfn._xlws.FILTER(CLIENTES!$E142:$BO142,(CLIENTES!$E$5:$BO$5=K$5)*(CLIENTES!$E$9:$BO$9="VENDA"),0)</f>
        <v>0</v>
      </c>
      <c r="L87" s="285" cm="1">
        <f t="array" ref="L87">_xlfn._xlws.FILTER(CLIENTES!$E142:$BO142,(CLIENTES!$E$5:$BO$5=L$5)*(CLIENTES!$E$9:$BO$9="VENDA"),0)</f>
        <v>0</v>
      </c>
      <c r="M87" s="285" cm="1">
        <f t="array" ref="M87">_xlfn._xlws.FILTER(CLIENTES!$E142:$BO142,(CLIENTES!$E$5:$BO$5=M$5)*(CLIENTES!$E$9:$BO$9="VENDA"),0)</f>
        <v>0</v>
      </c>
      <c r="N87" s="285" cm="1">
        <f t="array" ref="N87">_xlfn._xlws.FILTER(CLIENTES!$E142:$BO142,(CLIENTES!$E$5:$BO$5=N$5)*(CLIENTES!$E$9:$BO$9="VENDA"),0)</f>
        <v>0</v>
      </c>
      <c r="O87" s="285" cm="1">
        <f t="array" ref="O87">_xlfn._xlws.FILTER(CLIENTES!$E142:$BO142,(CLIENTES!$E$5:$BO$5=O$5)*(CLIENTES!$E$9:$BO$9="VENDA"),0)</f>
        <v>0</v>
      </c>
      <c r="P87" s="285" cm="1">
        <f t="array" ref="P87">_xlfn._xlws.FILTER(CLIENTES!$E142:$BO142,(CLIENTES!$E$5:$BO$5=P$5)*(CLIENTES!$E$9:$BO$9="VENDA"),0)</f>
        <v>0</v>
      </c>
      <c r="Q87" s="285" cm="1">
        <f t="array" ref="Q87">_xlfn._xlws.FILTER(CLIENTES!$E142:$BO142,(CLIENTES!$E$5:$BO$5=Q$5)*(CLIENTES!$E$9:$BO$9="VENDA"),0)</f>
        <v>0</v>
      </c>
      <c r="R87" s="285" cm="1">
        <f t="array" ref="R87">_xlfn._xlws.FILTER(CLIENTES!$E142:$BO142,(CLIENTES!$E$5:$BO$5=R$5)*(CLIENTES!$E$9:$BO$9="VENDA"),0)</f>
        <v>0</v>
      </c>
      <c r="S87" s="285" cm="1">
        <f t="array" ref="S87">_xlfn._xlws.FILTER(CLIENTES!$E142:$BO142,(CLIENTES!$E$5:$BO$5=S$5)*(CLIENTES!$E$9:$BO$9="VENDA"),0)</f>
        <v>0</v>
      </c>
      <c r="T87" s="285" cm="1">
        <f t="array" ref="T87">_xlfn._xlws.FILTER(CLIENTES!$E142:$BO142,(CLIENTES!$E$5:$BO$5=T$5)*(CLIENTES!$E$9:$BO$9="VENDA"),0)</f>
        <v>0</v>
      </c>
      <c r="U87" s="285" cm="1">
        <f t="array" ref="U87">_xlfn._xlws.FILTER(CLIENTES!$E142:$BO142,(CLIENTES!$E$5:$BO$5=U$5)*(CLIENTES!$E$9:$BO$9="VENDA"),0)</f>
        <v>0</v>
      </c>
      <c r="V87" s="285" cm="1">
        <f t="array" ref="V87">_xlfn._xlws.FILTER(CLIENTES!$E142:$BO142,(CLIENTES!$E$5:$BO$5=V$5)*(CLIENTES!$E$9:$BO$9="VENDA"),0)</f>
        <v>0</v>
      </c>
      <c r="W87" s="285" cm="1">
        <f t="array" ref="W87">_xlfn._xlws.FILTER(CLIENTES!$E142:$BO142,(CLIENTES!$E$5:$BO$5=W$5)*(CLIENTES!$E$9:$BO$9="VENDA"),0)</f>
        <v>0</v>
      </c>
      <c r="X87" s="285" cm="1">
        <f t="array" ref="X87">_xlfn._xlws.FILTER(CLIENTES!$E142:$BO142,(CLIENTES!$E$5:$BO$5=X$5)*(CLIENTES!$E$9:$BO$9="VENDA"),0)</f>
        <v>0</v>
      </c>
      <c r="Y87" s="285" cm="1">
        <f t="array" ref="Y87">_xlfn._xlws.FILTER(CLIENTES!$E142:$BO142,(CLIENTES!$E$5:$BO$5=Y$5)*(CLIENTES!$E$9:$BO$9="VENDA"),0)</f>
        <v>0</v>
      </c>
      <c r="Z87" s="285" cm="1">
        <f t="array" ref="Z87">_xlfn._xlws.FILTER(CLIENTES!$E142:$BO142,(CLIENTES!$E$5:$BO$5=Z$5)*(CLIENTES!$E$9:$BO$9="VENDA"),0)</f>
        <v>0</v>
      </c>
      <c r="AA87" s="285" cm="1">
        <f t="array" ref="AA87">_xlfn._xlws.FILTER(CLIENTES!$E142:$BO142,(CLIENTES!$E$5:$BO$5=AA$5)*(CLIENTES!$E$9:$BO$9="VENDA"),0)</f>
        <v>0</v>
      </c>
      <c r="AB87" s="285" cm="1">
        <f t="array" ref="AB87">_xlfn._xlws.FILTER(CLIENTES!$E142:$BO142,(CLIENTES!$E$5:$BO$5=AB$5)*(CLIENTES!$E$9:$BO$9="VENDA"),0)</f>
        <v>0</v>
      </c>
      <c r="AC87" s="285" cm="1">
        <f t="array" ref="AC87">_xlfn._xlws.FILTER(CLIENTES!$E142:$BO142,(CLIENTES!$E$5:$BO$5=AC$5)*(CLIENTES!$E$9:$BO$9="VENDA"),0)</f>
        <v>0</v>
      </c>
      <c r="AD87" s="285" cm="1">
        <f t="array" ref="AD87">_xlfn._xlws.FILTER(CLIENTES!$E142:$BO142,(CLIENTES!$E$5:$BO$5=AD$5)*(CLIENTES!$E$9:$BO$9="VENDA"),0)</f>
        <v>0</v>
      </c>
      <c r="AE87" s="285" cm="1">
        <f t="array" ref="AE87">_xlfn._xlws.FILTER(CLIENTES!$E142:$BO142,(CLIENTES!$E$5:$BO$5=AE$5)*(CLIENTES!$E$9:$BO$9="VENDA"),0)</f>
        <v>0</v>
      </c>
      <c r="AF87" s="285" cm="1">
        <f t="array" ref="AF87">_xlfn._xlws.FILTER(CLIENTES!$E142:$BO142,(CLIENTES!$E$5:$BO$5=AF$5)*(CLIENTES!$E$9:$BO$9="VENDA"),0)</f>
        <v>0</v>
      </c>
      <c r="AG87" s="285" cm="1">
        <f t="array" ref="AG87">_xlfn._xlws.FILTER(CLIENTES!$E142:$BO142,(CLIENTES!$E$5:$BO$5=AG$5)*(CLIENTES!$E$9:$BO$9="VENDA"),0)</f>
        <v>0</v>
      </c>
      <c r="AH87" s="285" cm="1">
        <f t="array" ref="AH87">_xlfn._xlws.FILTER(CLIENTES!$E142:$BO142,(CLIENTES!$E$5:$BO$5=AH$5)*(CLIENTES!$E$9:$BO$9="VENDA"),0)</f>
        <v>0</v>
      </c>
      <c r="AI87" s="285" cm="1">
        <f t="array" ref="AI87">_xlfn._xlws.FILTER(CLIENTES!$E142:$BO142,(CLIENTES!$E$5:$BO$5=AI$5)*(CLIENTES!$E$9:$BO$9="VENDA"),0)</f>
        <v>0</v>
      </c>
      <c r="AJ87" s="285" cm="1">
        <f t="array" ref="AJ87">_xlfn._xlws.FILTER(CLIENTES!$E142:$BO142,(CLIENTES!$E$5:$BO$5=AJ$5)*(CLIENTES!$E$9:$BO$9="VENDA"),0)</f>
        <v>0</v>
      </c>
      <c r="AK87" s="285" cm="1">
        <f t="array" ref="AK87">_xlfn._xlws.FILTER(CLIENTES!$E142:$BO142,(CLIENTES!$E$5:$BO$5=AK$5)*(CLIENTES!$E$9:$BO$9="VENDA"),0)</f>
        <v>0</v>
      </c>
      <c r="AL87" s="285" cm="1">
        <f t="array" ref="AL87">_xlfn._xlws.FILTER(CLIENTES!$E142:$BO142,(CLIENTES!$E$5:$BO$5=AL$5)*(CLIENTES!$E$9:$BO$9="VENDA"),0)</f>
        <v>0</v>
      </c>
      <c r="AM87" s="285" cm="1">
        <f t="array" ref="AM87">_xlfn._xlws.FILTER(CLIENTES!$E142:$BO142,(CLIENTES!$E$5:$BO$5=AM$5)*(CLIENTES!$E$9:$BO$9="VENDA"),0)</f>
        <v>0</v>
      </c>
      <c r="AN87" s="285" cm="1">
        <f t="array" ref="AN87">_xlfn._xlws.FILTER(CLIENTES!$E142:$BO142,(CLIENTES!$E$5:$BO$5=AN$5)*(CLIENTES!$E$9:$BO$9="VENDA"),0)</f>
        <v>0</v>
      </c>
      <c r="AO87" s="285" cm="1">
        <f t="array" ref="AO87">_xlfn._xlws.FILTER(CLIENTES!$E142:$BO142,(CLIENTES!$E$5:$BO$5=AO$5)*(CLIENTES!$E$9:$BO$9="VENDA"),0)</f>
        <v>0</v>
      </c>
      <c r="AP87" s="285" cm="1">
        <f t="array" ref="AP87">_xlfn._xlws.FILTER(CLIENTES!$E142:$BO142,(CLIENTES!$E$5:$BO$5=AP$5)*(CLIENTES!$E$9:$BO$9="VENDA"),0)</f>
        <v>0</v>
      </c>
      <c r="AQ87" s="285" cm="1">
        <f t="array" ref="AQ87">_xlfn._xlws.FILTER(CLIENTES!$E142:$BO142,(CLIENTES!$E$5:$BO$5=AQ$5)*(CLIENTES!$E$9:$BO$9="VENDA"),0)</f>
        <v>0</v>
      </c>
      <c r="AR87" s="285" cm="1">
        <f t="array" ref="AR87">_xlfn._xlws.FILTER(CLIENTES!$E142:$BO142,(CLIENTES!$E$5:$BO$5=AR$5)*(CLIENTES!$E$9:$BO$9="VENDA"),0)</f>
        <v>0</v>
      </c>
      <c r="AS87" s="285" cm="1">
        <f t="array" ref="AS87">_xlfn._xlws.FILTER(CLIENTES!$E142:$BO142,(CLIENTES!$E$5:$BO$5=AS$5)*(CLIENTES!$E$9:$BO$9="VENDA"),0)</f>
        <v>0</v>
      </c>
      <c r="AT87" s="285" cm="1">
        <f t="array" ref="AT87">_xlfn._xlws.FILTER(CLIENTES!$E142:$BO142,(CLIENTES!$E$5:$BO$5=AT$5)*(CLIENTES!$E$9:$BO$9="VENDA"),0)</f>
        <v>0</v>
      </c>
      <c r="AU87" s="285" cm="1">
        <f t="array" ref="AU87">_xlfn._xlws.FILTER(CLIENTES!$E142:$BO142,(CLIENTES!$E$5:$BO$5=AU$5)*(CLIENTES!$E$9:$BO$9="VENDA"),0)</f>
        <v>0</v>
      </c>
      <c r="AV87" s="285" cm="1">
        <f t="array" ref="AV87">_xlfn._xlws.FILTER(CLIENTES!$E142:$BO142,(CLIENTES!$E$5:$BO$5=AV$5)*(CLIENTES!$E$9:$BO$9="VENDA"),0)</f>
        <v>0</v>
      </c>
      <c r="AW87" s="285" cm="1">
        <f t="array" ref="AW87">_xlfn._xlws.FILTER(CLIENTES!$E142:$BO142,(CLIENTES!$E$5:$BO$5=AW$5)*(CLIENTES!$E$9:$BO$9="VENDA"),0)</f>
        <v>0</v>
      </c>
      <c r="AX87" s="285" cm="1">
        <f t="array" ref="AX87">_xlfn._xlws.FILTER(CLIENTES!$E142:$BO142,(CLIENTES!$E$5:$BO$5=AX$5)*(CLIENTES!$E$9:$BO$9="VENDA"),0)</f>
        <v>0</v>
      </c>
      <c r="AY87" s="285" cm="1">
        <f t="array" ref="AY87">_xlfn._xlws.FILTER(CLIENTES!$E142:$BO142,(CLIENTES!$E$5:$BO$5=AY$5)*(CLIENTES!$E$9:$BO$9="VENDA"),0)</f>
        <v>0</v>
      </c>
      <c r="AZ87" s="285" cm="1">
        <f t="array" ref="AZ87">_xlfn._xlws.FILTER(CLIENTES!$E142:$BO142,(CLIENTES!$E$5:$BO$5=AZ$5)*(CLIENTES!$E$9:$BO$9="VENDA"),0)</f>
        <v>0</v>
      </c>
      <c r="BA87" s="285" cm="1">
        <f t="array" ref="BA87">_xlfn._xlws.FILTER(CLIENTES!$E142:$BO142,(CLIENTES!$E$5:$BO$5=BA$5)*(CLIENTES!$E$9:$BO$9="VENDA"),0)</f>
        <v>0</v>
      </c>
      <c r="BB87" s="285" cm="1">
        <f t="array" ref="BB87">_xlfn._xlws.FILTER(CLIENTES!$E142:$BO142,(CLIENTES!$E$5:$BO$5=BB$5)*(CLIENTES!$E$9:$BO$9="VENDA"),0)</f>
        <v>0</v>
      </c>
      <c r="BC87" s="285" cm="1">
        <f t="array" ref="BC87">_xlfn._xlws.FILTER(CLIENTES!$E142:$BO142,(CLIENTES!$E$5:$BO$5=BC$5)*(CLIENTES!$E$9:$BO$9="VENDA"),0)</f>
        <v>0</v>
      </c>
      <c r="BD87" s="285" cm="1">
        <f t="array" ref="BD87">_xlfn._xlws.FILTER(CLIENTES!$E142:$BO142,(CLIENTES!$E$5:$BO$5=BD$5)*(CLIENTES!$E$9:$BO$9="VENDA"),0)</f>
        <v>0</v>
      </c>
      <c r="BE87" s="285" cm="1">
        <f t="array" ref="BE87">_xlfn._xlws.FILTER(CLIENTES!$E142:$BO142,(CLIENTES!$E$5:$BO$5=BE$5)*(CLIENTES!$E$9:$BO$9="VENDA"),0)</f>
        <v>0</v>
      </c>
      <c r="BF87" s="285" cm="1">
        <f t="array" ref="BF87">_xlfn._xlws.FILTER(CLIENTES!$E142:$BO142,(CLIENTES!$E$5:$BO$5=BF$5)*(CLIENTES!$E$9:$BO$9="VENDA"),0)</f>
        <v>0</v>
      </c>
      <c r="BG87" s="285" cm="1">
        <f t="array" ref="BG87">_xlfn._xlws.FILTER(CLIENTES!$E142:$BO142,(CLIENTES!$E$5:$BO$5=BG$5)*(CLIENTES!$E$9:$BO$9="VENDA"),0)</f>
        <v>0</v>
      </c>
      <c r="BH87" s="285" cm="1">
        <f t="array" ref="BH87">_xlfn._xlws.FILTER(CLIENTES!$E142:$BO142,(CLIENTES!$E$5:$BO$5=BH$5)*(CLIENTES!$E$9:$BO$9="VENDA"),0)</f>
        <v>0</v>
      </c>
      <c r="BI87" s="285" cm="1">
        <f t="array" ref="BI87">_xlfn._xlws.FILTER(CLIENTES!$E142:$BO142,(CLIENTES!$E$5:$BO$5=BI$5)*(CLIENTES!$E$9:$BO$9="VENDA"),0)</f>
        <v>0</v>
      </c>
      <c r="BJ87" s="285" cm="1">
        <f t="array" ref="BJ87">_xlfn._xlws.FILTER(CLIENTES!$E142:$BO142,(CLIENTES!$E$5:$BO$5=BJ$5)*(CLIENTES!$E$9:$BO$9="VENDA"),0)</f>
        <v>0</v>
      </c>
      <c r="BK87" s="285" cm="1">
        <f t="array" ref="BK87">_xlfn._xlws.FILTER(CLIENTES!$E142:$BO142,(CLIENTES!$E$5:$BO$5=BK$5)*(CLIENTES!$E$9:$BO$9="VENDA"),0)</f>
        <v>0</v>
      </c>
      <c r="BL87" s="285" cm="1">
        <f t="array" ref="BL87">_xlfn._xlws.FILTER(CLIENTES!$E142:$BO142,(CLIENTES!$E$5:$BO$5=BL$5)*(CLIENTES!$E$9:$BO$9="VENDA"),0)</f>
        <v>0</v>
      </c>
    </row>
    <row r="88" spans="2:84" x14ac:dyDescent="0.2">
      <c r="B88" s="326"/>
      <c r="C88" s="23" t="s">
        <v>10</v>
      </c>
      <c r="D88" s="72">
        <v>3.3999999999999998E-3</v>
      </c>
      <c r="E88" s="200">
        <v>3.3999999999999998E-3</v>
      </c>
      <c r="F88" s="200">
        <v>3.3999999999999998E-3</v>
      </c>
      <c r="G88" s="200">
        <v>3.3999999999999998E-3</v>
      </c>
      <c r="H88" s="200">
        <v>3.3999999999999998E-3</v>
      </c>
      <c r="I88" s="200">
        <v>3.3999999999999998E-3</v>
      </c>
      <c r="J88" s="200">
        <v>3.3999999999999998E-3</v>
      </c>
      <c r="K88" s="200">
        <v>3.3999999999999998E-3</v>
      </c>
      <c r="L88" s="200">
        <v>3.3999999999999998E-3</v>
      </c>
      <c r="M88" s="200">
        <v>3.3999999999999998E-3</v>
      </c>
      <c r="N88" s="200">
        <v>3.3999999999999998E-3</v>
      </c>
      <c r="O88" s="200">
        <v>3.3999999999999998E-3</v>
      </c>
      <c r="P88" s="200">
        <v>3.3999999999999998E-3</v>
      </c>
      <c r="Q88" s="200">
        <v>3.3999999999999998E-3</v>
      </c>
      <c r="R88" s="200">
        <v>3.3999999999999998E-3</v>
      </c>
      <c r="S88" s="200">
        <v>3.3999999999999998E-3</v>
      </c>
      <c r="T88" s="200">
        <v>3.3999999999999998E-3</v>
      </c>
      <c r="U88" s="200">
        <v>3.3999999999999998E-3</v>
      </c>
      <c r="V88" s="200">
        <v>3.3999999999999998E-3</v>
      </c>
      <c r="W88" s="200">
        <v>3.3999999999999998E-3</v>
      </c>
      <c r="X88" s="200">
        <v>3.3999999999999998E-3</v>
      </c>
      <c r="Y88" s="200">
        <v>3.3999999999999998E-3</v>
      </c>
      <c r="Z88" s="200">
        <v>3.3999999999999998E-3</v>
      </c>
      <c r="AA88" s="200">
        <v>3.3999999999999998E-3</v>
      </c>
      <c r="AB88" s="200">
        <v>3.3999999999999998E-3</v>
      </c>
      <c r="AC88" s="200">
        <v>0.01</v>
      </c>
      <c r="AD88" s="200">
        <v>3.3999999999999998E-3</v>
      </c>
      <c r="AE88" s="200">
        <v>3.3999999999999998E-3</v>
      </c>
      <c r="AF88" s="200">
        <v>3.3999999999999998E-3</v>
      </c>
      <c r="AG88" s="200">
        <v>3.3999999999999998E-3</v>
      </c>
      <c r="AH88" s="200">
        <v>3.3999999999999998E-3</v>
      </c>
      <c r="AI88" s="200">
        <v>3.3999999999999998E-3</v>
      </c>
      <c r="AJ88" s="200">
        <v>3.3999999999999998E-3</v>
      </c>
      <c r="AK88" s="200">
        <v>3.3999999999999998E-3</v>
      </c>
      <c r="AL88" s="200">
        <v>3.3999999999999998E-3</v>
      </c>
      <c r="AM88" s="200">
        <v>3.3999999999999998E-3</v>
      </c>
      <c r="AN88" s="200">
        <v>3.3999999999999998E-3</v>
      </c>
      <c r="AO88" s="200">
        <v>3.3999999999999998E-3</v>
      </c>
      <c r="AP88" s="200">
        <v>3.3999999999999998E-3</v>
      </c>
      <c r="AQ88" s="200">
        <v>3.3999999999999998E-3</v>
      </c>
      <c r="AR88" s="200">
        <v>3.3999999999999998E-3</v>
      </c>
      <c r="AS88" s="200">
        <v>3.3999999999999998E-3</v>
      </c>
      <c r="AT88" s="200">
        <v>3.3999999999999998E-3</v>
      </c>
      <c r="AU88" s="200">
        <v>3.3999999999999998E-3</v>
      </c>
      <c r="AV88" s="200">
        <v>3.3999999999999998E-3</v>
      </c>
      <c r="AW88" s="200">
        <v>3.3999999999999998E-3</v>
      </c>
      <c r="AX88" s="200">
        <v>3.3999999999999998E-3</v>
      </c>
      <c r="AY88" s="200">
        <v>3.3999999999999998E-3</v>
      </c>
      <c r="AZ88" s="215">
        <v>3.3999999999999998E-3</v>
      </c>
      <c r="BA88" s="200">
        <v>3.3999999999999998E-3</v>
      </c>
      <c r="BB88" s="200">
        <v>3.3999999999999998E-3</v>
      </c>
      <c r="BC88" s="200">
        <v>3.3999999999999998E-3</v>
      </c>
      <c r="BD88" s="200">
        <v>3.3999999999999998E-3</v>
      </c>
      <c r="BE88" s="200">
        <v>3.3999999999999998E-3</v>
      </c>
      <c r="BF88" s="200">
        <v>3.3999999999999998E-3</v>
      </c>
      <c r="BG88" s="200">
        <v>3.3999999999999998E-3</v>
      </c>
      <c r="BH88" s="200">
        <v>3.3999999999999998E-3</v>
      </c>
      <c r="BI88" s="200">
        <v>3.3999999999999998E-3</v>
      </c>
      <c r="BJ88" s="200">
        <v>3.3999999999999998E-3</v>
      </c>
      <c r="BK88" s="200">
        <v>3.3999999999999998E-3</v>
      </c>
      <c r="BL88" s="200">
        <v>3.3999999999999998E-3</v>
      </c>
    </row>
    <row r="89" spans="2:84" x14ac:dyDescent="0.2">
      <c r="B89" s="326"/>
      <c r="C89" s="58" t="s">
        <v>23</v>
      </c>
      <c r="D89" s="27">
        <f>SUM(E89:BL89)</f>
        <v>4902.3412554762326</v>
      </c>
      <c r="E89" s="139">
        <f>IF((E85+E86-E87)*E88&lt;0,0,(E85+E86-E87)*E88)</f>
        <v>2308.4622217238398</v>
      </c>
      <c r="F89" s="139">
        <f t="shared" ref="F89:BK89" si="36">IF((F85+F86-F87)*F88&lt;0,0,(F85+F86-F87)*F88)</f>
        <v>2593.8756337523928</v>
      </c>
      <c r="G89" s="139">
        <f t="shared" si="36"/>
        <v>0</v>
      </c>
      <c r="H89" s="139">
        <f t="shared" si="36"/>
        <v>0</v>
      </c>
      <c r="I89" s="139">
        <f t="shared" si="36"/>
        <v>0</v>
      </c>
      <c r="J89" s="139">
        <f t="shared" si="36"/>
        <v>0</v>
      </c>
      <c r="K89" s="139">
        <f t="shared" si="36"/>
        <v>0</v>
      </c>
      <c r="L89" s="139">
        <f t="shared" si="36"/>
        <v>0</v>
      </c>
      <c r="M89" s="139">
        <f t="shared" si="36"/>
        <v>0</v>
      </c>
      <c r="N89" s="139">
        <f t="shared" si="36"/>
        <v>0</v>
      </c>
      <c r="O89" s="139">
        <f t="shared" si="36"/>
        <v>0</v>
      </c>
      <c r="P89" s="139">
        <f t="shared" si="36"/>
        <v>0</v>
      </c>
      <c r="Q89" s="139">
        <f t="shared" si="36"/>
        <v>0</v>
      </c>
      <c r="R89" s="139">
        <f t="shared" si="36"/>
        <v>0</v>
      </c>
      <c r="S89" s="139">
        <f t="shared" si="36"/>
        <v>0</v>
      </c>
      <c r="T89" s="139">
        <f t="shared" si="36"/>
        <v>0</v>
      </c>
      <c r="U89" s="139">
        <f t="shared" si="36"/>
        <v>0</v>
      </c>
      <c r="V89" s="139">
        <f t="shared" si="36"/>
        <v>0</v>
      </c>
      <c r="W89" s="139">
        <f t="shared" si="36"/>
        <v>0</v>
      </c>
      <c r="X89" s="139">
        <f t="shared" si="36"/>
        <v>0</v>
      </c>
      <c r="Y89" s="139">
        <f t="shared" si="36"/>
        <v>0</v>
      </c>
      <c r="Z89" s="139">
        <f t="shared" si="36"/>
        <v>0</v>
      </c>
      <c r="AA89" s="139">
        <f t="shared" si="36"/>
        <v>0</v>
      </c>
      <c r="AB89" s="139">
        <f t="shared" si="36"/>
        <v>0</v>
      </c>
      <c r="AC89" s="139">
        <f t="shared" si="36"/>
        <v>0</v>
      </c>
      <c r="AD89" s="139">
        <f t="shared" si="36"/>
        <v>0</v>
      </c>
      <c r="AE89" s="139">
        <f t="shared" si="36"/>
        <v>0</v>
      </c>
      <c r="AF89" s="139">
        <f t="shared" si="36"/>
        <v>0</v>
      </c>
      <c r="AG89" s="139">
        <f t="shared" si="36"/>
        <v>0</v>
      </c>
      <c r="AH89" s="139">
        <f t="shared" si="36"/>
        <v>0</v>
      </c>
      <c r="AI89" s="139">
        <f t="shared" si="36"/>
        <v>0</v>
      </c>
      <c r="AJ89" s="139">
        <f t="shared" si="36"/>
        <v>0</v>
      </c>
      <c r="AK89" s="139">
        <f t="shared" si="36"/>
        <v>0</v>
      </c>
      <c r="AL89" s="139">
        <f t="shared" si="36"/>
        <v>0</v>
      </c>
      <c r="AM89" s="139">
        <f t="shared" si="36"/>
        <v>0</v>
      </c>
      <c r="AN89" s="139">
        <f t="shared" si="36"/>
        <v>0</v>
      </c>
      <c r="AO89" s="139">
        <f t="shared" si="36"/>
        <v>0</v>
      </c>
      <c r="AP89" s="139">
        <f t="shared" si="36"/>
        <v>0</v>
      </c>
      <c r="AQ89" s="139">
        <f t="shared" si="36"/>
        <v>0</v>
      </c>
      <c r="AR89" s="139">
        <f t="shared" si="36"/>
        <v>0</v>
      </c>
      <c r="AS89" s="139">
        <f t="shared" si="36"/>
        <v>0</v>
      </c>
      <c r="AT89" s="139">
        <f t="shared" si="36"/>
        <v>0</v>
      </c>
      <c r="AU89" s="139">
        <f t="shared" si="36"/>
        <v>0</v>
      </c>
      <c r="AV89" s="139">
        <f t="shared" si="36"/>
        <v>0</v>
      </c>
      <c r="AW89" s="139">
        <f t="shared" si="36"/>
        <v>0</v>
      </c>
      <c r="AX89" s="139">
        <f t="shared" si="36"/>
        <v>0</v>
      </c>
      <c r="AY89" s="139">
        <f t="shared" si="36"/>
        <v>0</v>
      </c>
      <c r="AZ89" s="139">
        <f t="shared" si="36"/>
        <v>0</v>
      </c>
      <c r="BA89" s="139">
        <f t="shared" si="36"/>
        <v>0</v>
      </c>
      <c r="BB89" s="139">
        <f t="shared" si="36"/>
        <v>0</v>
      </c>
      <c r="BC89" s="139">
        <f t="shared" si="36"/>
        <v>0</v>
      </c>
      <c r="BD89" s="139">
        <f t="shared" si="36"/>
        <v>0</v>
      </c>
      <c r="BE89" s="139">
        <f t="shared" si="36"/>
        <v>0</v>
      </c>
      <c r="BF89" s="139">
        <f t="shared" si="36"/>
        <v>0</v>
      </c>
      <c r="BG89" s="139">
        <f t="shared" si="36"/>
        <v>0</v>
      </c>
      <c r="BH89" s="139">
        <f t="shared" si="36"/>
        <v>0</v>
      </c>
      <c r="BI89" s="139">
        <f t="shared" si="36"/>
        <v>0</v>
      </c>
      <c r="BJ89" s="139">
        <f t="shared" si="36"/>
        <v>0</v>
      </c>
      <c r="BK89" s="139">
        <f t="shared" si="36"/>
        <v>0</v>
      </c>
      <c r="BL89" s="139">
        <f>IF((BL85=0+BL86-BL87)*BL88&lt;0,0,(BL85=0+BL86-BL87)*BL88)</f>
        <v>3.3999999999999998E-3</v>
      </c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</row>
    <row r="90" spans="2:84" ht="13.5" thickBot="1" x14ac:dyDescent="0.25">
      <c r="B90" s="327"/>
      <c r="C90" s="25" t="s">
        <v>22</v>
      </c>
      <c r="D90" s="30">
        <f>SUM(E90:BL90)</f>
        <v>1446766.4163955448</v>
      </c>
      <c r="E90" s="146">
        <f>+E85-E87+E86+E89</f>
        <v>681267.93919932388</v>
      </c>
      <c r="F90" s="146">
        <f t="shared" ref="F90:O90" si="37">+F85-F87+F86+F89</f>
        <v>765498.47379622096</v>
      </c>
      <c r="G90" s="146">
        <f t="shared" si="37"/>
        <v>0</v>
      </c>
      <c r="H90" s="146">
        <f t="shared" si="37"/>
        <v>0</v>
      </c>
      <c r="I90" s="146">
        <f t="shared" si="37"/>
        <v>0</v>
      </c>
      <c r="J90" s="146">
        <f t="shared" si="37"/>
        <v>0</v>
      </c>
      <c r="K90" s="146">
        <f t="shared" si="37"/>
        <v>0</v>
      </c>
      <c r="L90" s="146">
        <f t="shared" si="37"/>
        <v>0</v>
      </c>
      <c r="M90" s="146">
        <f t="shared" si="37"/>
        <v>0</v>
      </c>
      <c r="N90" s="146">
        <f t="shared" si="37"/>
        <v>0</v>
      </c>
      <c r="O90" s="146">
        <f t="shared" si="37"/>
        <v>0</v>
      </c>
      <c r="P90" s="146">
        <f>+P85-P87+P86+P89</f>
        <v>0</v>
      </c>
      <c r="Q90" s="146">
        <f t="shared" ref="Q90:BK90" si="38">+Q85-Q87+Q86+Q89</f>
        <v>0</v>
      </c>
      <c r="R90" s="146">
        <f t="shared" si="38"/>
        <v>0</v>
      </c>
      <c r="S90" s="146">
        <f t="shared" si="38"/>
        <v>0</v>
      </c>
      <c r="T90" s="146">
        <f t="shared" si="38"/>
        <v>0</v>
      </c>
      <c r="U90" s="146">
        <f t="shared" si="38"/>
        <v>0</v>
      </c>
      <c r="V90" s="146">
        <f t="shared" si="38"/>
        <v>0</v>
      </c>
      <c r="W90" s="146">
        <f t="shared" si="38"/>
        <v>0</v>
      </c>
      <c r="X90" s="146">
        <f t="shared" si="38"/>
        <v>0</v>
      </c>
      <c r="Y90" s="146">
        <f t="shared" si="38"/>
        <v>0</v>
      </c>
      <c r="Z90" s="146">
        <f t="shared" si="38"/>
        <v>0</v>
      </c>
      <c r="AA90" s="146">
        <f t="shared" si="38"/>
        <v>0</v>
      </c>
      <c r="AB90" s="146">
        <f t="shared" si="38"/>
        <v>0</v>
      </c>
      <c r="AC90" s="146">
        <f t="shared" si="38"/>
        <v>0</v>
      </c>
      <c r="AD90" s="146">
        <f t="shared" si="38"/>
        <v>0</v>
      </c>
      <c r="AE90" s="146">
        <f t="shared" si="38"/>
        <v>0</v>
      </c>
      <c r="AF90" s="146">
        <f t="shared" si="38"/>
        <v>0</v>
      </c>
      <c r="AG90" s="146">
        <f t="shared" si="38"/>
        <v>0</v>
      </c>
      <c r="AH90" s="146">
        <f t="shared" si="38"/>
        <v>0</v>
      </c>
      <c r="AI90" s="146">
        <f t="shared" si="38"/>
        <v>0</v>
      </c>
      <c r="AJ90" s="146">
        <f t="shared" si="38"/>
        <v>0</v>
      </c>
      <c r="AK90" s="146">
        <f t="shared" si="38"/>
        <v>0</v>
      </c>
      <c r="AL90" s="146">
        <f t="shared" si="38"/>
        <v>0</v>
      </c>
      <c r="AM90" s="146">
        <f t="shared" si="38"/>
        <v>0</v>
      </c>
      <c r="AN90" s="146">
        <f t="shared" si="38"/>
        <v>0</v>
      </c>
      <c r="AO90" s="146">
        <f t="shared" si="38"/>
        <v>0</v>
      </c>
      <c r="AP90" s="146">
        <f t="shared" si="38"/>
        <v>0</v>
      </c>
      <c r="AQ90" s="146">
        <f t="shared" si="38"/>
        <v>0</v>
      </c>
      <c r="AR90" s="146">
        <f t="shared" si="38"/>
        <v>0</v>
      </c>
      <c r="AS90" s="146">
        <f t="shared" si="38"/>
        <v>0</v>
      </c>
      <c r="AT90" s="146">
        <f t="shared" si="38"/>
        <v>0</v>
      </c>
      <c r="AU90" s="146">
        <f t="shared" si="38"/>
        <v>0</v>
      </c>
      <c r="AV90" s="146">
        <f t="shared" si="38"/>
        <v>0</v>
      </c>
      <c r="AW90" s="146">
        <f t="shared" si="38"/>
        <v>0</v>
      </c>
      <c r="AX90" s="146">
        <f t="shared" si="38"/>
        <v>0</v>
      </c>
      <c r="AY90" s="146">
        <f t="shared" si="38"/>
        <v>0</v>
      </c>
      <c r="AZ90" s="146">
        <f t="shared" si="38"/>
        <v>0</v>
      </c>
      <c r="BA90" s="146">
        <f t="shared" si="38"/>
        <v>0</v>
      </c>
      <c r="BB90" s="146">
        <f t="shared" si="38"/>
        <v>0</v>
      </c>
      <c r="BC90" s="146">
        <f t="shared" si="38"/>
        <v>0</v>
      </c>
      <c r="BD90" s="146">
        <f t="shared" si="38"/>
        <v>0</v>
      </c>
      <c r="BE90" s="146">
        <f t="shared" si="38"/>
        <v>0</v>
      </c>
      <c r="BF90" s="146">
        <f t="shared" si="38"/>
        <v>0</v>
      </c>
      <c r="BG90" s="146">
        <f t="shared" si="38"/>
        <v>0</v>
      </c>
      <c r="BH90" s="146">
        <f t="shared" si="38"/>
        <v>0</v>
      </c>
      <c r="BI90" s="146">
        <f t="shared" si="38"/>
        <v>0</v>
      </c>
      <c r="BJ90" s="146">
        <f t="shared" si="38"/>
        <v>0</v>
      </c>
      <c r="BK90" s="146">
        <f t="shared" si="38"/>
        <v>0</v>
      </c>
      <c r="BL90" s="146">
        <f>BL87+BL86+BL89</f>
        <v>3.3999999999999998E-3</v>
      </c>
    </row>
    <row r="91" spans="2:84" ht="13.5" thickBot="1" x14ac:dyDescent="0.25">
      <c r="B91" s="325">
        <v>44075</v>
      </c>
      <c r="C91" s="62" t="s">
        <v>6</v>
      </c>
      <c r="D91" s="31">
        <f>SUM(E91:BL91)</f>
        <v>95000</v>
      </c>
      <c r="E91" s="285" cm="1">
        <f t="array" ref="E91">_xlfn._xlws.FILTER(CLIENTES!$E149:$BO149,(CLIENTES!$E$5:$BO$5=E$5)*(CLIENTES!$E$9:$BO$9="VENDA"),0)</f>
        <v>45000</v>
      </c>
      <c r="F91" s="199">
        <f>CLIENTES!H149</f>
        <v>50000</v>
      </c>
      <c r="G91" s="199">
        <f>CLIENTES!I149</f>
        <v>0</v>
      </c>
      <c r="H91" s="199">
        <f>CLIENTES!J149</f>
        <v>0</v>
      </c>
      <c r="I91" s="199">
        <f>CLIENTES!K149</f>
        <v>0</v>
      </c>
      <c r="J91" s="199">
        <f>CLIENTES!L149</f>
        <v>0</v>
      </c>
      <c r="K91" s="199">
        <f>CLIENTES!M149</f>
        <v>0</v>
      </c>
      <c r="L91" s="199">
        <f>CLIENTES!N149</f>
        <v>0</v>
      </c>
      <c r="M91" s="199">
        <f>CLIENTES!O149</f>
        <v>0</v>
      </c>
      <c r="N91" s="199">
        <f>CLIENTES!P149</f>
        <v>0</v>
      </c>
      <c r="O91" s="199">
        <f>CLIENTES!Q149</f>
        <v>0</v>
      </c>
      <c r="P91" s="199">
        <f>CLIENTES!R149</f>
        <v>0</v>
      </c>
      <c r="Q91" s="199">
        <f>CLIENTES!S149</f>
        <v>0</v>
      </c>
      <c r="R91" s="199">
        <f>CLIENTES!T149</f>
        <v>0</v>
      </c>
      <c r="S91" s="199">
        <f>CLIENTES!U149</f>
        <v>0</v>
      </c>
      <c r="T91" s="199">
        <f>CLIENTES!V149</f>
        <v>0</v>
      </c>
      <c r="U91" s="199">
        <f>CLIENTES!W149</f>
        <v>0</v>
      </c>
      <c r="V91" s="199">
        <f>CLIENTES!X149</f>
        <v>0</v>
      </c>
      <c r="W91" s="199">
        <f>CLIENTES!Y149</f>
        <v>0</v>
      </c>
      <c r="X91" s="199">
        <f>CLIENTES!Z149</f>
        <v>0</v>
      </c>
      <c r="Y91" s="199">
        <f>CLIENTES!AA149</f>
        <v>0</v>
      </c>
      <c r="Z91" s="199">
        <f>CLIENTES!AB149</f>
        <v>0</v>
      </c>
      <c r="AA91" s="199">
        <f>CLIENTES!AC149</f>
        <v>0</v>
      </c>
      <c r="AB91" s="199">
        <f>CLIENTES!AD149</f>
        <v>0</v>
      </c>
      <c r="AC91" s="199">
        <f>CLIENTES!AE149</f>
        <v>0</v>
      </c>
      <c r="AD91" s="199">
        <f>CLIENTES!AF149</f>
        <v>0</v>
      </c>
      <c r="AE91" s="199">
        <f>CLIENTES!AG149</f>
        <v>0</v>
      </c>
      <c r="AF91" s="199">
        <f>CLIENTES!AH149</f>
        <v>0</v>
      </c>
      <c r="AG91" s="199">
        <f>CLIENTES!AI149</f>
        <v>0</v>
      </c>
      <c r="AH91" s="199">
        <f>CLIENTES!AJ149</f>
        <v>0</v>
      </c>
      <c r="AI91" s="199">
        <f>CLIENTES!AK149</f>
        <v>0</v>
      </c>
      <c r="AJ91" s="199">
        <f>CLIENTES!AL149</f>
        <v>0</v>
      </c>
      <c r="AK91" s="199">
        <f>CLIENTES!AM149</f>
        <v>0</v>
      </c>
      <c r="AL91" s="199">
        <f>CLIENTES!AN149</f>
        <v>0</v>
      </c>
      <c r="AM91" s="199">
        <f>CLIENTES!AO149</f>
        <v>0</v>
      </c>
      <c r="AN91" s="199">
        <f>CLIENTES!AP149</f>
        <v>0</v>
      </c>
      <c r="AO91" s="199">
        <f>CLIENTES!AQ149</f>
        <v>0</v>
      </c>
      <c r="AP91" s="199">
        <f>CLIENTES!AR149</f>
        <v>0</v>
      </c>
      <c r="AQ91" s="199">
        <f>CLIENTES!AS149</f>
        <v>0</v>
      </c>
      <c r="AR91" s="199">
        <f>CLIENTES!AT149</f>
        <v>0</v>
      </c>
      <c r="AS91" s="199">
        <f>CLIENTES!AU149</f>
        <v>0</v>
      </c>
      <c r="AT91" s="199">
        <f>CLIENTES!AV149</f>
        <v>0</v>
      </c>
      <c r="AU91" s="199">
        <f>CLIENTES!AW149</f>
        <v>0</v>
      </c>
      <c r="AV91" s="199">
        <f>CLIENTES!AX149</f>
        <v>0</v>
      </c>
      <c r="AW91" s="199">
        <f>CLIENTES!AY149</f>
        <v>0</v>
      </c>
      <c r="AX91" s="199">
        <f>CLIENTES!AZ149</f>
        <v>0</v>
      </c>
      <c r="AY91" s="199">
        <f>CLIENTES!BA149</f>
        <v>0</v>
      </c>
      <c r="AZ91" s="214">
        <f>CLIENTES!BB149</f>
        <v>0</v>
      </c>
      <c r="BA91" s="199">
        <f>CLIENTES!BC149</f>
        <v>0</v>
      </c>
      <c r="BB91" s="199">
        <f>CLIENTES!BD149</f>
        <v>0</v>
      </c>
      <c r="BC91" s="199">
        <f>CLIENTES!BE149</f>
        <v>0</v>
      </c>
      <c r="BD91" s="199">
        <f>CLIENTES!BF149</f>
        <v>0</v>
      </c>
      <c r="BE91" s="199">
        <f>CLIENTES!BG149</f>
        <v>0</v>
      </c>
      <c r="BF91" s="199">
        <f>CLIENTES!BH149</f>
        <v>0</v>
      </c>
      <c r="BG91" s="199">
        <f>CLIENTES!BI149</f>
        <v>0</v>
      </c>
      <c r="BH91" s="199">
        <f>CLIENTES!BJ149</f>
        <v>0</v>
      </c>
      <c r="BI91" s="199">
        <f>CLIENTES!BK149</f>
        <v>0</v>
      </c>
      <c r="BJ91" s="199">
        <f>CLIENTES!BL149</f>
        <v>0</v>
      </c>
      <c r="BK91" s="199">
        <f>CLIENTES!BM149</f>
        <v>0</v>
      </c>
      <c r="BL91" s="199">
        <f>CLIENTES!BN149</f>
        <v>0</v>
      </c>
    </row>
    <row r="92" spans="2:84" ht="13.5" thickBot="1" x14ac:dyDescent="0.25">
      <c r="B92" s="326"/>
      <c r="C92" s="23" t="s">
        <v>9</v>
      </c>
      <c r="D92" s="27">
        <f>SUM(E92:BL92)</f>
        <v>0</v>
      </c>
      <c r="E92" s="285" cm="1">
        <f t="array" ref="E92">_xlfn._xlws.FILTER(CLIENTES!$E150:$BO150,(CLIENTES!$E$5:$BO$5=E$5)*(CLIENTES!$E$9:$BO$9="VENDA"),0)</f>
        <v>0</v>
      </c>
      <c r="F92" s="132">
        <f>CLIENTES!H150</f>
        <v>0</v>
      </c>
      <c r="G92" s="132">
        <f>CLIENTES!I150</f>
        <v>0</v>
      </c>
      <c r="H92" s="132">
        <f>CLIENTES!J150</f>
        <v>0</v>
      </c>
      <c r="I92" s="132">
        <f>CLIENTES!K150</f>
        <v>0</v>
      </c>
      <c r="J92" s="132">
        <f>CLIENTES!L150</f>
        <v>0</v>
      </c>
      <c r="K92" s="132">
        <f>CLIENTES!M150</f>
        <v>0</v>
      </c>
      <c r="L92" s="132">
        <f>CLIENTES!N150</f>
        <v>0</v>
      </c>
      <c r="M92" s="132">
        <f>CLIENTES!O150</f>
        <v>0</v>
      </c>
      <c r="N92" s="132">
        <f>CLIENTES!P150</f>
        <v>0</v>
      </c>
      <c r="O92" s="132">
        <f>CLIENTES!Q150</f>
        <v>0</v>
      </c>
      <c r="P92" s="132">
        <f>CLIENTES!R150</f>
        <v>0</v>
      </c>
      <c r="Q92" s="132">
        <f>CLIENTES!S150</f>
        <v>0</v>
      </c>
      <c r="R92" s="132">
        <f>CLIENTES!T150</f>
        <v>0</v>
      </c>
      <c r="S92" s="132">
        <f>CLIENTES!U150</f>
        <v>0</v>
      </c>
      <c r="T92" s="132">
        <f>CLIENTES!V150</f>
        <v>0</v>
      </c>
      <c r="U92" s="132">
        <f>CLIENTES!W150</f>
        <v>0</v>
      </c>
      <c r="V92" s="132">
        <f>CLIENTES!X150</f>
        <v>0</v>
      </c>
      <c r="W92" s="132">
        <f>CLIENTES!Y150</f>
        <v>0</v>
      </c>
      <c r="X92" s="132">
        <f>CLIENTES!Z150</f>
        <v>0</v>
      </c>
      <c r="Y92" s="132">
        <f>CLIENTES!AA150</f>
        <v>0</v>
      </c>
      <c r="Z92" s="132">
        <f>CLIENTES!AB150</f>
        <v>0</v>
      </c>
      <c r="AA92" s="132">
        <f>CLIENTES!AC150</f>
        <v>0</v>
      </c>
      <c r="AB92" s="132">
        <f>CLIENTES!AD150</f>
        <v>0</v>
      </c>
      <c r="AC92" s="132">
        <f>CLIENTES!AE150</f>
        <v>0</v>
      </c>
      <c r="AD92" s="132">
        <f>CLIENTES!AF150</f>
        <v>0</v>
      </c>
      <c r="AE92" s="132">
        <f>CLIENTES!AG150</f>
        <v>0</v>
      </c>
      <c r="AF92" s="132">
        <f>CLIENTES!AH150</f>
        <v>0</v>
      </c>
      <c r="AG92" s="132">
        <f>CLIENTES!AI150</f>
        <v>0</v>
      </c>
      <c r="AH92" s="132">
        <f>CLIENTES!AJ150</f>
        <v>0</v>
      </c>
      <c r="AI92" s="132">
        <f>CLIENTES!AK150</f>
        <v>0</v>
      </c>
      <c r="AJ92" s="132">
        <f>CLIENTES!AL150</f>
        <v>0</v>
      </c>
      <c r="AK92" s="132">
        <f>CLIENTES!AM150</f>
        <v>0</v>
      </c>
      <c r="AL92" s="132">
        <f>CLIENTES!AN150</f>
        <v>0</v>
      </c>
      <c r="AM92" s="132">
        <f>CLIENTES!AO150</f>
        <v>0</v>
      </c>
      <c r="AN92" s="132">
        <f>CLIENTES!AP150</f>
        <v>0</v>
      </c>
      <c r="AO92" s="132">
        <f>CLIENTES!AQ150</f>
        <v>0</v>
      </c>
      <c r="AP92" s="132">
        <f>CLIENTES!AR150</f>
        <v>0</v>
      </c>
      <c r="AQ92" s="132">
        <f>CLIENTES!AS150</f>
        <v>0</v>
      </c>
      <c r="AR92" s="132">
        <f>CLIENTES!AT150</f>
        <v>0</v>
      </c>
      <c r="AS92" s="132">
        <f>CLIENTES!AU150</f>
        <v>0</v>
      </c>
      <c r="AT92" s="132">
        <f>CLIENTES!AV150</f>
        <v>0</v>
      </c>
      <c r="AU92" s="132">
        <f>CLIENTES!AW150</f>
        <v>0</v>
      </c>
      <c r="AV92" s="132">
        <f>CLIENTES!AX150</f>
        <v>0</v>
      </c>
      <c r="AW92" s="132">
        <f>CLIENTES!AY150</f>
        <v>0</v>
      </c>
      <c r="AX92" s="132">
        <f>CLIENTES!AZ150</f>
        <v>0</v>
      </c>
      <c r="AY92" s="132">
        <f>CLIENTES!BA150</f>
        <v>0</v>
      </c>
      <c r="AZ92" s="139">
        <f>CLIENTES!BB150</f>
        <v>0</v>
      </c>
      <c r="BA92" s="132">
        <f>CLIENTES!BC150</f>
        <v>0</v>
      </c>
      <c r="BB92" s="132">
        <f>CLIENTES!BD150</f>
        <v>0</v>
      </c>
      <c r="BC92" s="132">
        <f>CLIENTES!BE150</f>
        <v>0</v>
      </c>
      <c r="BD92" s="132">
        <f>CLIENTES!BF150</f>
        <v>0</v>
      </c>
      <c r="BE92" s="132">
        <f>CLIENTES!BG150</f>
        <v>0</v>
      </c>
      <c r="BF92" s="132">
        <f>CLIENTES!BH150</f>
        <v>0</v>
      </c>
      <c r="BG92" s="132">
        <f>CLIENTES!BI150</f>
        <v>0</v>
      </c>
      <c r="BH92" s="132">
        <f>CLIENTES!BJ150</f>
        <v>0</v>
      </c>
      <c r="BI92" s="132">
        <f>CLIENTES!BK150</f>
        <v>0</v>
      </c>
      <c r="BJ92" s="132">
        <f>CLIENTES!BL150</f>
        <v>0</v>
      </c>
      <c r="BK92" s="132">
        <f>CLIENTES!BM150</f>
        <v>0</v>
      </c>
      <c r="BL92" s="132">
        <f>CLIENTES!BN150</f>
        <v>0</v>
      </c>
    </row>
    <row r="93" spans="2:84" x14ac:dyDescent="0.2">
      <c r="B93" s="326"/>
      <c r="C93" s="23" t="s">
        <v>10</v>
      </c>
      <c r="D93" s="72">
        <v>1.17E-2</v>
      </c>
      <c r="E93" s="200">
        <f>CLIENTES!F152</f>
        <v>1.17E-2</v>
      </c>
      <c r="F93" s="200">
        <f>CLIENTES!H152</f>
        <v>1.17E-2</v>
      </c>
      <c r="G93" s="200">
        <f>CLIENTES!I152</f>
        <v>1.17E-2</v>
      </c>
      <c r="H93" s="200">
        <f>CLIENTES!J152</f>
        <v>1.17E-2</v>
      </c>
      <c r="I93" s="200">
        <f>CLIENTES!K152</f>
        <v>1.17E-2</v>
      </c>
      <c r="J93" s="200">
        <f>CLIENTES!L152</f>
        <v>1.17E-2</v>
      </c>
      <c r="K93" s="200">
        <f>CLIENTES!M152</f>
        <v>1.17E-2</v>
      </c>
      <c r="L93" s="200">
        <f>CLIENTES!N152</f>
        <v>1.17E-2</v>
      </c>
      <c r="M93" s="200">
        <f>CLIENTES!O152</f>
        <v>1.17E-2</v>
      </c>
      <c r="N93" s="200">
        <f>CLIENTES!P152</f>
        <v>1.17E-2</v>
      </c>
      <c r="O93" s="200">
        <f>CLIENTES!Q152</f>
        <v>1.17E-2</v>
      </c>
      <c r="P93" s="200">
        <f>CLIENTES!R152</f>
        <v>1.17E-2</v>
      </c>
      <c r="Q93" s="200">
        <f>CLIENTES!S152</f>
        <v>1.17E-2</v>
      </c>
      <c r="R93" s="200">
        <f>CLIENTES!T152</f>
        <v>1.17E-2</v>
      </c>
      <c r="S93" s="200">
        <f>CLIENTES!U152</f>
        <v>1.17E-2</v>
      </c>
      <c r="T93" s="200">
        <f>CLIENTES!V152</f>
        <v>1.17E-2</v>
      </c>
      <c r="U93" s="200">
        <f>CLIENTES!W152</f>
        <v>1.17E-2</v>
      </c>
      <c r="V93" s="200">
        <f>CLIENTES!X152</f>
        <v>1.17E-2</v>
      </c>
      <c r="W93" s="200">
        <f>CLIENTES!Y152</f>
        <v>1.17E-2</v>
      </c>
      <c r="X93" s="200">
        <f>CLIENTES!Z152</f>
        <v>1.17E-2</v>
      </c>
      <c r="Y93" s="200">
        <f>CLIENTES!AA152</f>
        <v>1.17E-2</v>
      </c>
      <c r="Z93" s="200">
        <f>CLIENTES!AB152</f>
        <v>1.17E-2</v>
      </c>
      <c r="AA93" s="200">
        <f>CLIENTES!AC152</f>
        <v>1.17E-2</v>
      </c>
      <c r="AB93" s="200">
        <f>CLIENTES!AD152</f>
        <v>1.17E-2</v>
      </c>
      <c r="AC93" s="200">
        <f>CLIENTES!AE152</f>
        <v>1.17E-2</v>
      </c>
      <c r="AD93" s="200">
        <f>CLIENTES!AF152</f>
        <v>1.17E-2</v>
      </c>
      <c r="AE93" s="200">
        <f>CLIENTES!AG152</f>
        <v>1.17E-2</v>
      </c>
      <c r="AF93" s="200">
        <f>CLIENTES!AH152</f>
        <v>1.17E-2</v>
      </c>
      <c r="AG93" s="200">
        <f>CLIENTES!AI152</f>
        <v>1.17E-2</v>
      </c>
      <c r="AH93" s="200">
        <f>CLIENTES!AJ152</f>
        <v>1.17E-2</v>
      </c>
      <c r="AI93" s="200">
        <f>CLIENTES!AK152</f>
        <v>1.17E-2</v>
      </c>
      <c r="AJ93" s="200">
        <f>CLIENTES!AL152</f>
        <v>1.17E-2</v>
      </c>
      <c r="AK93" s="200">
        <f>CLIENTES!AM152</f>
        <v>1.17E-2</v>
      </c>
      <c r="AL93" s="200">
        <f>CLIENTES!AN152</f>
        <v>1.17E-2</v>
      </c>
      <c r="AM93" s="200">
        <f>CLIENTES!AO152</f>
        <v>1.17E-2</v>
      </c>
      <c r="AN93" s="200">
        <f>CLIENTES!AP152</f>
        <v>1.17E-2</v>
      </c>
      <c r="AO93" s="200">
        <f>CLIENTES!AQ152</f>
        <v>1.17E-2</v>
      </c>
      <c r="AP93" s="200">
        <f>CLIENTES!AR152</f>
        <v>1.17E-2</v>
      </c>
      <c r="AQ93" s="200">
        <f>CLIENTES!AS152</f>
        <v>1.17E-2</v>
      </c>
      <c r="AR93" s="200">
        <f>CLIENTES!AT152</f>
        <v>1.17E-2</v>
      </c>
      <c r="AS93" s="200">
        <f>CLIENTES!AU152</f>
        <v>1.17E-2</v>
      </c>
      <c r="AT93" s="200">
        <f>CLIENTES!AV152</f>
        <v>1.17E-2</v>
      </c>
      <c r="AU93" s="200">
        <f>CLIENTES!AW152</f>
        <v>1.17E-2</v>
      </c>
      <c r="AV93" s="200">
        <f>CLIENTES!AX152</f>
        <v>1.17E-2</v>
      </c>
      <c r="AW93" s="200">
        <f>CLIENTES!AY152</f>
        <v>1.17E-2</v>
      </c>
      <c r="AX93" s="200">
        <f>CLIENTES!AZ152</f>
        <v>1.17E-2</v>
      </c>
      <c r="AY93" s="200">
        <f>CLIENTES!BA152</f>
        <v>1.17E-2</v>
      </c>
      <c r="AZ93" s="215">
        <f>CLIENTES!BB152</f>
        <v>1.17E-2</v>
      </c>
      <c r="BA93" s="200">
        <f>CLIENTES!BC152</f>
        <v>1.17E-2</v>
      </c>
      <c r="BB93" s="200">
        <f>CLIENTES!BD152</f>
        <v>1.17E-2</v>
      </c>
      <c r="BC93" s="200">
        <f>CLIENTES!BE152</f>
        <v>1.17E-2</v>
      </c>
      <c r="BD93" s="200">
        <f>CLIENTES!BF152</f>
        <v>1.17E-2</v>
      </c>
      <c r="BE93" s="200">
        <f>CLIENTES!BG152</f>
        <v>1.17E-2</v>
      </c>
      <c r="BF93" s="200">
        <f>CLIENTES!BH152</f>
        <v>1.17E-2</v>
      </c>
      <c r="BG93" s="200">
        <f>CLIENTES!BI152</f>
        <v>1.17E-2</v>
      </c>
      <c r="BH93" s="200">
        <f>CLIENTES!BJ152</f>
        <v>1.17E-2</v>
      </c>
      <c r="BI93" s="200">
        <f>CLIENTES!BK152</f>
        <v>1.17E-2</v>
      </c>
      <c r="BJ93" s="200">
        <f>CLIENTES!BL152</f>
        <v>1.17E-2</v>
      </c>
      <c r="BK93" s="200">
        <f>CLIENTES!BM152</f>
        <v>1.17E-2</v>
      </c>
      <c r="BL93" s="200">
        <f>CLIENTES!BN152</f>
        <v>1.17E-2</v>
      </c>
    </row>
    <row r="94" spans="2:84" x14ac:dyDescent="0.2">
      <c r="B94" s="326"/>
      <c r="C94" s="58" t="s">
        <v>23</v>
      </c>
      <c r="D94" s="27">
        <f>SUM(E94:BL94)</f>
        <v>18038.667071827873</v>
      </c>
      <c r="E94" s="139">
        <f>IF((E90+E91-E92)*E93&lt;0,0,(E90+E91-E92)*E93)</f>
        <v>8497.3348886320891</v>
      </c>
      <c r="F94" s="139">
        <f>IF((F90+F91-F92)*F93&lt;0,0,(F90+F91-F92)*F93)</f>
        <v>9541.332143415786</v>
      </c>
      <c r="G94" s="139">
        <f t="shared" ref="G94:BL94" si="39">IF((G90+G91-G92)*G93&lt;0,0,(G90+G91-G92)*G93)</f>
        <v>0</v>
      </c>
      <c r="H94" s="139">
        <f t="shared" si="39"/>
        <v>0</v>
      </c>
      <c r="I94" s="139">
        <f t="shared" si="39"/>
        <v>0</v>
      </c>
      <c r="J94" s="139">
        <f t="shared" si="39"/>
        <v>0</v>
      </c>
      <c r="K94" s="139">
        <f t="shared" si="39"/>
        <v>0</v>
      </c>
      <c r="L94" s="139">
        <f t="shared" si="39"/>
        <v>0</v>
      </c>
      <c r="M94" s="139">
        <f t="shared" si="39"/>
        <v>0</v>
      </c>
      <c r="N94" s="139">
        <f t="shared" si="39"/>
        <v>0</v>
      </c>
      <c r="O94" s="139">
        <f t="shared" si="39"/>
        <v>0</v>
      </c>
      <c r="P94" s="139">
        <f t="shared" si="39"/>
        <v>0</v>
      </c>
      <c r="Q94" s="139">
        <f t="shared" si="39"/>
        <v>0</v>
      </c>
      <c r="R94" s="139">
        <f t="shared" si="39"/>
        <v>0</v>
      </c>
      <c r="S94" s="139">
        <f t="shared" si="39"/>
        <v>0</v>
      </c>
      <c r="T94" s="139">
        <f t="shared" si="39"/>
        <v>0</v>
      </c>
      <c r="U94" s="139">
        <f t="shared" si="39"/>
        <v>0</v>
      </c>
      <c r="V94" s="139">
        <f t="shared" si="39"/>
        <v>0</v>
      </c>
      <c r="W94" s="139">
        <f t="shared" si="39"/>
        <v>0</v>
      </c>
      <c r="X94" s="139">
        <f t="shared" si="39"/>
        <v>0</v>
      </c>
      <c r="Y94" s="139">
        <f t="shared" si="39"/>
        <v>0</v>
      </c>
      <c r="Z94" s="139">
        <f t="shared" si="39"/>
        <v>0</v>
      </c>
      <c r="AA94" s="139">
        <f t="shared" si="39"/>
        <v>0</v>
      </c>
      <c r="AB94" s="139">
        <f t="shared" si="39"/>
        <v>0</v>
      </c>
      <c r="AC94" s="139">
        <f t="shared" si="39"/>
        <v>0</v>
      </c>
      <c r="AD94" s="139">
        <f t="shared" si="39"/>
        <v>0</v>
      </c>
      <c r="AE94" s="139">
        <f t="shared" si="39"/>
        <v>0</v>
      </c>
      <c r="AF94" s="139">
        <f t="shared" si="39"/>
        <v>0</v>
      </c>
      <c r="AG94" s="139">
        <f t="shared" si="39"/>
        <v>0</v>
      </c>
      <c r="AH94" s="139">
        <f t="shared" si="39"/>
        <v>0</v>
      </c>
      <c r="AI94" s="139">
        <f t="shared" si="39"/>
        <v>0</v>
      </c>
      <c r="AJ94" s="139">
        <f t="shared" si="39"/>
        <v>0</v>
      </c>
      <c r="AK94" s="139">
        <f t="shared" si="39"/>
        <v>0</v>
      </c>
      <c r="AL94" s="139">
        <f t="shared" si="39"/>
        <v>0</v>
      </c>
      <c r="AM94" s="139">
        <f t="shared" si="39"/>
        <v>0</v>
      </c>
      <c r="AN94" s="139">
        <f t="shared" si="39"/>
        <v>0</v>
      </c>
      <c r="AO94" s="139">
        <f t="shared" si="39"/>
        <v>0</v>
      </c>
      <c r="AP94" s="139">
        <f t="shared" si="39"/>
        <v>0</v>
      </c>
      <c r="AQ94" s="139">
        <f t="shared" si="39"/>
        <v>0</v>
      </c>
      <c r="AR94" s="139">
        <f t="shared" si="39"/>
        <v>0</v>
      </c>
      <c r="AS94" s="139">
        <f t="shared" si="39"/>
        <v>0</v>
      </c>
      <c r="AT94" s="139">
        <f t="shared" si="39"/>
        <v>0</v>
      </c>
      <c r="AU94" s="139">
        <f t="shared" si="39"/>
        <v>0</v>
      </c>
      <c r="AV94" s="139">
        <f t="shared" si="39"/>
        <v>0</v>
      </c>
      <c r="AW94" s="139">
        <f t="shared" si="39"/>
        <v>0</v>
      </c>
      <c r="AX94" s="139">
        <f t="shared" si="39"/>
        <v>0</v>
      </c>
      <c r="AY94" s="139">
        <f t="shared" si="39"/>
        <v>0</v>
      </c>
      <c r="AZ94" s="139">
        <f t="shared" si="39"/>
        <v>0</v>
      </c>
      <c r="BA94" s="139">
        <f t="shared" si="39"/>
        <v>0</v>
      </c>
      <c r="BB94" s="139">
        <f t="shared" si="39"/>
        <v>0</v>
      </c>
      <c r="BC94" s="139">
        <f t="shared" si="39"/>
        <v>0</v>
      </c>
      <c r="BD94" s="139">
        <f t="shared" si="39"/>
        <v>0</v>
      </c>
      <c r="BE94" s="139">
        <f t="shared" si="39"/>
        <v>0</v>
      </c>
      <c r="BF94" s="139">
        <f t="shared" si="39"/>
        <v>0</v>
      </c>
      <c r="BG94" s="139">
        <f t="shared" si="39"/>
        <v>0</v>
      </c>
      <c r="BH94" s="139">
        <f t="shared" si="39"/>
        <v>0</v>
      </c>
      <c r="BI94" s="139">
        <f t="shared" si="39"/>
        <v>0</v>
      </c>
      <c r="BJ94" s="139">
        <f t="shared" si="39"/>
        <v>0</v>
      </c>
      <c r="BK94" s="139">
        <f t="shared" si="39"/>
        <v>0</v>
      </c>
      <c r="BL94" s="139">
        <f t="shared" si="39"/>
        <v>3.9780000000000002E-5</v>
      </c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</row>
    <row r="95" spans="2:84" ht="13.5" thickBot="1" x14ac:dyDescent="0.25">
      <c r="B95" s="327"/>
      <c r="C95" s="25" t="s">
        <v>22</v>
      </c>
      <c r="D95" s="30">
        <f>SUM(E95:BL95)</f>
        <v>1559805.0834673729</v>
      </c>
      <c r="E95" s="146">
        <f>+E90-E92+E91+E94</f>
        <v>734765.27408795594</v>
      </c>
      <c r="F95" s="146">
        <f t="shared" ref="F95:BL95" si="40">+F90-F92+F91+F94</f>
        <v>825039.80593963678</v>
      </c>
      <c r="G95" s="146">
        <f t="shared" si="40"/>
        <v>0</v>
      </c>
      <c r="H95" s="146">
        <f t="shared" si="40"/>
        <v>0</v>
      </c>
      <c r="I95" s="146">
        <f t="shared" si="40"/>
        <v>0</v>
      </c>
      <c r="J95" s="146">
        <f t="shared" si="40"/>
        <v>0</v>
      </c>
      <c r="K95" s="146">
        <f t="shared" si="40"/>
        <v>0</v>
      </c>
      <c r="L95" s="146">
        <f t="shared" si="40"/>
        <v>0</v>
      </c>
      <c r="M95" s="146">
        <f t="shared" si="40"/>
        <v>0</v>
      </c>
      <c r="N95" s="146">
        <f t="shared" si="40"/>
        <v>0</v>
      </c>
      <c r="O95" s="146">
        <f t="shared" si="40"/>
        <v>0</v>
      </c>
      <c r="P95" s="146">
        <f t="shared" si="40"/>
        <v>0</v>
      </c>
      <c r="Q95" s="146">
        <f t="shared" si="40"/>
        <v>0</v>
      </c>
      <c r="R95" s="146">
        <f t="shared" si="40"/>
        <v>0</v>
      </c>
      <c r="S95" s="146">
        <f t="shared" si="40"/>
        <v>0</v>
      </c>
      <c r="T95" s="146">
        <f t="shared" si="40"/>
        <v>0</v>
      </c>
      <c r="U95" s="146">
        <f t="shared" si="40"/>
        <v>0</v>
      </c>
      <c r="V95" s="146">
        <f t="shared" si="40"/>
        <v>0</v>
      </c>
      <c r="W95" s="146">
        <f t="shared" si="40"/>
        <v>0</v>
      </c>
      <c r="X95" s="146">
        <f t="shared" si="40"/>
        <v>0</v>
      </c>
      <c r="Y95" s="146">
        <f t="shared" si="40"/>
        <v>0</v>
      </c>
      <c r="Z95" s="146">
        <f t="shared" si="40"/>
        <v>0</v>
      </c>
      <c r="AA95" s="146">
        <f t="shared" si="40"/>
        <v>0</v>
      </c>
      <c r="AB95" s="146">
        <f t="shared" si="40"/>
        <v>0</v>
      </c>
      <c r="AC95" s="146">
        <f t="shared" si="40"/>
        <v>0</v>
      </c>
      <c r="AD95" s="146">
        <f t="shared" si="40"/>
        <v>0</v>
      </c>
      <c r="AE95" s="146">
        <f t="shared" si="40"/>
        <v>0</v>
      </c>
      <c r="AF95" s="146">
        <f t="shared" si="40"/>
        <v>0</v>
      </c>
      <c r="AG95" s="146">
        <f t="shared" si="40"/>
        <v>0</v>
      </c>
      <c r="AH95" s="146">
        <f t="shared" si="40"/>
        <v>0</v>
      </c>
      <c r="AI95" s="146">
        <f t="shared" si="40"/>
        <v>0</v>
      </c>
      <c r="AJ95" s="146">
        <f t="shared" si="40"/>
        <v>0</v>
      </c>
      <c r="AK95" s="146">
        <f t="shared" si="40"/>
        <v>0</v>
      </c>
      <c r="AL95" s="146">
        <f t="shared" si="40"/>
        <v>0</v>
      </c>
      <c r="AM95" s="146">
        <f t="shared" si="40"/>
        <v>0</v>
      </c>
      <c r="AN95" s="146">
        <f t="shared" si="40"/>
        <v>0</v>
      </c>
      <c r="AO95" s="146">
        <f t="shared" si="40"/>
        <v>0</v>
      </c>
      <c r="AP95" s="146">
        <f t="shared" si="40"/>
        <v>0</v>
      </c>
      <c r="AQ95" s="146">
        <f t="shared" si="40"/>
        <v>0</v>
      </c>
      <c r="AR95" s="146">
        <f t="shared" si="40"/>
        <v>0</v>
      </c>
      <c r="AS95" s="146">
        <f t="shared" si="40"/>
        <v>0</v>
      </c>
      <c r="AT95" s="146">
        <f t="shared" si="40"/>
        <v>0</v>
      </c>
      <c r="AU95" s="146">
        <f t="shared" si="40"/>
        <v>0</v>
      </c>
      <c r="AV95" s="146">
        <f t="shared" si="40"/>
        <v>0</v>
      </c>
      <c r="AW95" s="146">
        <f t="shared" si="40"/>
        <v>0</v>
      </c>
      <c r="AX95" s="146">
        <f t="shared" si="40"/>
        <v>0</v>
      </c>
      <c r="AY95" s="146">
        <f t="shared" si="40"/>
        <v>0</v>
      </c>
      <c r="AZ95" s="146">
        <f t="shared" si="40"/>
        <v>0</v>
      </c>
      <c r="BA95" s="146">
        <f t="shared" si="40"/>
        <v>0</v>
      </c>
      <c r="BB95" s="146">
        <f t="shared" si="40"/>
        <v>0</v>
      </c>
      <c r="BC95" s="146">
        <f t="shared" si="40"/>
        <v>0</v>
      </c>
      <c r="BD95" s="146">
        <f t="shared" si="40"/>
        <v>0</v>
      </c>
      <c r="BE95" s="146">
        <f t="shared" si="40"/>
        <v>0</v>
      </c>
      <c r="BF95" s="146">
        <f t="shared" si="40"/>
        <v>0</v>
      </c>
      <c r="BG95" s="146">
        <f t="shared" si="40"/>
        <v>0</v>
      </c>
      <c r="BH95" s="146">
        <f t="shared" si="40"/>
        <v>0</v>
      </c>
      <c r="BI95" s="146">
        <f t="shared" si="40"/>
        <v>0</v>
      </c>
      <c r="BJ95" s="146">
        <f t="shared" si="40"/>
        <v>0</v>
      </c>
      <c r="BK95" s="146">
        <f t="shared" si="40"/>
        <v>0</v>
      </c>
      <c r="BL95" s="146">
        <f t="shared" si="40"/>
        <v>3.4397799999999999E-3</v>
      </c>
    </row>
    <row r="96" spans="2:84" ht="13.5" thickBot="1" x14ac:dyDescent="0.25">
      <c r="B96" s="325">
        <v>44105</v>
      </c>
      <c r="C96" s="62" t="s">
        <v>6</v>
      </c>
      <c r="D96" s="31">
        <f>SUM(E96:BL96)</f>
        <v>95000</v>
      </c>
      <c r="E96" s="285" cm="1">
        <f t="array" ref="E96">_xlfn._xlws.FILTER(CLIENTES!$E157:$BO157,(CLIENTES!$E$5:$BO$5=E$5)*(CLIENTES!$E$9:$BO$9="VENDA"),0)</f>
        <v>45000</v>
      </c>
      <c r="F96" s="199">
        <f>CLIENTES!H157</f>
        <v>50000</v>
      </c>
      <c r="G96" s="199">
        <f>CLIENTES!I157</f>
        <v>0</v>
      </c>
      <c r="H96" s="199">
        <f>CLIENTES!J157</f>
        <v>0</v>
      </c>
      <c r="I96" s="199">
        <f>CLIENTES!K157</f>
        <v>0</v>
      </c>
      <c r="J96" s="199">
        <f>CLIENTES!L157</f>
        <v>0</v>
      </c>
      <c r="K96" s="199">
        <f>CLIENTES!M157</f>
        <v>0</v>
      </c>
      <c r="L96" s="199">
        <f>CLIENTES!N157</f>
        <v>0</v>
      </c>
      <c r="M96" s="199">
        <f>CLIENTES!O157</f>
        <v>0</v>
      </c>
      <c r="N96" s="199">
        <f>CLIENTES!P157</f>
        <v>0</v>
      </c>
      <c r="O96" s="199">
        <f>CLIENTES!Q157</f>
        <v>0</v>
      </c>
      <c r="P96" s="199">
        <f>CLIENTES!R157</f>
        <v>0</v>
      </c>
      <c r="Q96" s="199">
        <f>CLIENTES!S157</f>
        <v>0</v>
      </c>
      <c r="R96" s="199">
        <f>CLIENTES!T157</f>
        <v>0</v>
      </c>
      <c r="S96" s="199">
        <f>CLIENTES!U157</f>
        <v>0</v>
      </c>
      <c r="T96" s="199">
        <f>CLIENTES!V157</f>
        <v>0</v>
      </c>
      <c r="U96" s="199">
        <f>CLIENTES!W157</f>
        <v>0</v>
      </c>
      <c r="V96" s="199">
        <f>CLIENTES!X157</f>
        <v>0</v>
      </c>
      <c r="W96" s="199">
        <f>CLIENTES!Y157</f>
        <v>0</v>
      </c>
      <c r="X96" s="199">
        <f>CLIENTES!Z157</f>
        <v>0</v>
      </c>
      <c r="Y96" s="199">
        <f>CLIENTES!AA157</f>
        <v>0</v>
      </c>
      <c r="Z96" s="199">
        <f>CLIENTES!AB157</f>
        <v>0</v>
      </c>
      <c r="AA96" s="199">
        <f>CLIENTES!AC157</f>
        <v>0</v>
      </c>
      <c r="AB96" s="199">
        <f>CLIENTES!AD157</f>
        <v>0</v>
      </c>
      <c r="AC96" s="199">
        <f>CLIENTES!AE157</f>
        <v>0</v>
      </c>
      <c r="AD96" s="199">
        <f>CLIENTES!AF157</f>
        <v>0</v>
      </c>
      <c r="AE96" s="199">
        <f>CLIENTES!AG157</f>
        <v>0</v>
      </c>
      <c r="AF96" s="199">
        <f>CLIENTES!AH157</f>
        <v>0</v>
      </c>
      <c r="AG96" s="199">
        <f>CLIENTES!AI157</f>
        <v>0</v>
      </c>
      <c r="AH96" s="199">
        <f>CLIENTES!AJ157</f>
        <v>0</v>
      </c>
      <c r="AI96" s="199">
        <f>CLIENTES!AK157</f>
        <v>0</v>
      </c>
      <c r="AJ96" s="199">
        <f>CLIENTES!AL157</f>
        <v>0</v>
      </c>
      <c r="AK96" s="199">
        <f>CLIENTES!AM157</f>
        <v>0</v>
      </c>
      <c r="AL96" s="199">
        <f>CLIENTES!AN157</f>
        <v>0</v>
      </c>
      <c r="AM96" s="199">
        <f>CLIENTES!AO157</f>
        <v>0</v>
      </c>
      <c r="AN96" s="199">
        <f>CLIENTES!AP157</f>
        <v>0</v>
      </c>
      <c r="AO96" s="199">
        <f>CLIENTES!AQ157</f>
        <v>0</v>
      </c>
      <c r="AP96" s="199">
        <f>CLIENTES!AR157</f>
        <v>0</v>
      </c>
      <c r="AQ96" s="199">
        <f>CLIENTES!AS157</f>
        <v>0</v>
      </c>
      <c r="AR96" s="199">
        <f>CLIENTES!AT157</f>
        <v>0</v>
      </c>
      <c r="AS96" s="199">
        <f>CLIENTES!AU157</f>
        <v>0</v>
      </c>
      <c r="AT96" s="199">
        <f>CLIENTES!AV157</f>
        <v>0</v>
      </c>
      <c r="AU96" s="199">
        <f>CLIENTES!AW157</f>
        <v>0</v>
      </c>
      <c r="AV96" s="199">
        <f>CLIENTES!AX157</f>
        <v>0</v>
      </c>
      <c r="AW96" s="199">
        <f>CLIENTES!AY157</f>
        <v>0</v>
      </c>
      <c r="AX96" s="199">
        <f>CLIENTES!AZ157</f>
        <v>0</v>
      </c>
      <c r="AY96" s="199">
        <f>CLIENTES!BA157</f>
        <v>0</v>
      </c>
      <c r="AZ96" s="214">
        <f>CLIENTES!BB157</f>
        <v>0</v>
      </c>
      <c r="BA96" s="199">
        <f>CLIENTES!BC157</f>
        <v>0</v>
      </c>
      <c r="BB96" s="199">
        <f>CLIENTES!BD157</f>
        <v>0</v>
      </c>
      <c r="BC96" s="199">
        <f>CLIENTES!BE157</f>
        <v>0</v>
      </c>
      <c r="BD96" s="199">
        <f>CLIENTES!BF157</f>
        <v>0</v>
      </c>
      <c r="BE96" s="199">
        <f>CLIENTES!BG157</f>
        <v>0</v>
      </c>
      <c r="BF96" s="199">
        <f>CLIENTES!BH157</f>
        <v>0</v>
      </c>
      <c r="BG96" s="199">
        <f>CLIENTES!BI157</f>
        <v>0</v>
      </c>
      <c r="BH96" s="199">
        <f>CLIENTES!BJ157</f>
        <v>0</v>
      </c>
      <c r="BI96" s="199">
        <f>CLIENTES!BK157</f>
        <v>0</v>
      </c>
      <c r="BJ96" s="199">
        <f>CLIENTES!BL157</f>
        <v>0</v>
      </c>
      <c r="BK96" s="199">
        <f>CLIENTES!BM157</f>
        <v>0</v>
      </c>
      <c r="BL96" s="199">
        <f>CLIENTES!BN157</f>
        <v>0</v>
      </c>
    </row>
    <row r="97" spans="2:84" ht="13.5" thickBot="1" x14ac:dyDescent="0.25">
      <c r="B97" s="326"/>
      <c r="C97" s="23" t="s">
        <v>9</v>
      </c>
      <c r="D97" s="27">
        <f>SUM(E97:BL97)</f>
        <v>0</v>
      </c>
      <c r="E97" s="285" cm="1">
        <f t="array" ref="E97">_xlfn._xlws.FILTER(CLIENTES!$E158:$BO158,(CLIENTES!$E$5:$BO$5=E$5)*(CLIENTES!$E$9:$BO$9="VENDA"),0)</f>
        <v>0</v>
      </c>
      <c r="F97" s="132">
        <f>CLIENTES!H158</f>
        <v>0</v>
      </c>
      <c r="G97" s="132">
        <f>CLIENTES!I158</f>
        <v>0</v>
      </c>
      <c r="H97" s="132">
        <f>CLIENTES!J158</f>
        <v>0</v>
      </c>
      <c r="I97" s="132">
        <f>CLIENTES!K158</f>
        <v>0</v>
      </c>
      <c r="J97" s="132">
        <f>CLIENTES!L158</f>
        <v>0</v>
      </c>
      <c r="K97" s="132">
        <f>CLIENTES!M158</f>
        <v>0</v>
      </c>
      <c r="L97" s="132">
        <f>CLIENTES!N158</f>
        <v>0</v>
      </c>
      <c r="M97" s="132">
        <f>CLIENTES!O158</f>
        <v>0</v>
      </c>
      <c r="N97" s="132">
        <f>CLIENTES!P158</f>
        <v>0</v>
      </c>
      <c r="O97" s="132">
        <f>CLIENTES!Q158</f>
        <v>0</v>
      </c>
      <c r="P97" s="132">
        <f>CLIENTES!R158</f>
        <v>0</v>
      </c>
      <c r="Q97" s="132">
        <f>CLIENTES!S158</f>
        <v>0</v>
      </c>
      <c r="R97" s="132">
        <f>CLIENTES!T158</f>
        <v>0</v>
      </c>
      <c r="S97" s="132">
        <f>CLIENTES!U158</f>
        <v>0</v>
      </c>
      <c r="T97" s="132">
        <f>CLIENTES!V158</f>
        <v>0</v>
      </c>
      <c r="U97" s="132">
        <f>CLIENTES!W158</f>
        <v>0</v>
      </c>
      <c r="V97" s="132">
        <f>CLIENTES!X158</f>
        <v>0</v>
      </c>
      <c r="W97" s="132">
        <f>CLIENTES!Y158</f>
        <v>0</v>
      </c>
      <c r="X97" s="132">
        <f>CLIENTES!Z158</f>
        <v>0</v>
      </c>
      <c r="Y97" s="132">
        <f>CLIENTES!AA158</f>
        <v>0</v>
      </c>
      <c r="Z97" s="132">
        <f>CLIENTES!AB158</f>
        <v>0</v>
      </c>
      <c r="AA97" s="132">
        <f>CLIENTES!AC158</f>
        <v>0</v>
      </c>
      <c r="AB97" s="132">
        <f>CLIENTES!AD158</f>
        <v>0</v>
      </c>
      <c r="AC97" s="132">
        <f>CLIENTES!AE158</f>
        <v>0</v>
      </c>
      <c r="AD97" s="132">
        <f>CLIENTES!AF158</f>
        <v>0</v>
      </c>
      <c r="AE97" s="132">
        <f>CLIENTES!AG158</f>
        <v>0</v>
      </c>
      <c r="AF97" s="132">
        <f>CLIENTES!AH158</f>
        <v>0</v>
      </c>
      <c r="AG97" s="132">
        <f>CLIENTES!AI158</f>
        <v>0</v>
      </c>
      <c r="AH97" s="132">
        <f>CLIENTES!AJ158</f>
        <v>0</v>
      </c>
      <c r="AI97" s="132">
        <f>CLIENTES!AK158</f>
        <v>0</v>
      </c>
      <c r="AJ97" s="132">
        <f>CLIENTES!AL158</f>
        <v>0</v>
      </c>
      <c r="AK97" s="132">
        <f>CLIENTES!AM158</f>
        <v>0</v>
      </c>
      <c r="AL97" s="132">
        <f>CLIENTES!AN158</f>
        <v>0</v>
      </c>
      <c r="AM97" s="132">
        <f>CLIENTES!AO158</f>
        <v>0</v>
      </c>
      <c r="AN97" s="132">
        <f>CLIENTES!AP158</f>
        <v>0</v>
      </c>
      <c r="AO97" s="132">
        <f>CLIENTES!AQ158</f>
        <v>0</v>
      </c>
      <c r="AP97" s="132">
        <f>CLIENTES!AR158</f>
        <v>0</v>
      </c>
      <c r="AQ97" s="132">
        <f>CLIENTES!AS158</f>
        <v>0</v>
      </c>
      <c r="AR97" s="132">
        <f>CLIENTES!AT158</f>
        <v>0</v>
      </c>
      <c r="AS97" s="132">
        <f>CLIENTES!AU158</f>
        <v>0</v>
      </c>
      <c r="AT97" s="132">
        <f>CLIENTES!AV158</f>
        <v>0</v>
      </c>
      <c r="AU97" s="132">
        <f>CLIENTES!AW158</f>
        <v>0</v>
      </c>
      <c r="AV97" s="132">
        <f>CLIENTES!AX158</f>
        <v>0</v>
      </c>
      <c r="AW97" s="132">
        <f>CLIENTES!AY158</f>
        <v>0</v>
      </c>
      <c r="AX97" s="132">
        <f>CLIENTES!AZ158</f>
        <v>0</v>
      </c>
      <c r="AY97" s="132">
        <f>CLIENTES!BA158</f>
        <v>0</v>
      </c>
      <c r="AZ97" s="139">
        <f>CLIENTES!BB158</f>
        <v>0</v>
      </c>
      <c r="BA97" s="132">
        <f>CLIENTES!BC158</f>
        <v>0</v>
      </c>
      <c r="BB97" s="132">
        <f>CLIENTES!BD158</f>
        <v>0</v>
      </c>
      <c r="BC97" s="132">
        <f>CLIENTES!BE158</f>
        <v>0</v>
      </c>
      <c r="BD97" s="132">
        <f>CLIENTES!BF158</f>
        <v>0</v>
      </c>
      <c r="BE97" s="132">
        <f>CLIENTES!BG158</f>
        <v>0</v>
      </c>
      <c r="BF97" s="132">
        <f>CLIENTES!BH158</f>
        <v>0</v>
      </c>
      <c r="BG97" s="132">
        <f>CLIENTES!BI158</f>
        <v>0</v>
      </c>
      <c r="BH97" s="132">
        <f>CLIENTES!BJ158</f>
        <v>0</v>
      </c>
      <c r="BI97" s="132">
        <f>CLIENTES!BK158</f>
        <v>0</v>
      </c>
      <c r="BJ97" s="132">
        <f>CLIENTES!BL158</f>
        <v>0</v>
      </c>
      <c r="BK97" s="132">
        <f>CLIENTES!BM158</f>
        <v>0</v>
      </c>
      <c r="BL97" s="132">
        <f>CLIENTES!BN158</f>
        <v>0</v>
      </c>
    </row>
    <row r="98" spans="2:84" x14ac:dyDescent="0.2">
      <c r="B98" s="326"/>
      <c r="C98" s="23" t="s">
        <v>10</v>
      </c>
      <c r="D98" s="72">
        <v>7.1999999999999998E-3</v>
      </c>
      <c r="E98" s="200">
        <v>7.1999999999999998E-3</v>
      </c>
      <c r="F98" s="200">
        <v>7.1999999999999998E-3</v>
      </c>
      <c r="G98" s="200">
        <v>7.1999999999999998E-3</v>
      </c>
      <c r="H98" s="200">
        <v>7.1999999999999998E-3</v>
      </c>
      <c r="I98" s="200">
        <v>7.1999999999999998E-3</v>
      </c>
      <c r="J98" s="200">
        <v>7.1999999999999998E-3</v>
      </c>
      <c r="K98" s="200">
        <v>7.1999999999999998E-3</v>
      </c>
      <c r="L98" s="200">
        <v>7.1999999999999998E-3</v>
      </c>
      <c r="M98" s="200">
        <v>7.1999999999999998E-3</v>
      </c>
      <c r="N98" s="200">
        <v>7.1999999999999998E-3</v>
      </c>
      <c r="O98" s="200">
        <v>7.1999999999999998E-3</v>
      </c>
      <c r="P98" s="200">
        <v>7.1999999999999998E-3</v>
      </c>
      <c r="Q98" s="200">
        <v>7.1999999999999998E-3</v>
      </c>
      <c r="R98" s="200">
        <v>7.1999999999999998E-3</v>
      </c>
      <c r="S98" s="200">
        <v>7.1999999999999998E-3</v>
      </c>
      <c r="T98" s="200">
        <v>7.1999999999999998E-3</v>
      </c>
      <c r="U98" s="200">
        <v>7.1999999999999998E-3</v>
      </c>
      <c r="V98" s="200">
        <v>7.1999999999999998E-3</v>
      </c>
      <c r="W98" s="200">
        <v>7.1999999999999998E-3</v>
      </c>
      <c r="X98" s="200">
        <v>7.1999999999999998E-3</v>
      </c>
      <c r="Y98" s="200">
        <v>7.1999999999999998E-3</v>
      </c>
      <c r="Z98" s="200">
        <v>7.1999999999999998E-3</v>
      </c>
      <c r="AA98" s="200">
        <v>7.1999999999999998E-3</v>
      </c>
      <c r="AB98" s="200">
        <v>7.1999999999999998E-3</v>
      </c>
      <c r="AC98" s="200">
        <v>7.1999999999999998E-3</v>
      </c>
      <c r="AD98" s="200">
        <v>7.1999999999999998E-3</v>
      </c>
      <c r="AE98" s="200">
        <v>7.1999999999999998E-3</v>
      </c>
      <c r="AF98" s="200">
        <v>7.1999999999999998E-3</v>
      </c>
      <c r="AG98" s="200">
        <v>7.1999999999999998E-3</v>
      </c>
      <c r="AH98" s="200">
        <v>7.1999999999999998E-3</v>
      </c>
      <c r="AI98" s="200">
        <v>7.1999999999999998E-3</v>
      </c>
      <c r="AJ98" s="200">
        <v>7.1999999999999998E-3</v>
      </c>
      <c r="AK98" s="200">
        <v>7.1999999999999998E-3</v>
      </c>
      <c r="AL98" s="200">
        <v>7.1999999999999998E-3</v>
      </c>
      <c r="AM98" s="200">
        <v>7.1999999999999998E-3</v>
      </c>
      <c r="AN98" s="200">
        <v>7.1999999999999998E-3</v>
      </c>
      <c r="AO98" s="200">
        <v>7.1999999999999998E-3</v>
      </c>
      <c r="AP98" s="200">
        <v>7.1999999999999998E-3</v>
      </c>
      <c r="AQ98" s="200">
        <v>7.1999999999999998E-3</v>
      </c>
      <c r="AR98" s="200">
        <v>7.1999999999999998E-3</v>
      </c>
      <c r="AS98" s="200">
        <v>7.1999999999999998E-3</v>
      </c>
      <c r="AT98" s="200">
        <v>7.1999999999999998E-3</v>
      </c>
      <c r="AU98" s="200">
        <v>7.1999999999999998E-3</v>
      </c>
      <c r="AV98" s="200">
        <v>7.1999999999999998E-3</v>
      </c>
      <c r="AW98" s="200">
        <v>7.1999999999999998E-3</v>
      </c>
      <c r="AX98" s="200">
        <v>7.1999999999999998E-3</v>
      </c>
      <c r="AY98" s="200">
        <v>7.1999999999999998E-3</v>
      </c>
      <c r="AZ98" s="215">
        <v>7.1999999999999998E-3</v>
      </c>
      <c r="BA98" s="200">
        <v>7.1999999999999998E-3</v>
      </c>
      <c r="BB98" s="200">
        <v>7.1999999999999998E-3</v>
      </c>
      <c r="BC98" s="200">
        <v>7.1999999999999998E-3</v>
      </c>
      <c r="BD98" s="200">
        <v>7.1999999999999998E-3</v>
      </c>
      <c r="BE98" s="200">
        <v>7.1999999999999998E-3</v>
      </c>
      <c r="BF98" s="200">
        <v>7.1999999999999998E-3</v>
      </c>
      <c r="BG98" s="200">
        <v>7.1999999999999998E-3</v>
      </c>
      <c r="BH98" s="200">
        <v>7.1999999999999998E-3</v>
      </c>
      <c r="BI98" s="200">
        <v>7.1999999999999998E-3</v>
      </c>
      <c r="BJ98" s="200">
        <v>7.1999999999999998E-3</v>
      </c>
      <c r="BK98" s="200">
        <v>7.1999999999999998E-3</v>
      </c>
      <c r="BL98" s="200">
        <v>7.1999999999999998E-3</v>
      </c>
    </row>
    <row r="99" spans="2:84" x14ac:dyDescent="0.2">
      <c r="B99" s="326"/>
      <c r="C99" s="58" t="s">
        <v>23</v>
      </c>
      <c r="D99" s="27">
        <f>SUM(E99:BL99)</f>
        <v>11914.596600965082</v>
      </c>
      <c r="E99" s="139">
        <f>IF((E95+E96-E97)*E98&lt;0,0,(E95+E96-E97)*E98)</f>
        <v>5614.3099734332827</v>
      </c>
      <c r="F99" s="139">
        <f t="shared" ref="F99:BL99" si="41">IF((F95+F96-F97)*F98&lt;0,0,(F95+F96-F97)*F98)</f>
        <v>6300.2866027653845</v>
      </c>
      <c r="G99" s="139">
        <f t="shared" si="41"/>
        <v>0</v>
      </c>
      <c r="H99" s="139">
        <f t="shared" si="41"/>
        <v>0</v>
      </c>
      <c r="I99" s="139">
        <f t="shared" si="41"/>
        <v>0</v>
      </c>
      <c r="J99" s="139">
        <f t="shared" si="41"/>
        <v>0</v>
      </c>
      <c r="K99" s="139">
        <f t="shared" si="41"/>
        <v>0</v>
      </c>
      <c r="L99" s="139">
        <f t="shared" si="41"/>
        <v>0</v>
      </c>
      <c r="M99" s="139">
        <f t="shared" si="41"/>
        <v>0</v>
      </c>
      <c r="N99" s="139">
        <f t="shared" si="41"/>
        <v>0</v>
      </c>
      <c r="O99" s="139">
        <f t="shared" si="41"/>
        <v>0</v>
      </c>
      <c r="P99" s="139">
        <f t="shared" si="41"/>
        <v>0</v>
      </c>
      <c r="Q99" s="139">
        <f t="shared" si="41"/>
        <v>0</v>
      </c>
      <c r="R99" s="139">
        <f t="shared" si="41"/>
        <v>0</v>
      </c>
      <c r="S99" s="139">
        <f t="shared" si="41"/>
        <v>0</v>
      </c>
      <c r="T99" s="139">
        <f t="shared" si="41"/>
        <v>0</v>
      </c>
      <c r="U99" s="139">
        <f t="shared" si="41"/>
        <v>0</v>
      </c>
      <c r="V99" s="139">
        <f t="shared" si="41"/>
        <v>0</v>
      </c>
      <c r="W99" s="139">
        <f t="shared" si="41"/>
        <v>0</v>
      </c>
      <c r="X99" s="139">
        <f t="shared" si="41"/>
        <v>0</v>
      </c>
      <c r="Y99" s="139">
        <f t="shared" si="41"/>
        <v>0</v>
      </c>
      <c r="Z99" s="139">
        <f t="shared" si="41"/>
        <v>0</v>
      </c>
      <c r="AA99" s="139">
        <f t="shared" si="41"/>
        <v>0</v>
      </c>
      <c r="AB99" s="139">
        <f t="shared" si="41"/>
        <v>0</v>
      </c>
      <c r="AC99" s="139">
        <f t="shared" si="41"/>
        <v>0</v>
      </c>
      <c r="AD99" s="139">
        <f t="shared" si="41"/>
        <v>0</v>
      </c>
      <c r="AE99" s="139">
        <f t="shared" si="41"/>
        <v>0</v>
      </c>
      <c r="AF99" s="139">
        <f t="shared" si="41"/>
        <v>0</v>
      </c>
      <c r="AG99" s="139">
        <f t="shared" si="41"/>
        <v>0</v>
      </c>
      <c r="AH99" s="139">
        <f t="shared" si="41"/>
        <v>0</v>
      </c>
      <c r="AI99" s="139">
        <f t="shared" si="41"/>
        <v>0</v>
      </c>
      <c r="AJ99" s="139">
        <f t="shared" si="41"/>
        <v>0</v>
      </c>
      <c r="AK99" s="139">
        <f t="shared" si="41"/>
        <v>0</v>
      </c>
      <c r="AL99" s="139">
        <f t="shared" si="41"/>
        <v>0</v>
      </c>
      <c r="AM99" s="139">
        <f t="shared" si="41"/>
        <v>0</v>
      </c>
      <c r="AN99" s="139">
        <f t="shared" si="41"/>
        <v>0</v>
      </c>
      <c r="AO99" s="139">
        <f t="shared" si="41"/>
        <v>0</v>
      </c>
      <c r="AP99" s="139">
        <f t="shared" si="41"/>
        <v>0</v>
      </c>
      <c r="AQ99" s="139">
        <f t="shared" si="41"/>
        <v>0</v>
      </c>
      <c r="AR99" s="139">
        <f t="shared" si="41"/>
        <v>0</v>
      </c>
      <c r="AS99" s="139">
        <f t="shared" si="41"/>
        <v>0</v>
      </c>
      <c r="AT99" s="139">
        <f t="shared" si="41"/>
        <v>0</v>
      </c>
      <c r="AU99" s="139">
        <f t="shared" si="41"/>
        <v>0</v>
      </c>
      <c r="AV99" s="139">
        <f t="shared" si="41"/>
        <v>0</v>
      </c>
      <c r="AW99" s="139">
        <f t="shared" si="41"/>
        <v>0</v>
      </c>
      <c r="AX99" s="139">
        <f t="shared" si="41"/>
        <v>0</v>
      </c>
      <c r="AY99" s="139">
        <f t="shared" si="41"/>
        <v>0</v>
      </c>
      <c r="AZ99" s="139">
        <f t="shared" si="41"/>
        <v>0</v>
      </c>
      <c r="BA99" s="139">
        <f t="shared" si="41"/>
        <v>0</v>
      </c>
      <c r="BB99" s="139">
        <f t="shared" si="41"/>
        <v>0</v>
      </c>
      <c r="BC99" s="139">
        <f t="shared" si="41"/>
        <v>0</v>
      </c>
      <c r="BD99" s="139">
        <f t="shared" si="41"/>
        <v>0</v>
      </c>
      <c r="BE99" s="139">
        <f t="shared" si="41"/>
        <v>0</v>
      </c>
      <c r="BF99" s="139">
        <f t="shared" si="41"/>
        <v>0</v>
      </c>
      <c r="BG99" s="139">
        <f t="shared" si="41"/>
        <v>0</v>
      </c>
      <c r="BH99" s="139">
        <f t="shared" si="41"/>
        <v>0</v>
      </c>
      <c r="BI99" s="139">
        <f t="shared" si="41"/>
        <v>0</v>
      </c>
      <c r="BJ99" s="139">
        <f t="shared" si="41"/>
        <v>0</v>
      </c>
      <c r="BK99" s="139">
        <f t="shared" si="41"/>
        <v>0</v>
      </c>
      <c r="BL99" s="139">
        <f t="shared" si="41"/>
        <v>2.4766415999999998E-5</v>
      </c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</row>
    <row r="100" spans="2:84" ht="13.5" thickBot="1" x14ac:dyDescent="0.25">
      <c r="B100" s="327"/>
      <c r="C100" s="25" t="s">
        <v>22</v>
      </c>
      <c r="D100" s="30">
        <f>SUM(E100:BL100)</f>
        <v>1666719.6800683378</v>
      </c>
      <c r="E100" s="146">
        <f>+E95-E97+E96+E99</f>
        <v>785379.58406138921</v>
      </c>
      <c r="F100" s="146">
        <f t="shared" ref="F100:BL100" si="42">+F95-F97+F96+F99</f>
        <v>881340.09254240221</v>
      </c>
      <c r="G100" s="146">
        <f t="shared" si="42"/>
        <v>0</v>
      </c>
      <c r="H100" s="146">
        <f t="shared" si="42"/>
        <v>0</v>
      </c>
      <c r="I100" s="146">
        <f t="shared" si="42"/>
        <v>0</v>
      </c>
      <c r="J100" s="146">
        <f t="shared" si="42"/>
        <v>0</v>
      </c>
      <c r="K100" s="146">
        <f t="shared" si="42"/>
        <v>0</v>
      </c>
      <c r="L100" s="146">
        <f t="shared" si="42"/>
        <v>0</v>
      </c>
      <c r="M100" s="146">
        <f t="shared" si="42"/>
        <v>0</v>
      </c>
      <c r="N100" s="146">
        <f t="shared" si="42"/>
        <v>0</v>
      </c>
      <c r="O100" s="146">
        <f t="shared" si="42"/>
        <v>0</v>
      </c>
      <c r="P100" s="146">
        <f t="shared" si="42"/>
        <v>0</v>
      </c>
      <c r="Q100" s="146">
        <f t="shared" si="42"/>
        <v>0</v>
      </c>
      <c r="R100" s="146">
        <f t="shared" si="42"/>
        <v>0</v>
      </c>
      <c r="S100" s="146">
        <f t="shared" si="42"/>
        <v>0</v>
      </c>
      <c r="T100" s="146">
        <f t="shared" si="42"/>
        <v>0</v>
      </c>
      <c r="U100" s="146">
        <f t="shared" si="42"/>
        <v>0</v>
      </c>
      <c r="V100" s="146">
        <f t="shared" si="42"/>
        <v>0</v>
      </c>
      <c r="W100" s="146">
        <f t="shared" si="42"/>
        <v>0</v>
      </c>
      <c r="X100" s="146">
        <f t="shared" si="42"/>
        <v>0</v>
      </c>
      <c r="Y100" s="146">
        <f t="shared" si="42"/>
        <v>0</v>
      </c>
      <c r="Z100" s="146">
        <f t="shared" si="42"/>
        <v>0</v>
      </c>
      <c r="AA100" s="146">
        <f t="shared" si="42"/>
        <v>0</v>
      </c>
      <c r="AB100" s="146">
        <f t="shared" si="42"/>
        <v>0</v>
      </c>
      <c r="AC100" s="146">
        <f t="shared" si="42"/>
        <v>0</v>
      </c>
      <c r="AD100" s="146">
        <f t="shared" si="42"/>
        <v>0</v>
      </c>
      <c r="AE100" s="146">
        <f t="shared" si="42"/>
        <v>0</v>
      </c>
      <c r="AF100" s="146">
        <f t="shared" si="42"/>
        <v>0</v>
      </c>
      <c r="AG100" s="146">
        <f t="shared" si="42"/>
        <v>0</v>
      </c>
      <c r="AH100" s="146">
        <f t="shared" si="42"/>
        <v>0</v>
      </c>
      <c r="AI100" s="146">
        <f t="shared" si="42"/>
        <v>0</v>
      </c>
      <c r="AJ100" s="146">
        <f t="shared" si="42"/>
        <v>0</v>
      </c>
      <c r="AK100" s="146">
        <f t="shared" si="42"/>
        <v>0</v>
      </c>
      <c r="AL100" s="146">
        <f t="shared" si="42"/>
        <v>0</v>
      </c>
      <c r="AM100" s="146">
        <f t="shared" si="42"/>
        <v>0</v>
      </c>
      <c r="AN100" s="146">
        <f t="shared" si="42"/>
        <v>0</v>
      </c>
      <c r="AO100" s="146">
        <f t="shared" si="42"/>
        <v>0</v>
      </c>
      <c r="AP100" s="146">
        <f t="shared" si="42"/>
        <v>0</v>
      </c>
      <c r="AQ100" s="146">
        <f t="shared" si="42"/>
        <v>0</v>
      </c>
      <c r="AR100" s="146">
        <f t="shared" si="42"/>
        <v>0</v>
      </c>
      <c r="AS100" s="146">
        <f t="shared" si="42"/>
        <v>0</v>
      </c>
      <c r="AT100" s="146">
        <f t="shared" si="42"/>
        <v>0</v>
      </c>
      <c r="AU100" s="146">
        <f t="shared" si="42"/>
        <v>0</v>
      </c>
      <c r="AV100" s="146">
        <f t="shared" si="42"/>
        <v>0</v>
      </c>
      <c r="AW100" s="146">
        <f t="shared" si="42"/>
        <v>0</v>
      </c>
      <c r="AX100" s="146">
        <f t="shared" si="42"/>
        <v>0</v>
      </c>
      <c r="AY100" s="146">
        <f t="shared" si="42"/>
        <v>0</v>
      </c>
      <c r="AZ100" s="146">
        <f t="shared" si="42"/>
        <v>0</v>
      </c>
      <c r="BA100" s="146">
        <f t="shared" si="42"/>
        <v>0</v>
      </c>
      <c r="BB100" s="146">
        <f t="shared" si="42"/>
        <v>0</v>
      </c>
      <c r="BC100" s="146">
        <f t="shared" si="42"/>
        <v>0</v>
      </c>
      <c r="BD100" s="146">
        <f t="shared" si="42"/>
        <v>0</v>
      </c>
      <c r="BE100" s="146">
        <f t="shared" si="42"/>
        <v>0</v>
      </c>
      <c r="BF100" s="146">
        <f t="shared" si="42"/>
        <v>0</v>
      </c>
      <c r="BG100" s="146">
        <f t="shared" si="42"/>
        <v>0</v>
      </c>
      <c r="BH100" s="146">
        <f t="shared" si="42"/>
        <v>0</v>
      </c>
      <c r="BI100" s="146">
        <f t="shared" si="42"/>
        <v>0</v>
      </c>
      <c r="BJ100" s="146">
        <f t="shared" si="42"/>
        <v>0</v>
      </c>
      <c r="BK100" s="146">
        <f t="shared" si="42"/>
        <v>0</v>
      </c>
      <c r="BL100" s="146">
        <f t="shared" si="42"/>
        <v>3.4645464159999998E-3</v>
      </c>
    </row>
    <row r="101" spans="2:84" ht="13.5" thickBot="1" x14ac:dyDescent="0.25">
      <c r="B101" s="325">
        <v>44136</v>
      </c>
      <c r="C101" s="62" t="s">
        <v>6</v>
      </c>
      <c r="D101" s="31">
        <f>SUM(E101:BL101)</f>
        <v>95000</v>
      </c>
      <c r="E101" s="285" cm="1">
        <f t="array" ref="E101">_xlfn._xlws.FILTER(CLIENTES!$E165:$BO165,(CLIENTES!$E$5:$BO$5=E$5)*(CLIENTES!$E$9:$BO$9="VENDA"),0)</f>
        <v>45000</v>
      </c>
      <c r="F101" s="199">
        <f>CLIENTES!H165</f>
        <v>50000</v>
      </c>
      <c r="G101" s="199">
        <f>CLIENTES!I165</f>
        <v>0</v>
      </c>
      <c r="H101" s="199">
        <f>CLIENTES!J165</f>
        <v>0</v>
      </c>
      <c r="I101" s="199">
        <f>CLIENTES!K165</f>
        <v>0</v>
      </c>
      <c r="J101" s="199">
        <f>CLIENTES!L165</f>
        <v>0</v>
      </c>
      <c r="K101" s="199">
        <f>CLIENTES!M165</f>
        <v>0</v>
      </c>
      <c r="L101" s="199">
        <f>CLIENTES!N165</f>
        <v>0</v>
      </c>
      <c r="M101" s="199">
        <f>CLIENTES!O165</f>
        <v>0</v>
      </c>
      <c r="N101" s="199">
        <f>CLIENTES!P165</f>
        <v>0</v>
      </c>
      <c r="O101" s="199">
        <f>CLIENTES!Q165</f>
        <v>0</v>
      </c>
      <c r="P101" s="199">
        <f>CLIENTES!R165</f>
        <v>0</v>
      </c>
      <c r="Q101" s="199">
        <f>CLIENTES!S165</f>
        <v>0</v>
      </c>
      <c r="R101" s="199">
        <f>CLIENTES!T165</f>
        <v>0</v>
      </c>
      <c r="S101" s="199">
        <f>CLIENTES!U165</f>
        <v>0</v>
      </c>
      <c r="T101" s="199">
        <f>CLIENTES!V165</f>
        <v>0</v>
      </c>
      <c r="U101" s="199">
        <f>CLIENTES!W165</f>
        <v>0</v>
      </c>
      <c r="V101" s="199">
        <f>CLIENTES!X165</f>
        <v>0</v>
      </c>
      <c r="W101" s="199">
        <f>CLIENTES!Y165</f>
        <v>0</v>
      </c>
      <c r="X101" s="199">
        <f>CLIENTES!Z165</f>
        <v>0</v>
      </c>
      <c r="Y101" s="199">
        <f>CLIENTES!AA165</f>
        <v>0</v>
      </c>
      <c r="Z101" s="199">
        <f>CLIENTES!AB165</f>
        <v>0</v>
      </c>
      <c r="AA101" s="199">
        <f>CLIENTES!AC165</f>
        <v>0</v>
      </c>
      <c r="AB101" s="199">
        <f>CLIENTES!AD165</f>
        <v>0</v>
      </c>
      <c r="AC101" s="199">
        <f>CLIENTES!AE165</f>
        <v>0</v>
      </c>
      <c r="AD101" s="199">
        <f>CLIENTES!AF165</f>
        <v>0</v>
      </c>
      <c r="AE101" s="199">
        <f>CLIENTES!AG165</f>
        <v>0</v>
      </c>
      <c r="AF101" s="199">
        <f>CLIENTES!AH165</f>
        <v>0</v>
      </c>
      <c r="AG101" s="199">
        <f>CLIENTES!AI165</f>
        <v>0</v>
      </c>
      <c r="AH101" s="199">
        <f>CLIENTES!AJ165</f>
        <v>0</v>
      </c>
      <c r="AI101" s="199">
        <f>CLIENTES!AK165</f>
        <v>0</v>
      </c>
      <c r="AJ101" s="199">
        <f>CLIENTES!AL165</f>
        <v>0</v>
      </c>
      <c r="AK101" s="199">
        <f>CLIENTES!AM165</f>
        <v>0</v>
      </c>
      <c r="AL101" s="199">
        <f>CLIENTES!AN165</f>
        <v>0</v>
      </c>
      <c r="AM101" s="199">
        <f>CLIENTES!AO165</f>
        <v>0</v>
      </c>
      <c r="AN101" s="199">
        <f>CLIENTES!AP165</f>
        <v>0</v>
      </c>
      <c r="AO101" s="199">
        <f>CLIENTES!AQ165</f>
        <v>0</v>
      </c>
      <c r="AP101" s="199">
        <f>CLIENTES!AR165</f>
        <v>0</v>
      </c>
      <c r="AQ101" s="199">
        <f>CLIENTES!AS165</f>
        <v>0</v>
      </c>
      <c r="AR101" s="199">
        <f>CLIENTES!AT165</f>
        <v>0</v>
      </c>
      <c r="AS101" s="199">
        <f>CLIENTES!AU165</f>
        <v>0</v>
      </c>
      <c r="AT101" s="199">
        <f>CLIENTES!AV165</f>
        <v>0</v>
      </c>
      <c r="AU101" s="199">
        <f>CLIENTES!AW165</f>
        <v>0</v>
      </c>
      <c r="AV101" s="199">
        <f>CLIENTES!AX165</f>
        <v>0</v>
      </c>
      <c r="AW101" s="199">
        <f>CLIENTES!AY165</f>
        <v>0</v>
      </c>
      <c r="AX101" s="199">
        <f>CLIENTES!AZ165</f>
        <v>0</v>
      </c>
      <c r="AY101" s="199">
        <f>CLIENTES!BA165</f>
        <v>0</v>
      </c>
      <c r="AZ101" s="214">
        <f>CLIENTES!BB165</f>
        <v>0</v>
      </c>
      <c r="BA101" s="199">
        <f>CLIENTES!BC165</f>
        <v>0</v>
      </c>
      <c r="BB101" s="199">
        <f>CLIENTES!BD165</f>
        <v>0</v>
      </c>
      <c r="BC101" s="199">
        <f>CLIENTES!BE165</f>
        <v>0</v>
      </c>
      <c r="BD101" s="199">
        <f>CLIENTES!BF165</f>
        <v>0</v>
      </c>
      <c r="BE101" s="199">
        <f>CLIENTES!BG165</f>
        <v>0</v>
      </c>
      <c r="BF101" s="199">
        <f>CLIENTES!BH165</f>
        <v>0</v>
      </c>
      <c r="BG101" s="199">
        <f>CLIENTES!BI165</f>
        <v>0</v>
      </c>
      <c r="BH101" s="199">
        <f>CLIENTES!BJ165</f>
        <v>0</v>
      </c>
      <c r="BI101" s="199">
        <f>CLIENTES!BK165</f>
        <v>0</v>
      </c>
      <c r="BJ101" s="199">
        <f>CLIENTES!BL165</f>
        <v>0</v>
      </c>
      <c r="BK101" s="199">
        <f>CLIENTES!BM165</f>
        <v>0</v>
      </c>
      <c r="BL101" s="199">
        <f>CLIENTES!BN165</f>
        <v>0</v>
      </c>
    </row>
    <row r="102" spans="2:84" ht="13.5" thickBot="1" x14ac:dyDescent="0.25">
      <c r="B102" s="326"/>
      <c r="C102" s="23" t="s">
        <v>9</v>
      </c>
      <c r="D102" s="27">
        <f>SUM(E102:BL102)</f>
        <v>0</v>
      </c>
      <c r="E102" s="285" cm="1">
        <f t="array" ref="E102">_xlfn._xlws.FILTER(CLIENTES!$E166:$BO166,(CLIENTES!$E$5:$BO$5=E$5)*(CLIENTES!$E$9:$BO$9="VENDA"),0)</f>
        <v>0</v>
      </c>
      <c r="F102" s="132">
        <f>CLIENTES!H166</f>
        <v>0</v>
      </c>
      <c r="G102" s="132">
        <f>CLIENTES!I166</f>
        <v>0</v>
      </c>
      <c r="H102" s="132">
        <f>CLIENTES!J166</f>
        <v>0</v>
      </c>
      <c r="I102" s="132">
        <f>CLIENTES!K166</f>
        <v>0</v>
      </c>
      <c r="J102" s="132">
        <f>CLIENTES!L166</f>
        <v>0</v>
      </c>
      <c r="K102" s="132">
        <f>CLIENTES!M166</f>
        <v>0</v>
      </c>
      <c r="L102" s="132">
        <f>CLIENTES!N166</f>
        <v>0</v>
      </c>
      <c r="M102" s="132">
        <f>CLIENTES!O166</f>
        <v>0</v>
      </c>
      <c r="N102" s="132">
        <f>CLIENTES!P166</f>
        <v>0</v>
      </c>
      <c r="O102" s="132">
        <f>CLIENTES!Q166</f>
        <v>0</v>
      </c>
      <c r="P102" s="132">
        <f>CLIENTES!R166</f>
        <v>0</v>
      </c>
      <c r="Q102" s="132">
        <f>CLIENTES!S166</f>
        <v>0</v>
      </c>
      <c r="R102" s="132">
        <f>CLIENTES!T166</f>
        <v>0</v>
      </c>
      <c r="S102" s="132">
        <f>CLIENTES!U166</f>
        <v>0</v>
      </c>
      <c r="T102" s="132">
        <f>CLIENTES!V166</f>
        <v>0</v>
      </c>
      <c r="U102" s="132">
        <f>CLIENTES!W166</f>
        <v>0</v>
      </c>
      <c r="V102" s="132">
        <f>CLIENTES!X166</f>
        <v>0</v>
      </c>
      <c r="W102" s="132">
        <f>CLIENTES!Y166</f>
        <v>0</v>
      </c>
      <c r="X102" s="132">
        <f>CLIENTES!Z166</f>
        <v>0</v>
      </c>
      <c r="Y102" s="132">
        <f>CLIENTES!AA166</f>
        <v>0</v>
      </c>
      <c r="Z102" s="132">
        <f>CLIENTES!AB166</f>
        <v>0</v>
      </c>
      <c r="AA102" s="132">
        <f>CLIENTES!AC166</f>
        <v>0</v>
      </c>
      <c r="AB102" s="132">
        <f>CLIENTES!AD166</f>
        <v>0</v>
      </c>
      <c r="AC102" s="132">
        <f>CLIENTES!AE166</f>
        <v>0</v>
      </c>
      <c r="AD102" s="132">
        <f>CLIENTES!AF166</f>
        <v>0</v>
      </c>
      <c r="AE102" s="132">
        <f>CLIENTES!AG166</f>
        <v>0</v>
      </c>
      <c r="AF102" s="132">
        <f>CLIENTES!AH166</f>
        <v>0</v>
      </c>
      <c r="AG102" s="132">
        <f>CLIENTES!AI166</f>
        <v>0</v>
      </c>
      <c r="AH102" s="132">
        <f>CLIENTES!AJ166</f>
        <v>0</v>
      </c>
      <c r="AI102" s="132">
        <f>CLIENTES!AK166</f>
        <v>0</v>
      </c>
      <c r="AJ102" s="132">
        <f>CLIENTES!AL166</f>
        <v>0</v>
      </c>
      <c r="AK102" s="132">
        <f>CLIENTES!AM166</f>
        <v>0</v>
      </c>
      <c r="AL102" s="132">
        <f>CLIENTES!AN166</f>
        <v>0</v>
      </c>
      <c r="AM102" s="132">
        <f>CLIENTES!AO166</f>
        <v>0</v>
      </c>
      <c r="AN102" s="132">
        <f>CLIENTES!AP166</f>
        <v>0</v>
      </c>
      <c r="AO102" s="132">
        <f>CLIENTES!AQ166</f>
        <v>0</v>
      </c>
      <c r="AP102" s="132">
        <f>CLIENTES!AR166</f>
        <v>0</v>
      </c>
      <c r="AQ102" s="132">
        <f>CLIENTES!AS166</f>
        <v>0</v>
      </c>
      <c r="AR102" s="132">
        <f>CLIENTES!AT166</f>
        <v>0</v>
      </c>
      <c r="AS102" s="132">
        <f>CLIENTES!AU166</f>
        <v>0</v>
      </c>
      <c r="AT102" s="132">
        <f>CLIENTES!AV166</f>
        <v>0</v>
      </c>
      <c r="AU102" s="132">
        <f>CLIENTES!AW166</f>
        <v>0</v>
      </c>
      <c r="AV102" s="132">
        <f>CLIENTES!AX166</f>
        <v>0</v>
      </c>
      <c r="AW102" s="132">
        <f>CLIENTES!AY166</f>
        <v>0</v>
      </c>
      <c r="AX102" s="132">
        <f>CLIENTES!AZ166</f>
        <v>0</v>
      </c>
      <c r="AY102" s="132">
        <f>CLIENTES!BA166</f>
        <v>0</v>
      </c>
      <c r="AZ102" s="139">
        <f>CLIENTES!BB166</f>
        <v>0</v>
      </c>
      <c r="BA102" s="132">
        <f>CLIENTES!BC166</f>
        <v>0</v>
      </c>
      <c r="BB102" s="132">
        <f>CLIENTES!BD166</f>
        <v>0</v>
      </c>
      <c r="BC102" s="132">
        <f>CLIENTES!BE166</f>
        <v>0</v>
      </c>
      <c r="BD102" s="132">
        <f>CLIENTES!BF166</f>
        <v>0</v>
      </c>
      <c r="BE102" s="132">
        <f>CLIENTES!BG166</f>
        <v>0</v>
      </c>
      <c r="BF102" s="132">
        <f>CLIENTES!BH166</f>
        <v>0</v>
      </c>
      <c r="BG102" s="132">
        <f>CLIENTES!BI166</f>
        <v>0</v>
      </c>
      <c r="BH102" s="132">
        <f>CLIENTES!BJ166</f>
        <v>0</v>
      </c>
      <c r="BI102" s="132">
        <f>CLIENTES!BK166</f>
        <v>0</v>
      </c>
      <c r="BJ102" s="132">
        <f>CLIENTES!BL166</f>
        <v>0</v>
      </c>
      <c r="BK102" s="132">
        <f>CLIENTES!BM166</f>
        <v>0</v>
      </c>
      <c r="BL102" s="132">
        <f>CLIENTES!BN166</f>
        <v>0</v>
      </c>
    </row>
    <row r="103" spans="2:84" x14ac:dyDescent="0.2">
      <c r="B103" s="326"/>
      <c r="C103" s="23" t="s">
        <v>10</v>
      </c>
      <c r="D103" s="72">
        <v>7.1999999999999998E-3</v>
      </c>
      <c r="E103" s="200">
        <v>7.1999999999999998E-3</v>
      </c>
      <c r="F103" s="200">
        <v>7.1999999999999998E-3</v>
      </c>
      <c r="G103" s="200">
        <v>7.1999999999999998E-3</v>
      </c>
      <c r="H103" s="200">
        <v>7.1999999999999998E-3</v>
      </c>
      <c r="I103" s="200">
        <v>7.1999999999999998E-3</v>
      </c>
      <c r="J103" s="200">
        <v>7.1999999999999998E-3</v>
      </c>
      <c r="K103" s="200">
        <v>7.1999999999999998E-3</v>
      </c>
      <c r="L103" s="200">
        <v>7.1999999999999998E-3</v>
      </c>
      <c r="M103" s="200">
        <v>7.1999999999999998E-3</v>
      </c>
      <c r="N103" s="200">
        <v>7.1999999999999998E-3</v>
      </c>
      <c r="O103" s="200">
        <v>7.1999999999999998E-3</v>
      </c>
      <c r="P103" s="200">
        <v>7.1999999999999998E-3</v>
      </c>
      <c r="Q103" s="200">
        <v>7.1999999999999998E-3</v>
      </c>
      <c r="R103" s="200">
        <v>7.1999999999999998E-3</v>
      </c>
      <c r="S103" s="200">
        <v>7.1999999999999998E-3</v>
      </c>
      <c r="T103" s="200">
        <v>7.1999999999999998E-3</v>
      </c>
      <c r="U103" s="200">
        <v>7.1999999999999998E-3</v>
      </c>
      <c r="V103" s="200">
        <v>7.1999999999999998E-3</v>
      </c>
      <c r="W103" s="200">
        <v>7.1999999999999998E-3</v>
      </c>
      <c r="X103" s="200">
        <v>7.1999999999999998E-3</v>
      </c>
      <c r="Y103" s="200">
        <v>7.1999999999999998E-3</v>
      </c>
      <c r="Z103" s="200">
        <v>7.1999999999999998E-3</v>
      </c>
      <c r="AA103" s="200">
        <v>7.1999999999999998E-3</v>
      </c>
      <c r="AB103" s="200">
        <v>7.1999999999999998E-3</v>
      </c>
      <c r="AC103" s="200">
        <v>7.1999999999999998E-3</v>
      </c>
      <c r="AD103" s="200">
        <v>7.1999999999999998E-3</v>
      </c>
      <c r="AE103" s="200">
        <v>7.1999999999999998E-3</v>
      </c>
      <c r="AF103" s="200">
        <v>7.1999999999999998E-3</v>
      </c>
      <c r="AG103" s="200">
        <v>7.1999999999999998E-3</v>
      </c>
      <c r="AH103" s="200">
        <v>7.1999999999999998E-3</v>
      </c>
      <c r="AI103" s="200">
        <v>7.1999999999999998E-3</v>
      </c>
      <c r="AJ103" s="200">
        <v>7.1999999999999998E-3</v>
      </c>
      <c r="AK103" s="200">
        <v>7.1999999999999998E-3</v>
      </c>
      <c r="AL103" s="200">
        <v>7.1999999999999998E-3</v>
      </c>
      <c r="AM103" s="200">
        <v>7.1999999999999998E-3</v>
      </c>
      <c r="AN103" s="200">
        <v>7.1999999999999998E-3</v>
      </c>
      <c r="AO103" s="200">
        <v>7.1999999999999998E-3</v>
      </c>
      <c r="AP103" s="200">
        <v>7.1999999999999998E-3</v>
      </c>
      <c r="AQ103" s="200">
        <v>7.1999999999999998E-3</v>
      </c>
      <c r="AR103" s="200">
        <v>7.1999999999999998E-3</v>
      </c>
      <c r="AS103" s="200">
        <v>7.1999999999999998E-3</v>
      </c>
      <c r="AT103" s="200">
        <v>7.1999999999999998E-3</v>
      </c>
      <c r="AU103" s="200">
        <v>7.1999999999999998E-3</v>
      </c>
      <c r="AV103" s="200">
        <v>7.1999999999999998E-3</v>
      </c>
      <c r="AW103" s="200">
        <v>7.1999999999999998E-3</v>
      </c>
      <c r="AX103" s="200">
        <v>7.1999999999999998E-3</v>
      </c>
      <c r="AY103" s="200">
        <v>7.1999999999999998E-3</v>
      </c>
      <c r="AZ103" s="215">
        <v>7.1999999999999998E-3</v>
      </c>
      <c r="BA103" s="200">
        <v>7.1999999999999998E-3</v>
      </c>
      <c r="BB103" s="200">
        <v>7.1999999999999998E-3</v>
      </c>
      <c r="BC103" s="200">
        <v>7.1999999999999998E-3</v>
      </c>
      <c r="BD103" s="200">
        <v>7.1999999999999998E-3</v>
      </c>
      <c r="BE103" s="200">
        <v>7.1999999999999998E-3</v>
      </c>
      <c r="BF103" s="200">
        <v>7.1999999999999998E-3</v>
      </c>
      <c r="BG103" s="200">
        <v>7.1999999999999998E-3</v>
      </c>
      <c r="BH103" s="200">
        <v>7.1999999999999998E-3</v>
      </c>
      <c r="BI103" s="200">
        <v>7.1999999999999998E-3</v>
      </c>
      <c r="BJ103" s="200">
        <v>7.1999999999999998E-3</v>
      </c>
      <c r="BK103" s="200">
        <v>7.1999999999999998E-3</v>
      </c>
      <c r="BL103" s="200">
        <v>7.1999999999999998E-3</v>
      </c>
    </row>
    <row r="104" spans="2:84" x14ac:dyDescent="0.2">
      <c r="B104" s="326"/>
      <c r="C104" s="58" t="s">
        <v>23</v>
      </c>
      <c r="D104" s="27">
        <f>SUM(E104:BL104)</f>
        <v>12684.381696492032</v>
      </c>
      <c r="E104" s="139">
        <f>IF((E100+E101-E102)*E103&lt;0,0,(E100+E101-E102)*E103)</f>
        <v>5978.733005242002</v>
      </c>
      <c r="F104" s="139">
        <f t="shared" ref="F104:BL104" si="43">IF((F100+F101-F102)*F103&lt;0,0,(F100+F101-F102)*F103)</f>
        <v>6705.6486663052956</v>
      </c>
      <c r="G104" s="139">
        <f t="shared" si="43"/>
        <v>0</v>
      </c>
      <c r="H104" s="139">
        <f t="shared" si="43"/>
        <v>0</v>
      </c>
      <c r="I104" s="139">
        <f t="shared" si="43"/>
        <v>0</v>
      </c>
      <c r="J104" s="139">
        <f t="shared" si="43"/>
        <v>0</v>
      </c>
      <c r="K104" s="139">
        <f t="shared" si="43"/>
        <v>0</v>
      </c>
      <c r="L104" s="139">
        <f t="shared" si="43"/>
        <v>0</v>
      </c>
      <c r="M104" s="139">
        <f t="shared" si="43"/>
        <v>0</v>
      </c>
      <c r="N104" s="139">
        <f t="shared" si="43"/>
        <v>0</v>
      </c>
      <c r="O104" s="139">
        <f t="shared" si="43"/>
        <v>0</v>
      </c>
      <c r="P104" s="139">
        <f t="shared" si="43"/>
        <v>0</v>
      </c>
      <c r="Q104" s="139">
        <f t="shared" si="43"/>
        <v>0</v>
      </c>
      <c r="R104" s="139">
        <f t="shared" si="43"/>
        <v>0</v>
      </c>
      <c r="S104" s="139">
        <f t="shared" si="43"/>
        <v>0</v>
      </c>
      <c r="T104" s="139">
        <f t="shared" si="43"/>
        <v>0</v>
      </c>
      <c r="U104" s="139">
        <f t="shared" si="43"/>
        <v>0</v>
      </c>
      <c r="V104" s="139">
        <f t="shared" si="43"/>
        <v>0</v>
      </c>
      <c r="W104" s="139">
        <f t="shared" si="43"/>
        <v>0</v>
      </c>
      <c r="X104" s="139">
        <f t="shared" si="43"/>
        <v>0</v>
      </c>
      <c r="Y104" s="139">
        <f t="shared" si="43"/>
        <v>0</v>
      </c>
      <c r="Z104" s="139">
        <f t="shared" si="43"/>
        <v>0</v>
      </c>
      <c r="AA104" s="139">
        <f t="shared" si="43"/>
        <v>0</v>
      </c>
      <c r="AB104" s="139">
        <f t="shared" si="43"/>
        <v>0</v>
      </c>
      <c r="AC104" s="139">
        <f t="shared" si="43"/>
        <v>0</v>
      </c>
      <c r="AD104" s="139">
        <f t="shared" si="43"/>
        <v>0</v>
      </c>
      <c r="AE104" s="139">
        <f t="shared" si="43"/>
        <v>0</v>
      </c>
      <c r="AF104" s="139">
        <f t="shared" si="43"/>
        <v>0</v>
      </c>
      <c r="AG104" s="139">
        <f t="shared" si="43"/>
        <v>0</v>
      </c>
      <c r="AH104" s="139">
        <f t="shared" si="43"/>
        <v>0</v>
      </c>
      <c r="AI104" s="139">
        <f t="shared" si="43"/>
        <v>0</v>
      </c>
      <c r="AJ104" s="139">
        <f t="shared" si="43"/>
        <v>0</v>
      </c>
      <c r="AK104" s="139">
        <f t="shared" si="43"/>
        <v>0</v>
      </c>
      <c r="AL104" s="139">
        <f t="shared" si="43"/>
        <v>0</v>
      </c>
      <c r="AM104" s="139">
        <f t="shared" si="43"/>
        <v>0</v>
      </c>
      <c r="AN104" s="139">
        <f t="shared" si="43"/>
        <v>0</v>
      </c>
      <c r="AO104" s="139">
        <f t="shared" si="43"/>
        <v>0</v>
      </c>
      <c r="AP104" s="139">
        <f t="shared" si="43"/>
        <v>0</v>
      </c>
      <c r="AQ104" s="139">
        <f t="shared" si="43"/>
        <v>0</v>
      </c>
      <c r="AR104" s="139">
        <f t="shared" si="43"/>
        <v>0</v>
      </c>
      <c r="AS104" s="139">
        <f t="shared" si="43"/>
        <v>0</v>
      </c>
      <c r="AT104" s="139">
        <f t="shared" si="43"/>
        <v>0</v>
      </c>
      <c r="AU104" s="139">
        <f t="shared" si="43"/>
        <v>0</v>
      </c>
      <c r="AV104" s="139">
        <f t="shared" si="43"/>
        <v>0</v>
      </c>
      <c r="AW104" s="139">
        <f t="shared" si="43"/>
        <v>0</v>
      </c>
      <c r="AX104" s="139">
        <f t="shared" si="43"/>
        <v>0</v>
      </c>
      <c r="AY104" s="139">
        <f t="shared" si="43"/>
        <v>0</v>
      </c>
      <c r="AZ104" s="139">
        <f t="shared" si="43"/>
        <v>0</v>
      </c>
      <c r="BA104" s="139">
        <f t="shared" si="43"/>
        <v>0</v>
      </c>
      <c r="BB104" s="139">
        <f t="shared" si="43"/>
        <v>0</v>
      </c>
      <c r="BC104" s="139">
        <f t="shared" si="43"/>
        <v>0</v>
      </c>
      <c r="BD104" s="139">
        <f t="shared" si="43"/>
        <v>0</v>
      </c>
      <c r="BE104" s="139">
        <f t="shared" si="43"/>
        <v>0</v>
      </c>
      <c r="BF104" s="139">
        <f t="shared" si="43"/>
        <v>0</v>
      </c>
      <c r="BG104" s="139">
        <f t="shared" si="43"/>
        <v>0</v>
      </c>
      <c r="BH104" s="139">
        <f t="shared" si="43"/>
        <v>0</v>
      </c>
      <c r="BI104" s="139">
        <f t="shared" si="43"/>
        <v>0</v>
      </c>
      <c r="BJ104" s="139">
        <f t="shared" si="43"/>
        <v>0</v>
      </c>
      <c r="BK104" s="139">
        <f t="shared" si="43"/>
        <v>0</v>
      </c>
      <c r="BL104" s="139">
        <f t="shared" si="43"/>
        <v>2.4944734195199998E-5</v>
      </c>
      <c r="BM104" s="65"/>
      <c r="BN104" s="65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</row>
    <row r="105" spans="2:84" ht="13.5" thickBot="1" x14ac:dyDescent="0.25">
      <c r="B105" s="327"/>
      <c r="C105" s="25" t="s">
        <v>22</v>
      </c>
      <c r="D105" s="30">
        <f>SUM(E105:BL105)</f>
        <v>1774404.0617648298</v>
      </c>
      <c r="E105" s="146">
        <f>+E100-E102+E101+E104</f>
        <v>836358.31706663116</v>
      </c>
      <c r="F105" s="146">
        <f t="shared" ref="F105:BL105" si="44">+F100-F102+F101+F104</f>
        <v>938045.74120870756</v>
      </c>
      <c r="G105" s="146">
        <f t="shared" si="44"/>
        <v>0</v>
      </c>
      <c r="H105" s="146">
        <f t="shared" si="44"/>
        <v>0</v>
      </c>
      <c r="I105" s="146">
        <f t="shared" si="44"/>
        <v>0</v>
      </c>
      <c r="J105" s="146">
        <f t="shared" si="44"/>
        <v>0</v>
      </c>
      <c r="K105" s="146">
        <f t="shared" si="44"/>
        <v>0</v>
      </c>
      <c r="L105" s="146">
        <f t="shared" si="44"/>
        <v>0</v>
      </c>
      <c r="M105" s="146">
        <f t="shared" si="44"/>
        <v>0</v>
      </c>
      <c r="N105" s="146">
        <f t="shared" si="44"/>
        <v>0</v>
      </c>
      <c r="O105" s="146">
        <f t="shared" si="44"/>
        <v>0</v>
      </c>
      <c r="P105" s="146">
        <f t="shared" si="44"/>
        <v>0</v>
      </c>
      <c r="Q105" s="146">
        <f t="shared" si="44"/>
        <v>0</v>
      </c>
      <c r="R105" s="146">
        <f t="shared" si="44"/>
        <v>0</v>
      </c>
      <c r="S105" s="146">
        <f t="shared" si="44"/>
        <v>0</v>
      </c>
      <c r="T105" s="146">
        <f t="shared" si="44"/>
        <v>0</v>
      </c>
      <c r="U105" s="146">
        <f t="shared" si="44"/>
        <v>0</v>
      </c>
      <c r="V105" s="146">
        <f t="shared" si="44"/>
        <v>0</v>
      </c>
      <c r="W105" s="146">
        <f t="shared" si="44"/>
        <v>0</v>
      </c>
      <c r="X105" s="146">
        <f t="shared" si="44"/>
        <v>0</v>
      </c>
      <c r="Y105" s="146">
        <f t="shared" si="44"/>
        <v>0</v>
      </c>
      <c r="Z105" s="146">
        <f t="shared" si="44"/>
        <v>0</v>
      </c>
      <c r="AA105" s="146">
        <f t="shared" si="44"/>
        <v>0</v>
      </c>
      <c r="AB105" s="146">
        <f t="shared" si="44"/>
        <v>0</v>
      </c>
      <c r="AC105" s="146">
        <f t="shared" si="44"/>
        <v>0</v>
      </c>
      <c r="AD105" s="146">
        <f t="shared" si="44"/>
        <v>0</v>
      </c>
      <c r="AE105" s="146">
        <f t="shared" si="44"/>
        <v>0</v>
      </c>
      <c r="AF105" s="146">
        <f t="shared" si="44"/>
        <v>0</v>
      </c>
      <c r="AG105" s="146">
        <f t="shared" si="44"/>
        <v>0</v>
      </c>
      <c r="AH105" s="146">
        <f t="shared" si="44"/>
        <v>0</v>
      </c>
      <c r="AI105" s="146">
        <f t="shared" si="44"/>
        <v>0</v>
      </c>
      <c r="AJ105" s="146">
        <f t="shared" si="44"/>
        <v>0</v>
      </c>
      <c r="AK105" s="146">
        <f t="shared" si="44"/>
        <v>0</v>
      </c>
      <c r="AL105" s="146">
        <f t="shared" si="44"/>
        <v>0</v>
      </c>
      <c r="AM105" s="146">
        <f t="shared" si="44"/>
        <v>0</v>
      </c>
      <c r="AN105" s="146">
        <f t="shared" si="44"/>
        <v>0</v>
      </c>
      <c r="AO105" s="146">
        <f t="shared" si="44"/>
        <v>0</v>
      </c>
      <c r="AP105" s="146">
        <f t="shared" si="44"/>
        <v>0</v>
      </c>
      <c r="AQ105" s="146">
        <f t="shared" si="44"/>
        <v>0</v>
      </c>
      <c r="AR105" s="146">
        <f t="shared" si="44"/>
        <v>0</v>
      </c>
      <c r="AS105" s="146">
        <f t="shared" si="44"/>
        <v>0</v>
      </c>
      <c r="AT105" s="146">
        <f t="shared" si="44"/>
        <v>0</v>
      </c>
      <c r="AU105" s="146">
        <f t="shared" si="44"/>
        <v>0</v>
      </c>
      <c r="AV105" s="146">
        <f t="shared" si="44"/>
        <v>0</v>
      </c>
      <c r="AW105" s="146">
        <f t="shared" si="44"/>
        <v>0</v>
      </c>
      <c r="AX105" s="146">
        <f t="shared" si="44"/>
        <v>0</v>
      </c>
      <c r="AY105" s="146">
        <f t="shared" si="44"/>
        <v>0</v>
      </c>
      <c r="AZ105" s="146">
        <f t="shared" si="44"/>
        <v>0</v>
      </c>
      <c r="BA105" s="146">
        <f t="shared" si="44"/>
        <v>0</v>
      </c>
      <c r="BB105" s="146">
        <f t="shared" si="44"/>
        <v>0</v>
      </c>
      <c r="BC105" s="146">
        <f t="shared" si="44"/>
        <v>0</v>
      </c>
      <c r="BD105" s="146">
        <f t="shared" si="44"/>
        <v>0</v>
      </c>
      <c r="BE105" s="146">
        <f t="shared" si="44"/>
        <v>0</v>
      </c>
      <c r="BF105" s="146">
        <f t="shared" si="44"/>
        <v>0</v>
      </c>
      <c r="BG105" s="146">
        <f t="shared" si="44"/>
        <v>0</v>
      </c>
      <c r="BH105" s="146">
        <f t="shared" si="44"/>
        <v>0</v>
      </c>
      <c r="BI105" s="146">
        <f t="shared" si="44"/>
        <v>0</v>
      </c>
      <c r="BJ105" s="146">
        <f t="shared" si="44"/>
        <v>0</v>
      </c>
      <c r="BK105" s="146">
        <f t="shared" si="44"/>
        <v>0</v>
      </c>
      <c r="BL105" s="146">
        <f t="shared" si="44"/>
        <v>3.4894911501952E-3</v>
      </c>
    </row>
    <row r="106" spans="2:84" ht="13.5" thickBot="1" x14ac:dyDescent="0.25">
      <c r="B106" s="325">
        <v>44166</v>
      </c>
      <c r="C106" s="62" t="s">
        <v>6</v>
      </c>
      <c r="D106" s="31">
        <f>SUM(E106:BL106)</f>
        <v>95000</v>
      </c>
      <c r="E106" s="285" cm="1">
        <f t="array" ref="E106">_xlfn._xlws.FILTER(CLIENTES!$E173:$BO173,(CLIENTES!$E$5:$BO$5=E$5)*(CLIENTES!$E$9:$BO$9="VENDA"),0)</f>
        <v>45000</v>
      </c>
      <c r="F106" s="199">
        <f>CLIENTES!H173</f>
        <v>50000</v>
      </c>
      <c r="G106" s="199">
        <f>CLIENTES!I173</f>
        <v>0</v>
      </c>
      <c r="H106" s="199">
        <f>CLIENTES!J173</f>
        <v>0</v>
      </c>
      <c r="I106" s="199">
        <f>CLIENTES!K173</f>
        <v>0</v>
      </c>
      <c r="J106" s="199">
        <f>CLIENTES!L173</f>
        <v>0</v>
      </c>
      <c r="K106" s="199">
        <f>CLIENTES!M173</f>
        <v>0</v>
      </c>
      <c r="L106" s="199">
        <f>CLIENTES!N173</f>
        <v>0</v>
      </c>
      <c r="M106" s="199">
        <f>CLIENTES!O173</f>
        <v>0</v>
      </c>
      <c r="N106" s="199">
        <f>CLIENTES!P173</f>
        <v>0</v>
      </c>
      <c r="O106" s="199">
        <f>CLIENTES!Q173</f>
        <v>0</v>
      </c>
      <c r="P106" s="199">
        <f>CLIENTES!R173</f>
        <v>0</v>
      </c>
      <c r="Q106" s="199">
        <f>CLIENTES!S173</f>
        <v>0</v>
      </c>
      <c r="R106" s="199">
        <f>CLIENTES!T173</f>
        <v>0</v>
      </c>
      <c r="S106" s="199">
        <f>CLIENTES!U173</f>
        <v>0</v>
      </c>
      <c r="T106" s="199">
        <f>CLIENTES!V173</f>
        <v>0</v>
      </c>
      <c r="U106" s="199">
        <f>CLIENTES!W173</f>
        <v>0</v>
      </c>
      <c r="V106" s="199">
        <f>CLIENTES!X173</f>
        <v>0</v>
      </c>
      <c r="W106" s="199">
        <f>CLIENTES!Y173</f>
        <v>0</v>
      </c>
      <c r="X106" s="199">
        <f>CLIENTES!Z173</f>
        <v>0</v>
      </c>
      <c r="Y106" s="199">
        <f>CLIENTES!AA173</f>
        <v>0</v>
      </c>
      <c r="Z106" s="199">
        <f>CLIENTES!AB173</f>
        <v>0</v>
      </c>
      <c r="AA106" s="199">
        <f>CLIENTES!AC173</f>
        <v>0</v>
      </c>
      <c r="AB106" s="199">
        <f>CLIENTES!AD173</f>
        <v>0</v>
      </c>
      <c r="AC106" s="199">
        <f>CLIENTES!AE173</f>
        <v>0</v>
      </c>
      <c r="AD106" s="199">
        <f>CLIENTES!AF173</f>
        <v>0</v>
      </c>
      <c r="AE106" s="199">
        <f>CLIENTES!AG173</f>
        <v>0</v>
      </c>
      <c r="AF106" s="199">
        <f>CLIENTES!AH173</f>
        <v>0</v>
      </c>
      <c r="AG106" s="199">
        <f>CLIENTES!AI173</f>
        <v>0</v>
      </c>
      <c r="AH106" s="199">
        <f>CLIENTES!AJ173</f>
        <v>0</v>
      </c>
      <c r="AI106" s="199">
        <f>CLIENTES!AK173</f>
        <v>0</v>
      </c>
      <c r="AJ106" s="199">
        <f>CLIENTES!AL173</f>
        <v>0</v>
      </c>
      <c r="AK106" s="199">
        <f>CLIENTES!AM173</f>
        <v>0</v>
      </c>
      <c r="AL106" s="199">
        <f>CLIENTES!AN173</f>
        <v>0</v>
      </c>
      <c r="AM106" s="199">
        <f>CLIENTES!AO173</f>
        <v>0</v>
      </c>
      <c r="AN106" s="199">
        <f>CLIENTES!AP173</f>
        <v>0</v>
      </c>
      <c r="AO106" s="199">
        <f>CLIENTES!AQ173</f>
        <v>0</v>
      </c>
      <c r="AP106" s="199">
        <f>CLIENTES!AR173</f>
        <v>0</v>
      </c>
      <c r="AQ106" s="199">
        <f>CLIENTES!AS173</f>
        <v>0</v>
      </c>
      <c r="AR106" s="199">
        <f>CLIENTES!AT173</f>
        <v>0</v>
      </c>
      <c r="AS106" s="199">
        <f>CLIENTES!AU173</f>
        <v>0</v>
      </c>
      <c r="AT106" s="199">
        <f>CLIENTES!AV173</f>
        <v>0</v>
      </c>
      <c r="AU106" s="199">
        <f>CLIENTES!AW173</f>
        <v>0</v>
      </c>
      <c r="AV106" s="199">
        <f>CLIENTES!AX173</f>
        <v>0</v>
      </c>
      <c r="AW106" s="199">
        <f>CLIENTES!AY173</f>
        <v>0</v>
      </c>
      <c r="AX106" s="199">
        <f>CLIENTES!AZ173</f>
        <v>0</v>
      </c>
      <c r="AY106" s="199">
        <f>CLIENTES!BA173</f>
        <v>0</v>
      </c>
      <c r="AZ106" s="214">
        <f>CLIENTES!BB173</f>
        <v>0</v>
      </c>
      <c r="BA106" s="199">
        <f>CLIENTES!BC173</f>
        <v>0</v>
      </c>
      <c r="BB106" s="199">
        <f>CLIENTES!BD173</f>
        <v>0</v>
      </c>
      <c r="BC106" s="199">
        <f>CLIENTES!BE173</f>
        <v>0</v>
      </c>
      <c r="BD106" s="199">
        <f>CLIENTES!BF173</f>
        <v>0</v>
      </c>
      <c r="BE106" s="199">
        <f>CLIENTES!BG173</f>
        <v>0</v>
      </c>
      <c r="BF106" s="199">
        <f>CLIENTES!BH173</f>
        <v>0</v>
      </c>
      <c r="BG106" s="199">
        <f>CLIENTES!BI173</f>
        <v>0</v>
      </c>
      <c r="BH106" s="199">
        <f>CLIENTES!BJ173</f>
        <v>0</v>
      </c>
      <c r="BI106" s="199">
        <f>CLIENTES!BK173</f>
        <v>0</v>
      </c>
      <c r="BJ106" s="199">
        <f>CLIENTES!BL173</f>
        <v>0</v>
      </c>
      <c r="BK106" s="199">
        <f>CLIENTES!BM173</f>
        <v>0</v>
      </c>
      <c r="BL106" s="199">
        <f>CLIENTES!BN173</f>
        <v>0</v>
      </c>
    </row>
    <row r="107" spans="2:84" ht="13.5" thickBot="1" x14ac:dyDescent="0.25">
      <c r="B107" s="326"/>
      <c r="C107" s="23" t="s">
        <v>9</v>
      </c>
      <c r="D107" s="27">
        <f>SUM(E107:BL107)</f>
        <v>0</v>
      </c>
      <c r="E107" s="285" cm="1">
        <f t="array" ref="E107">_xlfn._xlws.FILTER(CLIENTES!$E174:$BO174,(CLIENTES!$E$5:$BO$5=E$5)*(CLIENTES!$E$9:$BO$9="VENDA"),0)</f>
        <v>0</v>
      </c>
      <c r="F107" s="132">
        <f>CLIENTES!H174</f>
        <v>0</v>
      </c>
      <c r="G107" s="132">
        <f>CLIENTES!I174</f>
        <v>0</v>
      </c>
      <c r="H107" s="132">
        <f>CLIENTES!J174</f>
        <v>0</v>
      </c>
      <c r="I107" s="132">
        <f>CLIENTES!K174</f>
        <v>0</v>
      </c>
      <c r="J107" s="132">
        <f>CLIENTES!L174</f>
        <v>0</v>
      </c>
      <c r="K107" s="132">
        <f>CLIENTES!M174</f>
        <v>0</v>
      </c>
      <c r="L107" s="132">
        <f>CLIENTES!N174</f>
        <v>0</v>
      </c>
      <c r="M107" s="132">
        <f>CLIENTES!O174</f>
        <v>0</v>
      </c>
      <c r="N107" s="132">
        <f>CLIENTES!P174</f>
        <v>0</v>
      </c>
      <c r="O107" s="132">
        <f>CLIENTES!Q174</f>
        <v>0</v>
      </c>
      <c r="P107" s="132">
        <f>CLIENTES!R174</f>
        <v>0</v>
      </c>
      <c r="Q107" s="132">
        <f>CLIENTES!S174</f>
        <v>0</v>
      </c>
      <c r="R107" s="132">
        <f>CLIENTES!T174</f>
        <v>0</v>
      </c>
      <c r="S107" s="132">
        <f>CLIENTES!U174</f>
        <v>0</v>
      </c>
      <c r="T107" s="132">
        <f>CLIENTES!V174</f>
        <v>0</v>
      </c>
      <c r="U107" s="132">
        <f>CLIENTES!W174</f>
        <v>0</v>
      </c>
      <c r="V107" s="132">
        <f>CLIENTES!X174</f>
        <v>0</v>
      </c>
      <c r="W107" s="132">
        <f>CLIENTES!Y174</f>
        <v>0</v>
      </c>
      <c r="X107" s="132">
        <f>CLIENTES!Z174</f>
        <v>0</v>
      </c>
      <c r="Y107" s="132">
        <f>CLIENTES!AA174</f>
        <v>0</v>
      </c>
      <c r="Z107" s="132">
        <f>CLIENTES!AB174</f>
        <v>0</v>
      </c>
      <c r="AA107" s="132">
        <f>CLIENTES!AC174</f>
        <v>0</v>
      </c>
      <c r="AB107" s="132">
        <f>CLIENTES!AD174</f>
        <v>0</v>
      </c>
      <c r="AC107" s="132">
        <f>CLIENTES!AE174</f>
        <v>0</v>
      </c>
      <c r="AD107" s="132">
        <f>CLIENTES!AF174</f>
        <v>0</v>
      </c>
      <c r="AE107" s="132">
        <f>CLIENTES!AG174</f>
        <v>0</v>
      </c>
      <c r="AF107" s="132">
        <f>CLIENTES!AH174</f>
        <v>0</v>
      </c>
      <c r="AG107" s="132">
        <f>CLIENTES!AI174</f>
        <v>0</v>
      </c>
      <c r="AH107" s="132">
        <f>CLIENTES!AJ174</f>
        <v>0</v>
      </c>
      <c r="AI107" s="132">
        <f>CLIENTES!AK174</f>
        <v>0</v>
      </c>
      <c r="AJ107" s="132">
        <f>CLIENTES!AL174</f>
        <v>0</v>
      </c>
      <c r="AK107" s="132">
        <f>CLIENTES!AM174</f>
        <v>0</v>
      </c>
      <c r="AL107" s="132">
        <f>CLIENTES!AN174</f>
        <v>0</v>
      </c>
      <c r="AM107" s="132">
        <f>CLIENTES!AO174</f>
        <v>0</v>
      </c>
      <c r="AN107" s="132">
        <f>CLIENTES!AP174</f>
        <v>0</v>
      </c>
      <c r="AO107" s="132">
        <f>CLIENTES!AQ174</f>
        <v>0</v>
      </c>
      <c r="AP107" s="132">
        <f>CLIENTES!AR174</f>
        <v>0</v>
      </c>
      <c r="AQ107" s="132">
        <f>CLIENTES!AS174</f>
        <v>0</v>
      </c>
      <c r="AR107" s="132">
        <f>CLIENTES!AT174</f>
        <v>0</v>
      </c>
      <c r="AS107" s="132">
        <f>CLIENTES!AU174</f>
        <v>0</v>
      </c>
      <c r="AT107" s="132">
        <f>CLIENTES!AV174</f>
        <v>0</v>
      </c>
      <c r="AU107" s="132">
        <f>CLIENTES!AW174</f>
        <v>0</v>
      </c>
      <c r="AV107" s="132">
        <f>CLIENTES!AX174</f>
        <v>0</v>
      </c>
      <c r="AW107" s="132">
        <f>CLIENTES!AY174</f>
        <v>0</v>
      </c>
      <c r="AX107" s="132">
        <f>CLIENTES!AZ174</f>
        <v>0</v>
      </c>
      <c r="AY107" s="132">
        <f>CLIENTES!BA174</f>
        <v>0</v>
      </c>
      <c r="AZ107" s="139">
        <f>CLIENTES!BB174</f>
        <v>0</v>
      </c>
      <c r="BA107" s="132">
        <f>CLIENTES!BC174</f>
        <v>0</v>
      </c>
      <c r="BB107" s="132">
        <f>CLIENTES!BD174</f>
        <v>0</v>
      </c>
      <c r="BC107" s="132">
        <f>CLIENTES!BE174</f>
        <v>0</v>
      </c>
      <c r="BD107" s="132">
        <f>CLIENTES!BF174</f>
        <v>0</v>
      </c>
      <c r="BE107" s="132">
        <f>CLIENTES!BG174</f>
        <v>0</v>
      </c>
      <c r="BF107" s="132">
        <f>CLIENTES!BH174</f>
        <v>0</v>
      </c>
      <c r="BG107" s="132">
        <f>CLIENTES!BI174</f>
        <v>0</v>
      </c>
      <c r="BH107" s="132">
        <f>CLIENTES!BJ174</f>
        <v>0</v>
      </c>
      <c r="BI107" s="132">
        <f>CLIENTES!BK174</f>
        <v>0</v>
      </c>
      <c r="BJ107" s="132">
        <f>CLIENTES!BL174</f>
        <v>0</v>
      </c>
      <c r="BK107" s="132">
        <f>CLIENTES!BM174</f>
        <v>0</v>
      </c>
      <c r="BL107" s="132">
        <f>CLIENTES!BN174</f>
        <v>0</v>
      </c>
    </row>
    <row r="108" spans="2:84" x14ac:dyDescent="0.2">
      <c r="B108" s="326"/>
      <c r="C108" s="23" t="s">
        <v>10</v>
      </c>
      <c r="D108" s="72">
        <v>7.1999999999999998E-3</v>
      </c>
      <c r="E108" s="200">
        <v>7.1999999999999998E-3</v>
      </c>
      <c r="F108" s="200">
        <v>7.1999999999999998E-3</v>
      </c>
      <c r="G108" s="200">
        <v>7.1999999999999998E-3</v>
      </c>
      <c r="H108" s="200">
        <v>7.1999999999999998E-3</v>
      </c>
      <c r="I108" s="200">
        <v>7.1999999999999998E-3</v>
      </c>
      <c r="J108" s="200">
        <v>7.1999999999999998E-3</v>
      </c>
      <c r="K108" s="200">
        <v>7.1999999999999998E-3</v>
      </c>
      <c r="L108" s="200">
        <v>7.1999999999999998E-3</v>
      </c>
      <c r="M108" s="200">
        <v>7.1999999999999998E-3</v>
      </c>
      <c r="N108" s="200">
        <v>7.1999999999999998E-3</v>
      </c>
      <c r="O108" s="200">
        <v>7.1999999999999998E-3</v>
      </c>
      <c r="P108" s="200">
        <v>7.1999999999999998E-3</v>
      </c>
      <c r="Q108" s="200">
        <v>7.1999999999999998E-3</v>
      </c>
      <c r="R108" s="200">
        <v>7.1999999999999998E-3</v>
      </c>
      <c r="S108" s="200">
        <v>7.1999999999999998E-3</v>
      </c>
      <c r="T108" s="200">
        <v>7.1999999999999998E-3</v>
      </c>
      <c r="U108" s="200">
        <v>7.1999999999999998E-3</v>
      </c>
      <c r="V108" s="200">
        <v>7.1999999999999998E-3</v>
      </c>
      <c r="W108" s="200">
        <v>7.1999999999999998E-3</v>
      </c>
      <c r="X108" s="200">
        <v>7.1999999999999998E-3</v>
      </c>
      <c r="Y108" s="200">
        <v>7.1999999999999998E-3</v>
      </c>
      <c r="Z108" s="200">
        <v>7.1999999999999998E-3</v>
      </c>
      <c r="AA108" s="200">
        <v>7.1999999999999998E-3</v>
      </c>
      <c r="AB108" s="200">
        <v>7.1999999999999998E-3</v>
      </c>
      <c r="AC108" s="200">
        <v>7.1999999999999998E-3</v>
      </c>
      <c r="AD108" s="200">
        <v>7.1999999999999998E-3</v>
      </c>
      <c r="AE108" s="200">
        <v>7.1999999999999998E-3</v>
      </c>
      <c r="AF108" s="200">
        <v>7.1999999999999998E-3</v>
      </c>
      <c r="AG108" s="200">
        <v>7.1999999999999998E-3</v>
      </c>
      <c r="AH108" s="200">
        <v>7.1999999999999998E-3</v>
      </c>
      <c r="AI108" s="200">
        <v>7.1999999999999998E-3</v>
      </c>
      <c r="AJ108" s="200">
        <v>7.1999999999999998E-3</v>
      </c>
      <c r="AK108" s="200">
        <v>7.1999999999999998E-3</v>
      </c>
      <c r="AL108" s="200">
        <v>7.1999999999999998E-3</v>
      </c>
      <c r="AM108" s="200">
        <v>7.1999999999999998E-3</v>
      </c>
      <c r="AN108" s="200">
        <v>7.1999999999999998E-3</v>
      </c>
      <c r="AO108" s="200">
        <v>7.1999999999999998E-3</v>
      </c>
      <c r="AP108" s="200">
        <v>7.1999999999999998E-3</v>
      </c>
      <c r="AQ108" s="200">
        <v>7.1999999999999998E-3</v>
      </c>
      <c r="AR108" s="200">
        <v>7.1999999999999998E-3</v>
      </c>
      <c r="AS108" s="200">
        <v>7.1999999999999998E-3</v>
      </c>
      <c r="AT108" s="200">
        <v>7.1999999999999998E-3</v>
      </c>
      <c r="AU108" s="200">
        <v>7.1999999999999998E-3</v>
      </c>
      <c r="AV108" s="200">
        <v>7.1999999999999998E-3</v>
      </c>
      <c r="AW108" s="200">
        <v>7.1999999999999998E-3</v>
      </c>
      <c r="AX108" s="200">
        <v>7.1999999999999998E-3</v>
      </c>
      <c r="AY108" s="200">
        <v>7.1999999999999998E-3</v>
      </c>
      <c r="AZ108" s="215">
        <v>7.1999999999999998E-3</v>
      </c>
      <c r="BA108" s="200">
        <v>7.1999999999999998E-3</v>
      </c>
      <c r="BB108" s="200">
        <v>7.1999999999999998E-3</v>
      </c>
      <c r="BC108" s="200">
        <v>7.1999999999999998E-3</v>
      </c>
      <c r="BD108" s="200">
        <v>7.1999999999999998E-3</v>
      </c>
      <c r="BE108" s="200">
        <v>7.1999999999999998E-3</v>
      </c>
      <c r="BF108" s="200">
        <v>7.1999999999999998E-3</v>
      </c>
      <c r="BG108" s="200">
        <v>7.1999999999999998E-3</v>
      </c>
      <c r="BH108" s="200">
        <v>7.1999999999999998E-3</v>
      </c>
      <c r="BI108" s="200">
        <v>7.1999999999999998E-3</v>
      </c>
      <c r="BJ108" s="200">
        <v>7.1999999999999998E-3</v>
      </c>
      <c r="BK108" s="200">
        <v>7.1999999999999998E-3</v>
      </c>
      <c r="BL108" s="200">
        <v>7.1999999999999998E-3</v>
      </c>
    </row>
    <row r="109" spans="2:84" x14ac:dyDescent="0.2">
      <c r="B109" s="326"/>
      <c r="C109" s="58" t="s">
        <v>23</v>
      </c>
      <c r="D109" s="27">
        <f>SUM(E109:BL109)</f>
        <v>13459.709244706773</v>
      </c>
      <c r="E109" s="139">
        <f>IF((E105+E106-E107)*E108&lt;0,0,(E105+E106-E107)*E108)</f>
        <v>6345.779882879744</v>
      </c>
      <c r="F109" s="139">
        <f t="shared" ref="F109:BL109" si="45">IF((F105+F106-F107)*F108&lt;0,0,(F105+F106-F107)*F108)</f>
        <v>7113.9293367026939</v>
      </c>
      <c r="G109" s="139">
        <f t="shared" si="45"/>
        <v>0</v>
      </c>
      <c r="H109" s="139">
        <f t="shared" si="45"/>
        <v>0</v>
      </c>
      <c r="I109" s="139">
        <f t="shared" si="45"/>
        <v>0</v>
      </c>
      <c r="J109" s="139">
        <f t="shared" si="45"/>
        <v>0</v>
      </c>
      <c r="K109" s="139">
        <f t="shared" si="45"/>
        <v>0</v>
      </c>
      <c r="L109" s="139">
        <f t="shared" si="45"/>
        <v>0</v>
      </c>
      <c r="M109" s="139">
        <f t="shared" si="45"/>
        <v>0</v>
      </c>
      <c r="N109" s="139">
        <f t="shared" si="45"/>
        <v>0</v>
      </c>
      <c r="O109" s="139">
        <f t="shared" si="45"/>
        <v>0</v>
      </c>
      <c r="P109" s="139">
        <f t="shared" si="45"/>
        <v>0</v>
      </c>
      <c r="Q109" s="139">
        <f t="shared" si="45"/>
        <v>0</v>
      </c>
      <c r="R109" s="139">
        <f t="shared" si="45"/>
        <v>0</v>
      </c>
      <c r="S109" s="139">
        <f t="shared" si="45"/>
        <v>0</v>
      </c>
      <c r="T109" s="139">
        <f t="shared" si="45"/>
        <v>0</v>
      </c>
      <c r="U109" s="139">
        <f t="shared" si="45"/>
        <v>0</v>
      </c>
      <c r="V109" s="139">
        <f t="shared" si="45"/>
        <v>0</v>
      </c>
      <c r="W109" s="139">
        <f t="shared" si="45"/>
        <v>0</v>
      </c>
      <c r="X109" s="139">
        <f t="shared" si="45"/>
        <v>0</v>
      </c>
      <c r="Y109" s="139">
        <f t="shared" si="45"/>
        <v>0</v>
      </c>
      <c r="Z109" s="139">
        <f t="shared" si="45"/>
        <v>0</v>
      </c>
      <c r="AA109" s="139">
        <f t="shared" si="45"/>
        <v>0</v>
      </c>
      <c r="AB109" s="139">
        <f t="shared" si="45"/>
        <v>0</v>
      </c>
      <c r="AC109" s="139">
        <f t="shared" si="45"/>
        <v>0</v>
      </c>
      <c r="AD109" s="139">
        <f t="shared" si="45"/>
        <v>0</v>
      </c>
      <c r="AE109" s="139">
        <f t="shared" si="45"/>
        <v>0</v>
      </c>
      <c r="AF109" s="139">
        <f t="shared" si="45"/>
        <v>0</v>
      </c>
      <c r="AG109" s="139">
        <f t="shared" si="45"/>
        <v>0</v>
      </c>
      <c r="AH109" s="139">
        <f t="shared" si="45"/>
        <v>0</v>
      </c>
      <c r="AI109" s="139">
        <f t="shared" si="45"/>
        <v>0</v>
      </c>
      <c r="AJ109" s="139">
        <f t="shared" si="45"/>
        <v>0</v>
      </c>
      <c r="AK109" s="139">
        <f t="shared" si="45"/>
        <v>0</v>
      </c>
      <c r="AL109" s="139">
        <f t="shared" si="45"/>
        <v>0</v>
      </c>
      <c r="AM109" s="139">
        <f t="shared" si="45"/>
        <v>0</v>
      </c>
      <c r="AN109" s="139">
        <f t="shared" si="45"/>
        <v>0</v>
      </c>
      <c r="AO109" s="139">
        <f t="shared" si="45"/>
        <v>0</v>
      </c>
      <c r="AP109" s="139">
        <f t="shared" si="45"/>
        <v>0</v>
      </c>
      <c r="AQ109" s="139">
        <f t="shared" si="45"/>
        <v>0</v>
      </c>
      <c r="AR109" s="139">
        <f t="shared" si="45"/>
        <v>0</v>
      </c>
      <c r="AS109" s="139">
        <f t="shared" si="45"/>
        <v>0</v>
      </c>
      <c r="AT109" s="139">
        <f t="shared" si="45"/>
        <v>0</v>
      </c>
      <c r="AU109" s="139">
        <f t="shared" si="45"/>
        <v>0</v>
      </c>
      <c r="AV109" s="139">
        <f t="shared" si="45"/>
        <v>0</v>
      </c>
      <c r="AW109" s="139">
        <f t="shared" si="45"/>
        <v>0</v>
      </c>
      <c r="AX109" s="139">
        <f t="shared" si="45"/>
        <v>0</v>
      </c>
      <c r="AY109" s="139">
        <f t="shared" si="45"/>
        <v>0</v>
      </c>
      <c r="AZ109" s="139">
        <f t="shared" si="45"/>
        <v>0</v>
      </c>
      <c r="BA109" s="139">
        <f t="shared" si="45"/>
        <v>0</v>
      </c>
      <c r="BB109" s="139">
        <f t="shared" si="45"/>
        <v>0</v>
      </c>
      <c r="BC109" s="139">
        <f t="shared" si="45"/>
        <v>0</v>
      </c>
      <c r="BD109" s="139">
        <f t="shared" si="45"/>
        <v>0</v>
      </c>
      <c r="BE109" s="139">
        <f t="shared" si="45"/>
        <v>0</v>
      </c>
      <c r="BF109" s="139">
        <f t="shared" si="45"/>
        <v>0</v>
      </c>
      <c r="BG109" s="139">
        <f t="shared" si="45"/>
        <v>0</v>
      </c>
      <c r="BH109" s="139">
        <f t="shared" si="45"/>
        <v>0</v>
      </c>
      <c r="BI109" s="139">
        <f t="shared" si="45"/>
        <v>0</v>
      </c>
      <c r="BJ109" s="139">
        <f t="shared" si="45"/>
        <v>0</v>
      </c>
      <c r="BK109" s="139">
        <f t="shared" si="45"/>
        <v>0</v>
      </c>
      <c r="BL109" s="139">
        <f t="shared" si="45"/>
        <v>2.5124336281405441E-5</v>
      </c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</row>
    <row r="110" spans="2:84" ht="13.5" thickBot="1" x14ac:dyDescent="0.25">
      <c r="B110" s="327"/>
      <c r="C110" s="25" t="s">
        <v>22</v>
      </c>
      <c r="D110" s="30">
        <f>SUM(E110:BL110)</f>
        <v>1882863.7710095367</v>
      </c>
      <c r="E110" s="146">
        <f>+E105-E107+E106+E109</f>
        <v>887704.09694951086</v>
      </c>
      <c r="F110" s="146">
        <f t="shared" ref="F110:BL110" si="46">+F105-F107+F106+F109</f>
        <v>995159.67054541025</v>
      </c>
      <c r="G110" s="146">
        <f t="shared" si="46"/>
        <v>0</v>
      </c>
      <c r="H110" s="146">
        <f t="shared" si="46"/>
        <v>0</v>
      </c>
      <c r="I110" s="146">
        <f t="shared" si="46"/>
        <v>0</v>
      </c>
      <c r="J110" s="146">
        <f t="shared" si="46"/>
        <v>0</v>
      </c>
      <c r="K110" s="146">
        <f t="shared" si="46"/>
        <v>0</v>
      </c>
      <c r="L110" s="146">
        <f t="shared" si="46"/>
        <v>0</v>
      </c>
      <c r="M110" s="146">
        <f t="shared" si="46"/>
        <v>0</v>
      </c>
      <c r="N110" s="146">
        <f t="shared" si="46"/>
        <v>0</v>
      </c>
      <c r="O110" s="146">
        <f t="shared" si="46"/>
        <v>0</v>
      </c>
      <c r="P110" s="146">
        <f t="shared" si="46"/>
        <v>0</v>
      </c>
      <c r="Q110" s="146">
        <f t="shared" si="46"/>
        <v>0</v>
      </c>
      <c r="R110" s="146">
        <f t="shared" si="46"/>
        <v>0</v>
      </c>
      <c r="S110" s="146">
        <f t="shared" si="46"/>
        <v>0</v>
      </c>
      <c r="T110" s="146">
        <f t="shared" si="46"/>
        <v>0</v>
      </c>
      <c r="U110" s="146">
        <f t="shared" si="46"/>
        <v>0</v>
      </c>
      <c r="V110" s="146">
        <f t="shared" si="46"/>
        <v>0</v>
      </c>
      <c r="W110" s="146">
        <f t="shared" si="46"/>
        <v>0</v>
      </c>
      <c r="X110" s="146">
        <f t="shared" si="46"/>
        <v>0</v>
      </c>
      <c r="Y110" s="146">
        <f t="shared" si="46"/>
        <v>0</v>
      </c>
      <c r="Z110" s="146">
        <f t="shared" si="46"/>
        <v>0</v>
      </c>
      <c r="AA110" s="146">
        <f t="shared" si="46"/>
        <v>0</v>
      </c>
      <c r="AB110" s="146">
        <f t="shared" si="46"/>
        <v>0</v>
      </c>
      <c r="AC110" s="146">
        <f t="shared" si="46"/>
        <v>0</v>
      </c>
      <c r="AD110" s="146">
        <f t="shared" si="46"/>
        <v>0</v>
      </c>
      <c r="AE110" s="146">
        <f t="shared" si="46"/>
        <v>0</v>
      </c>
      <c r="AF110" s="146">
        <f t="shared" si="46"/>
        <v>0</v>
      </c>
      <c r="AG110" s="146">
        <f t="shared" si="46"/>
        <v>0</v>
      </c>
      <c r="AH110" s="146">
        <f t="shared" si="46"/>
        <v>0</v>
      </c>
      <c r="AI110" s="146">
        <f t="shared" si="46"/>
        <v>0</v>
      </c>
      <c r="AJ110" s="146">
        <f t="shared" si="46"/>
        <v>0</v>
      </c>
      <c r="AK110" s="146">
        <f t="shared" si="46"/>
        <v>0</v>
      </c>
      <c r="AL110" s="146">
        <f t="shared" si="46"/>
        <v>0</v>
      </c>
      <c r="AM110" s="146">
        <f t="shared" si="46"/>
        <v>0</v>
      </c>
      <c r="AN110" s="146">
        <f t="shared" si="46"/>
        <v>0</v>
      </c>
      <c r="AO110" s="146">
        <f t="shared" si="46"/>
        <v>0</v>
      </c>
      <c r="AP110" s="146">
        <f t="shared" si="46"/>
        <v>0</v>
      </c>
      <c r="AQ110" s="146">
        <f t="shared" si="46"/>
        <v>0</v>
      </c>
      <c r="AR110" s="146">
        <f t="shared" si="46"/>
        <v>0</v>
      </c>
      <c r="AS110" s="146">
        <f t="shared" si="46"/>
        <v>0</v>
      </c>
      <c r="AT110" s="146">
        <f t="shared" si="46"/>
        <v>0</v>
      </c>
      <c r="AU110" s="146">
        <f t="shared" si="46"/>
        <v>0</v>
      </c>
      <c r="AV110" s="146">
        <f t="shared" si="46"/>
        <v>0</v>
      </c>
      <c r="AW110" s="146">
        <f t="shared" si="46"/>
        <v>0</v>
      </c>
      <c r="AX110" s="146">
        <f t="shared" si="46"/>
        <v>0</v>
      </c>
      <c r="AY110" s="146">
        <f t="shared" si="46"/>
        <v>0</v>
      </c>
      <c r="AZ110" s="146">
        <f t="shared" si="46"/>
        <v>0</v>
      </c>
      <c r="BA110" s="146">
        <f t="shared" si="46"/>
        <v>0</v>
      </c>
      <c r="BB110" s="146">
        <f t="shared" si="46"/>
        <v>0</v>
      </c>
      <c r="BC110" s="146">
        <f t="shared" si="46"/>
        <v>0</v>
      </c>
      <c r="BD110" s="146">
        <f t="shared" si="46"/>
        <v>0</v>
      </c>
      <c r="BE110" s="146">
        <f t="shared" si="46"/>
        <v>0</v>
      </c>
      <c r="BF110" s="146">
        <f t="shared" si="46"/>
        <v>0</v>
      </c>
      <c r="BG110" s="146">
        <f t="shared" si="46"/>
        <v>0</v>
      </c>
      <c r="BH110" s="146">
        <f t="shared" si="46"/>
        <v>0</v>
      </c>
      <c r="BI110" s="146">
        <f t="shared" si="46"/>
        <v>0</v>
      </c>
      <c r="BJ110" s="146">
        <f t="shared" si="46"/>
        <v>0</v>
      </c>
      <c r="BK110" s="146">
        <f t="shared" si="46"/>
        <v>0</v>
      </c>
      <c r="BL110" s="146">
        <f t="shared" si="46"/>
        <v>3.5146154864766055E-3</v>
      </c>
    </row>
    <row r="111" spans="2:84" ht="13.5" thickBot="1" x14ac:dyDescent="0.25">
      <c r="B111" s="325">
        <v>44197</v>
      </c>
      <c r="C111" s="62" t="s">
        <v>6</v>
      </c>
      <c r="D111" s="31">
        <f>SUM(E111:BL111)</f>
        <v>95000</v>
      </c>
      <c r="E111" s="285" cm="1">
        <f t="array" ref="E111">_xlfn._xlws.FILTER(CLIENTES!$E181:$BO181,(CLIENTES!$E$5:$BO$5=E$5)*(CLIENTES!$E$9:$BO$9="VENDA"),0)</f>
        <v>45000</v>
      </c>
      <c r="F111" s="199">
        <f>CLIENTES!H181</f>
        <v>50000</v>
      </c>
      <c r="G111" s="199">
        <f>CLIENTES!I181</f>
        <v>0</v>
      </c>
      <c r="H111" s="199">
        <f>CLIENTES!J181</f>
        <v>0</v>
      </c>
      <c r="I111" s="199">
        <f>CLIENTES!K181</f>
        <v>0</v>
      </c>
      <c r="J111" s="199">
        <f>CLIENTES!L181</f>
        <v>0</v>
      </c>
      <c r="K111" s="199">
        <f>CLIENTES!M181</f>
        <v>0</v>
      </c>
      <c r="L111" s="199">
        <f>CLIENTES!N181</f>
        <v>0</v>
      </c>
      <c r="M111" s="199">
        <f>CLIENTES!O181</f>
        <v>0</v>
      </c>
      <c r="N111" s="199">
        <f>CLIENTES!P181</f>
        <v>0</v>
      </c>
      <c r="O111" s="199">
        <f>CLIENTES!Q181</f>
        <v>0</v>
      </c>
      <c r="P111" s="199">
        <f>CLIENTES!R181</f>
        <v>0</v>
      </c>
      <c r="Q111" s="199">
        <f>CLIENTES!S181</f>
        <v>0</v>
      </c>
      <c r="R111" s="199">
        <f>CLIENTES!T181</f>
        <v>0</v>
      </c>
      <c r="S111" s="199">
        <f>CLIENTES!U181</f>
        <v>0</v>
      </c>
      <c r="T111" s="199">
        <f>CLIENTES!V181</f>
        <v>0</v>
      </c>
      <c r="U111" s="199">
        <f>CLIENTES!W181</f>
        <v>0</v>
      </c>
      <c r="V111" s="199">
        <f>CLIENTES!X181</f>
        <v>0</v>
      </c>
      <c r="W111" s="199">
        <f>CLIENTES!Y181</f>
        <v>0</v>
      </c>
      <c r="X111" s="199">
        <f>CLIENTES!Z181</f>
        <v>0</v>
      </c>
      <c r="Y111" s="199">
        <f>CLIENTES!AA181</f>
        <v>0</v>
      </c>
      <c r="Z111" s="199">
        <f>CLIENTES!AB181</f>
        <v>0</v>
      </c>
      <c r="AA111" s="199">
        <f>CLIENTES!AC181</f>
        <v>0</v>
      </c>
      <c r="AB111" s="199">
        <f>CLIENTES!AD181</f>
        <v>0</v>
      </c>
      <c r="AC111" s="199">
        <f>CLIENTES!AE181</f>
        <v>0</v>
      </c>
      <c r="AD111" s="199">
        <f>CLIENTES!AF181</f>
        <v>0</v>
      </c>
      <c r="AE111" s="199">
        <f>CLIENTES!AG181</f>
        <v>0</v>
      </c>
      <c r="AF111" s="199">
        <f>CLIENTES!AH181</f>
        <v>0</v>
      </c>
      <c r="AG111" s="199">
        <f>CLIENTES!AI181</f>
        <v>0</v>
      </c>
      <c r="AH111" s="199">
        <f>CLIENTES!AJ181</f>
        <v>0</v>
      </c>
      <c r="AI111" s="199">
        <f>CLIENTES!AK181</f>
        <v>0</v>
      </c>
      <c r="AJ111" s="199">
        <f>CLIENTES!AL181</f>
        <v>0</v>
      </c>
      <c r="AK111" s="199">
        <f>CLIENTES!AM181</f>
        <v>0</v>
      </c>
      <c r="AL111" s="199">
        <f>CLIENTES!AN181</f>
        <v>0</v>
      </c>
      <c r="AM111" s="199">
        <f>CLIENTES!AO181</f>
        <v>0</v>
      </c>
      <c r="AN111" s="199">
        <f>CLIENTES!AP181</f>
        <v>0</v>
      </c>
      <c r="AO111" s="199">
        <f>CLIENTES!AQ181</f>
        <v>0</v>
      </c>
      <c r="AP111" s="199">
        <f>CLIENTES!AR181</f>
        <v>0</v>
      </c>
      <c r="AQ111" s="199">
        <f>CLIENTES!AS181</f>
        <v>0</v>
      </c>
      <c r="AR111" s="199">
        <f>CLIENTES!AT181</f>
        <v>0</v>
      </c>
      <c r="AS111" s="199">
        <f>CLIENTES!AU181</f>
        <v>0</v>
      </c>
      <c r="AT111" s="199">
        <f>CLIENTES!AV181</f>
        <v>0</v>
      </c>
      <c r="AU111" s="199">
        <f>CLIENTES!AW181</f>
        <v>0</v>
      </c>
      <c r="AV111" s="199">
        <f>CLIENTES!AX181</f>
        <v>0</v>
      </c>
      <c r="AW111" s="199">
        <f>CLIENTES!AY181</f>
        <v>0</v>
      </c>
      <c r="AX111" s="199">
        <f>CLIENTES!AZ181</f>
        <v>0</v>
      </c>
      <c r="AY111" s="199">
        <f>CLIENTES!BA181</f>
        <v>0</v>
      </c>
      <c r="AZ111" s="214">
        <f>CLIENTES!BB181</f>
        <v>0</v>
      </c>
      <c r="BA111" s="199">
        <f>CLIENTES!BC181</f>
        <v>0</v>
      </c>
      <c r="BB111" s="199">
        <f>CLIENTES!BD181</f>
        <v>0</v>
      </c>
      <c r="BC111" s="199">
        <f>CLIENTES!BE181</f>
        <v>0</v>
      </c>
      <c r="BD111" s="199">
        <f>CLIENTES!BF181</f>
        <v>0</v>
      </c>
      <c r="BE111" s="199">
        <f>CLIENTES!BG181</f>
        <v>0</v>
      </c>
      <c r="BF111" s="199">
        <f>CLIENTES!BH181</f>
        <v>0</v>
      </c>
      <c r="BG111" s="199">
        <f>CLIENTES!BI181</f>
        <v>0</v>
      </c>
      <c r="BH111" s="199">
        <f>CLIENTES!BJ181</f>
        <v>0</v>
      </c>
      <c r="BI111" s="199">
        <f>CLIENTES!BK181</f>
        <v>0</v>
      </c>
      <c r="BJ111" s="199">
        <f>CLIENTES!BL181</f>
        <v>0</v>
      </c>
      <c r="BK111" s="199">
        <f>CLIENTES!BM181</f>
        <v>0</v>
      </c>
      <c r="BL111" s="199">
        <f>CLIENTES!BN181</f>
        <v>0</v>
      </c>
    </row>
    <row r="112" spans="2:84" ht="13.5" thickBot="1" x14ac:dyDescent="0.25">
      <c r="B112" s="326"/>
      <c r="C112" s="23" t="s">
        <v>9</v>
      </c>
      <c r="D112" s="27">
        <f>SUM(E112:BL112)</f>
        <v>0</v>
      </c>
      <c r="E112" s="285" cm="1">
        <f t="array" ref="E112">_xlfn._xlws.FILTER(CLIENTES!$E182:$BO182,(CLIENTES!$E$5:$BO$5=E$5)*(CLIENTES!$E$9:$BO$9="VENDA"),0)</f>
        <v>0</v>
      </c>
      <c r="F112" s="132">
        <f>CLIENTES!H182</f>
        <v>0</v>
      </c>
      <c r="G112" s="132">
        <f>CLIENTES!I182</f>
        <v>0</v>
      </c>
      <c r="H112" s="132">
        <f>CLIENTES!J182</f>
        <v>0</v>
      </c>
      <c r="I112" s="132">
        <f>CLIENTES!K182</f>
        <v>0</v>
      </c>
      <c r="J112" s="132">
        <f>CLIENTES!L182</f>
        <v>0</v>
      </c>
      <c r="K112" s="132">
        <f>CLIENTES!M182</f>
        <v>0</v>
      </c>
      <c r="L112" s="132">
        <f>CLIENTES!N182</f>
        <v>0</v>
      </c>
      <c r="M112" s="132">
        <f>CLIENTES!O182</f>
        <v>0</v>
      </c>
      <c r="N112" s="132">
        <f>CLIENTES!P182</f>
        <v>0</v>
      </c>
      <c r="O112" s="132">
        <f>CLIENTES!Q182</f>
        <v>0</v>
      </c>
      <c r="P112" s="132">
        <f>CLIENTES!R182</f>
        <v>0</v>
      </c>
      <c r="Q112" s="132">
        <f>CLIENTES!S182</f>
        <v>0</v>
      </c>
      <c r="R112" s="132">
        <f>CLIENTES!T182</f>
        <v>0</v>
      </c>
      <c r="S112" s="132">
        <f>CLIENTES!U182</f>
        <v>0</v>
      </c>
      <c r="T112" s="132">
        <f>CLIENTES!V182</f>
        <v>0</v>
      </c>
      <c r="U112" s="132">
        <f>CLIENTES!W182</f>
        <v>0</v>
      </c>
      <c r="V112" s="132">
        <f>CLIENTES!X182</f>
        <v>0</v>
      </c>
      <c r="W112" s="132">
        <f>CLIENTES!Y182</f>
        <v>0</v>
      </c>
      <c r="X112" s="132">
        <f>CLIENTES!Z182</f>
        <v>0</v>
      </c>
      <c r="Y112" s="132">
        <f>CLIENTES!AA182</f>
        <v>0</v>
      </c>
      <c r="Z112" s="132">
        <f>CLIENTES!AB182</f>
        <v>0</v>
      </c>
      <c r="AA112" s="132">
        <f>CLIENTES!AC182</f>
        <v>0</v>
      </c>
      <c r="AB112" s="132">
        <f>CLIENTES!AD182</f>
        <v>0</v>
      </c>
      <c r="AC112" s="132">
        <f>CLIENTES!AE182</f>
        <v>0</v>
      </c>
      <c r="AD112" s="132">
        <f>CLIENTES!AF182</f>
        <v>0</v>
      </c>
      <c r="AE112" s="132">
        <f>CLIENTES!AG182</f>
        <v>0</v>
      </c>
      <c r="AF112" s="132">
        <f>CLIENTES!AH182</f>
        <v>0</v>
      </c>
      <c r="AG112" s="132">
        <f>CLIENTES!AI182</f>
        <v>0</v>
      </c>
      <c r="AH112" s="132">
        <f>CLIENTES!AJ182</f>
        <v>0</v>
      </c>
      <c r="AI112" s="132">
        <f>CLIENTES!AK182</f>
        <v>0</v>
      </c>
      <c r="AJ112" s="132">
        <f>CLIENTES!AL182</f>
        <v>0</v>
      </c>
      <c r="AK112" s="132">
        <f>CLIENTES!AM182</f>
        <v>0</v>
      </c>
      <c r="AL112" s="132">
        <f>CLIENTES!AN182</f>
        <v>0</v>
      </c>
      <c r="AM112" s="132">
        <f>CLIENTES!AO182</f>
        <v>0</v>
      </c>
      <c r="AN112" s="132">
        <f>CLIENTES!AP182</f>
        <v>0</v>
      </c>
      <c r="AO112" s="132">
        <f>CLIENTES!AQ182</f>
        <v>0</v>
      </c>
      <c r="AP112" s="132">
        <f>CLIENTES!AR182</f>
        <v>0</v>
      </c>
      <c r="AQ112" s="132">
        <f>CLIENTES!AS182</f>
        <v>0</v>
      </c>
      <c r="AR112" s="132">
        <f>CLIENTES!AT182</f>
        <v>0</v>
      </c>
      <c r="AS112" s="132">
        <f>CLIENTES!AU182</f>
        <v>0</v>
      </c>
      <c r="AT112" s="132">
        <f>CLIENTES!AV182</f>
        <v>0</v>
      </c>
      <c r="AU112" s="132">
        <f>CLIENTES!AW182</f>
        <v>0</v>
      </c>
      <c r="AV112" s="132">
        <f>CLIENTES!AX182</f>
        <v>0</v>
      </c>
      <c r="AW112" s="132">
        <f>CLIENTES!AY182</f>
        <v>0</v>
      </c>
      <c r="AX112" s="132">
        <f>CLIENTES!AZ182</f>
        <v>0</v>
      </c>
      <c r="AY112" s="132">
        <f>CLIENTES!BA182</f>
        <v>0</v>
      </c>
      <c r="AZ112" s="139">
        <f>CLIENTES!BB182</f>
        <v>0</v>
      </c>
      <c r="BA112" s="132">
        <f>CLIENTES!BC182</f>
        <v>0</v>
      </c>
      <c r="BB112" s="132">
        <f>CLIENTES!BD182</f>
        <v>0</v>
      </c>
      <c r="BC112" s="132">
        <f>CLIENTES!BE182</f>
        <v>0</v>
      </c>
      <c r="BD112" s="132">
        <f>CLIENTES!BF182</f>
        <v>0</v>
      </c>
      <c r="BE112" s="132">
        <f>CLIENTES!BG182</f>
        <v>0</v>
      </c>
      <c r="BF112" s="132">
        <f>CLIENTES!BH182</f>
        <v>0</v>
      </c>
      <c r="BG112" s="132">
        <f>CLIENTES!BI182</f>
        <v>0</v>
      </c>
      <c r="BH112" s="132">
        <f>CLIENTES!BJ182</f>
        <v>0</v>
      </c>
      <c r="BI112" s="132">
        <f>CLIENTES!BK182</f>
        <v>0</v>
      </c>
      <c r="BJ112" s="132">
        <f>CLIENTES!BL182</f>
        <v>0</v>
      </c>
      <c r="BK112" s="132">
        <f>CLIENTES!BM182</f>
        <v>0</v>
      </c>
      <c r="BL112" s="132">
        <f>CLIENTES!BN182</f>
        <v>0</v>
      </c>
    </row>
    <row r="113" spans="2:84" x14ac:dyDescent="0.2">
      <c r="B113" s="326"/>
      <c r="C113" s="23" t="s">
        <v>10</v>
      </c>
      <c r="D113" s="72">
        <v>7.1999999999999998E-3</v>
      </c>
      <c r="E113" s="200">
        <f>CLIENTES!F184</f>
        <v>1.2800000000000001E-2</v>
      </c>
      <c r="F113" s="200">
        <f>CLIENTES!H184</f>
        <v>1.2800000000000001E-2</v>
      </c>
      <c r="G113" s="200">
        <f>CLIENTES!I184</f>
        <v>1.2800000000000001E-2</v>
      </c>
      <c r="H113" s="200">
        <f>CLIENTES!J184</f>
        <v>1.2800000000000001E-2</v>
      </c>
      <c r="I113" s="200">
        <f>CLIENTES!K184</f>
        <v>1.2800000000000001E-2</v>
      </c>
      <c r="J113" s="200">
        <f>CLIENTES!L184</f>
        <v>1.2800000000000001E-2</v>
      </c>
      <c r="K113" s="200">
        <f>CLIENTES!M184</f>
        <v>1.2800000000000001E-2</v>
      </c>
      <c r="L113" s="200">
        <f>CLIENTES!N184</f>
        <v>1.2800000000000001E-2</v>
      </c>
      <c r="M113" s="200">
        <f>CLIENTES!O184</f>
        <v>1.2800000000000001E-2</v>
      </c>
      <c r="N113" s="200">
        <f>CLIENTES!P184</f>
        <v>1.2800000000000001E-2</v>
      </c>
      <c r="O113" s="200">
        <f>CLIENTES!Q184</f>
        <v>1.2800000000000001E-2</v>
      </c>
      <c r="P113" s="200">
        <f>CLIENTES!R184</f>
        <v>1.2800000000000001E-2</v>
      </c>
      <c r="Q113" s="200">
        <f>CLIENTES!S184</f>
        <v>1.2800000000000001E-2</v>
      </c>
      <c r="R113" s="200">
        <f>CLIENTES!T184</f>
        <v>1.2800000000000001E-2</v>
      </c>
      <c r="S113" s="200">
        <f>CLIENTES!U184</f>
        <v>1.2800000000000001E-2</v>
      </c>
      <c r="T113" s="200">
        <f>CLIENTES!V184</f>
        <v>1.2800000000000001E-2</v>
      </c>
      <c r="U113" s="200">
        <f>CLIENTES!W184</f>
        <v>1.2800000000000001E-2</v>
      </c>
      <c r="V113" s="200">
        <f>CLIENTES!X184</f>
        <v>1.2800000000000001E-2</v>
      </c>
      <c r="W113" s="200">
        <f>CLIENTES!Y184</f>
        <v>1.2800000000000001E-2</v>
      </c>
      <c r="X113" s="200">
        <f>CLIENTES!Z184</f>
        <v>1.2800000000000001E-2</v>
      </c>
      <c r="Y113" s="200">
        <f>CLIENTES!AA184</f>
        <v>1.2800000000000001E-2</v>
      </c>
      <c r="Z113" s="200">
        <f>CLIENTES!AB184</f>
        <v>1.2800000000000001E-2</v>
      </c>
      <c r="AA113" s="200">
        <f>CLIENTES!AC184</f>
        <v>1.2800000000000001E-2</v>
      </c>
      <c r="AB113" s="200">
        <f>CLIENTES!AD184</f>
        <v>1.2800000000000001E-2</v>
      </c>
      <c r="AC113" s="200">
        <f>CLIENTES!AE184</f>
        <v>1.2800000000000001E-2</v>
      </c>
      <c r="AD113" s="200">
        <f>CLIENTES!AF184</f>
        <v>1.2800000000000001E-2</v>
      </c>
      <c r="AE113" s="200">
        <f>CLIENTES!AG184</f>
        <v>1.2800000000000001E-2</v>
      </c>
      <c r="AF113" s="200">
        <f>CLIENTES!AH184</f>
        <v>1.2800000000000001E-2</v>
      </c>
      <c r="AG113" s="200">
        <f>CLIENTES!AI184</f>
        <v>1.2800000000000001E-2</v>
      </c>
      <c r="AH113" s="200">
        <f>CLIENTES!AJ184</f>
        <v>1.2800000000000001E-2</v>
      </c>
      <c r="AI113" s="200">
        <f>CLIENTES!AK184</f>
        <v>1.2800000000000001E-2</v>
      </c>
      <c r="AJ113" s="200">
        <f>CLIENTES!AL184</f>
        <v>1.2800000000000001E-2</v>
      </c>
      <c r="AK113" s="200">
        <f>CLIENTES!AM184</f>
        <v>1.2800000000000001E-2</v>
      </c>
      <c r="AL113" s="200">
        <f>CLIENTES!AN184</f>
        <v>1.2800000000000001E-2</v>
      </c>
      <c r="AM113" s="200">
        <f>CLIENTES!AO184</f>
        <v>1.2800000000000001E-2</v>
      </c>
      <c r="AN113" s="200">
        <f>CLIENTES!AP184</f>
        <v>1.2800000000000001E-2</v>
      </c>
      <c r="AO113" s="200">
        <f>CLIENTES!AQ184</f>
        <v>1.2800000000000001E-2</v>
      </c>
      <c r="AP113" s="200">
        <f>CLIENTES!AR184</f>
        <v>1.2800000000000001E-2</v>
      </c>
      <c r="AQ113" s="200">
        <f>CLIENTES!AS184</f>
        <v>1.2800000000000001E-2</v>
      </c>
      <c r="AR113" s="200">
        <f>CLIENTES!AT184</f>
        <v>1.2800000000000001E-2</v>
      </c>
      <c r="AS113" s="200">
        <f>CLIENTES!AU184</f>
        <v>1.2800000000000001E-2</v>
      </c>
      <c r="AT113" s="200">
        <f>CLIENTES!AV184</f>
        <v>1.2800000000000001E-2</v>
      </c>
      <c r="AU113" s="200">
        <f>CLIENTES!AW184</f>
        <v>1.2800000000000001E-2</v>
      </c>
      <c r="AV113" s="200">
        <f>CLIENTES!AX184</f>
        <v>1.2800000000000001E-2</v>
      </c>
      <c r="AW113" s="200">
        <f>CLIENTES!AY184</f>
        <v>1.2800000000000001E-2</v>
      </c>
      <c r="AX113" s="200">
        <f>CLIENTES!AZ184</f>
        <v>1.2800000000000001E-2</v>
      </c>
      <c r="AY113" s="200">
        <f>CLIENTES!BA184</f>
        <v>1.2800000000000001E-2</v>
      </c>
      <c r="AZ113" s="215">
        <f>CLIENTES!BB184</f>
        <v>1.2800000000000001E-2</v>
      </c>
      <c r="BA113" s="200">
        <f>CLIENTES!BC184</f>
        <v>1.2800000000000001E-2</v>
      </c>
      <c r="BB113" s="200">
        <f>CLIENTES!BD184</f>
        <v>1.2800000000000001E-2</v>
      </c>
      <c r="BC113" s="200">
        <f>CLIENTES!BE184</f>
        <v>1.2800000000000001E-2</v>
      </c>
      <c r="BD113" s="200">
        <f>CLIENTES!BF184</f>
        <v>1.2800000000000001E-2</v>
      </c>
      <c r="BE113" s="200">
        <f>CLIENTES!BG184</f>
        <v>1.2800000000000001E-2</v>
      </c>
      <c r="BF113" s="200">
        <f>CLIENTES!BH184</f>
        <v>1.2800000000000001E-2</v>
      </c>
      <c r="BG113" s="200">
        <f>CLIENTES!BI184</f>
        <v>1.2800000000000001E-2</v>
      </c>
      <c r="BH113" s="200">
        <f>CLIENTES!BJ184</f>
        <v>1.2800000000000001E-2</v>
      </c>
      <c r="BI113" s="200">
        <f>CLIENTES!BK184</f>
        <v>1.2800000000000001E-2</v>
      </c>
      <c r="BJ113" s="200">
        <f>CLIENTES!BL184</f>
        <v>1.2800000000000001E-2</v>
      </c>
      <c r="BK113" s="200">
        <f>CLIENTES!BM184</f>
        <v>1.2800000000000001E-2</v>
      </c>
      <c r="BL113" s="200">
        <f>CLIENTES!BN184</f>
        <v>1.2800000000000001E-2</v>
      </c>
    </row>
    <row r="114" spans="2:84" x14ac:dyDescent="0.2">
      <c r="B114" s="326"/>
      <c r="C114" s="58" t="s">
        <v>23</v>
      </c>
      <c r="D114" s="27">
        <f>SUM(E114:BL114)</f>
        <v>25316.65626892207</v>
      </c>
      <c r="E114" s="139">
        <f>IF((E110+E111-E112)*E113&lt;0,0,(E110+E111-E112)*E113)</f>
        <v>11938.612440953739</v>
      </c>
      <c r="F114" s="139">
        <f t="shared" ref="F114:BL114" si="47">IF((F110+F111-F112)*F113&lt;0,0,(F110+F111-F112)*F113)</f>
        <v>13378.043782981253</v>
      </c>
      <c r="G114" s="139">
        <f t="shared" si="47"/>
        <v>0</v>
      </c>
      <c r="H114" s="139">
        <f t="shared" si="47"/>
        <v>0</v>
      </c>
      <c r="I114" s="139">
        <f t="shared" si="47"/>
        <v>0</v>
      </c>
      <c r="J114" s="139">
        <f t="shared" si="47"/>
        <v>0</v>
      </c>
      <c r="K114" s="139">
        <f t="shared" si="47"/>
        <v>0</v>
      </c>
      <c r="L114" s="139">
        <f t="shared" si="47"/>
        <v>0</v>
      </c>
      <c r="M114" s="139">
        <f t="shared" si="47"/>
        <v>0</v>
      </c>
      <c r="N114" s="139">
        <f t="shared" si="47"/>
        <v>0</v>
      </c>
      <c r="O114" s="139">
        <f t="shared" si="47"/>
        <v>0</v>
      </c>
      <c r="P114" s="139">
        <f t="shared" si="47"/>
        <v>0</v>
      </c>
      <c r="Q114" s="139">
        <f t="shared" si="47"/>
        <v>0</v>
      </c>
      <c r="R114" s="139">
        <f t="shared" si="47"/>
        <v>0</v>
      </c>
      <c r="S114" s="139">
        <f t="shared" si="47"/>
        <v>0</v>
      </c>
      <c r="T114" s="139">
        <f t="shared" si="47"/>
        <v>0</v>
      </c>
      <c r="U114" s="139">
        <f t="shared" si="47"/>
        <v>0</v>
      </c>
      <c r="V114" s="139">
        <f t="shared" si="47"/>
        <v>0</v>
      </c>
      <c r="W114" s="139">
        <f t="shared" si="47"/>
        <v>0</v>
      </c>
      <c r="X114" s="139">
        <f t="shared" si="47"/>
        <v>0</v>
      </c>
      <c r="Y114" s="139">
        <f t="shared" si="47"/>
        <v>0</v>
      </c>
      <c r="Z114" s="139">
        <f t="shared" si="47"/>
        <v>0</v>
      </c>
      <c r="AA114" s="139">
        <f t="shared" si="47"/>
        <v>0</v>
      </c>
      <c r="AB114" s="139">
        <f t="shared" si="47"/>
        <v>0</v>
      </c>
      <c r="AC114" s="139">
        <f t="shared" si="47"/>
        <v>0</v>
      </c>
      <c r="AD114" s="139">
        <f t="shared" si="47"/>
        <v>0</v>
      </c>
      <c r="AE114" s="139">
        <f t="shared" si="47"/>
        <v>0</v>
      </c>
      <c r="AF114" s="139">
        <f t="shared" si="47"/>
        <v>0</v>
      </c>
      <c r="AG114" s="139">
        <f t="shared" si="47"/>
        <v>0</v>
      </c>
      <c r="AH114" s="139">
        <f t="shared" si="47"/>
        <v>0</v>
      </c>
      <c r="AI114" s="139">
        <f t="shared" si="47"/>
        <v>0</v>
      </c>
      <c r="AJ114" s="139">
        <f t="shared" si="47"/>
        <v>0</v>
      </c>
      <c r="AK114" s="139">
        <f t="shared" si="47"/>
        <v>0</v>
      </c>
      <c r="AL114" s="139">
        <f t="shared" si="47"/>
        <v>0</v>
      </c>
      <c r="AM114" s="139">
        <f t="shared" si="47"/>
        <v>0</v>
      </c>
      <c r="AN114" s="139">
        <f t="shared" si="47"/>
        <v>0</v>
      </c>
      <c r="AO114" s="139">
        <f t="shared" si="47"/>
        <v>0</v>
      </c>
      <c r="AP114" s="139">
        <f t="shared" si="47"/>
        <v>0</v>
      </c>
      <c r="AQ114" s="139">
        <f t="shared" si="47"/>
        <v>0</v>
      </c>
      <c r="AR114" s="139">
        <f t="shared" si="47"/>
        <v>0</v>
      </c>
      <c r="AS114" s="139">
        <f t="shared" si="47"/>
        <v>0</v>
      </c>
      <c r="AT114" s="139">
        <f t="shared" si="47"/>
        <v>0</v>
      </c>
      <c r="AU114" s="139">
        <f t="shared" si="47"/>
        <v>0</v>
      </c>
      <c r="AV114" s="139">
        <f t="shared" si="47"/>
        <v>0</v>
      </c>
      <c r="AW114" s="139">
        <f t="shared" si="47"/>
        <v>0</v>
      </c>
      <c r="AX114" s="139">
        <f t="shared" si="47"/>
        <v>0</v>
      </c>
      <c r="AY114" s="139">
        <f t="shared" si="47"/>
        <v>0</v>
      </c>
      <c r="AZ114" s="139">
        <f t="shared" si="47"/>
        <v>0</v>
      </c>
      <c r="BA114" s="139">
        <f t="shared" si="47"/>
        <v>0</v>
      </c>
      <c r="BB114" s="139">
        <f t="shared" si="47"/>
        <v>0</v>
      </c>
      <c r="BC114" s="139">
        <f t="shared" si="47"/>
        <v>0</v>
      </c>
      <c r="BD114" s="139">
        <f t="shared" si="47"/>
        <v>0</v>
      </c>
      <c r="BE114" s="139">
        <f t="shared" si="47"/>
        <v>0</v>
      </c>
      <c r="BF114" s="139">
        <f t="shared" si="47"/>
        <v>0</v>
      </c>
      <c r="BG114" s="139">
        <f t="shared" si="47"/>
        <v>0</v>
      </c>
      <c r="BH114" s="139">
        <f t="shared" si="47"/>
        <v>0</v>
      </c>
      <c r="BI114" s="139">
        <f t="shared" si="47"/>
        <v>0</v>
      </c>
      <c r="BJ114" s="139">
        <f t="shared" si="47"/>
        <v>0</v>
      </c>
      <c r="BK114" s="139">
        <f t="shared" si="47"/>
        <v>0</v>
      </c>
      <c r="BL114" s="139">
        <f t="shared" si="47"/>
        <v>4.4987078226900551E-5</v>
      </c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</row>
    <row r="115" spans="2:84" ht="13.5" thickBot="1" x14ac:dyDescent="0.25">
      <c r="B115" s="327"/>
      <c r="C115" s="25" t="s">
        <v>22</v>
      </c>
      <c r="D115" s="30">
        <f>SUM(E115:BL115)</f>
        <v>2003180.4272784588</v>
      </c>
      <c r="E115" s="146">
        <f>+E110-E112+E111+E114</f>
        <v>944642.70939046459</v>
      </c>
      <c r="F115" s="146">
        <f t="shared" ref="F115:BL115" si="48">+F110-F112+F111+F114</f>
        <v>1058537.7143283915</v>
      </c>
      <c r="G115" s="146">
        <f t="shared" si="48"/>
        <v>0</v>
      </c>
      <c r="H115" s="146">
        <f t="shared" si="48"/>
        <v>0</v>
      </c>
      <c r="I115" s="146">
        <f t="shared" si="48"/>
        <v>0</v>
      </c>
      <c r="J115" s="146">
        <f t="shared" si="48"/>
        <v>0</v>
      </c>
      <c r="K115" s="146">
        <f t="shared" si="48"/>
        <v>0</v>
      </c>
      <c r="L115" s="146">
        <f t="shared" si="48"/>
        <v>0</v>
      </c>
      <c r="M115" s="146">
        <f t="shared" si="48"/>
        <v>0</v>
      </c>
      <c r="N115" s="146">
        <f t="shared" si="48"/>
        <v>0</v>
      </c>
      <c r="O115" s="146">
        <f t="shared" si="48"/>
        <v>0</v>
      </c>
      <c r="P115" s="146">
        <f t="shared" si="48"/>
        <v>0</v>
      </c>
      <c r="Q115" s="146">
        <f t="shared" si="48"/>
        <v>0</v>
      </c>
      <c r="R115" s="146">
        <f t="shared" si="48"/>
        <v>0</v>
      </c>
      <c r="S115" s="146">
        <f t="shared" si="48"/>
        <v>0</v>
      </c>
      <c r="T115" s="146">
        <f t="shared" si="48"/>
        <v>0</v>
      </c>
      <c r="U115" s="146">
        <f t="shared" si="48"/>
        <v>0</v>
      </c>
      <c r="V115" s="146">
        <f t="shared" si="48"/>
        <v>0</v>
      </c>
      <c r="W115" s="146">
        <f t="shared" si="48"/>
        <v>0</v>
      </c>
      <c r="X115" s="146">
        <f t="shared" si="48"/>
        <v>0</v>
      </c>
      <c r="Y115" s="146">
        <f t="shared" si="48"/>
        <v>0</v>
      </c>
      <c r="Z115" s="146">
        <f t="shared" si="48"/>
        <v>0</v>
      </c>
      <c r="AA115" s="146">
        <f t="shared" si="48"/>
        <v>0</v>
      </c>
      <c r="AB115" s="146">
        <f t="shared" si="48"/>
        <v>0</v>
      </c>
      <c r="AC115" s="146">
        <f t="shared" si="48"/>
        <v>0</v>
      </c>
      <c r="AD115" s="146">
        <f t="shared" si="48"/>
        <v>0</v>
      </c>
      <c r="AE115" s="146">
        <f t="shared" si="48"/>
        <v>0</v>
      </c>
      <c r="AF115" s="146">
        <f t="shared" si="48"/>
        <v>0</v>
      </c>
      <c r="AG115" s="146">
        <f t="shared" si="48"/>
        <v>0</v>
      </c>
      <c r="AH115" s="146">
        <f t="shared" si="48"/>
        <v>0</v>
      </c>
      <c r="AI115" s="146">
        <f t="shared" si="48"/>
        <v>0</v>
      </c>
      <c r="AJ115" s="146">
        <f t="shared" si="48"/>
        <v>0</v>
      </c>
      <c r="AK115" s="146">
        <f t="shared" si="48"/>
        <v>0</v>
      </c>
      <c r="AL115" s="146">
        <f t="shared" si="48"/>
        <v>0</v>
      </c>
      <c r="AM115" s="146">
        <f t="shared" si="48"/>
        <v>0</v>
      </c>
      <c r="AN115" s="146">
        <f t="shared" si="48"/>
        <v>0</v>
      </c>
      <c r="AO115" s="146">
        <f t="shared" si="48"/>
        <v>0</v>
      </c>
      <c r="AP115" s="146">
        <f t="shared" si="48"/>
        <v>0</v>
      </c>
      <c r="AQ115" s="146">
        <f t="shared" si="48"/>
        <v>0</v>
      </c>
      <c r="AR115" s="146">
        <f t="shared" si="48"/>
        <v>0</v>
      </c>
      <c r="AS115" s="146">
        <f t="shared" si="48"/>
        <v>0</v>
      </c>
      <c r="AT115" s="146">
        <f t="shared" si="48"/>
        <v>0</v>
      </c>
      <c r="AU115" s="146">
        <f t="shared" si="48"/>
        <v>0</v>
      </c>
      <c r="AV115" s="146">
        <f t="shared" si="48"/>
        <v>0</v>
      </c>
      <c r="AW115" s="146">
        <f t="shared" si="48"/>
        <v>0</v>
      </c>
      <c r="AX115" s="146">
        <f t="shared" si="48"/>
        <v>0</v>
      </c>
      <c r="AY115" s="146">
        <f t="shared" si="48"/>
        <v>0</v>
      </c>
      <c r="AZ115" s="146">
        <f t="shared" si="48"/>
        <v>0</v>
      </c>
      <c r="BA115" s="146">
        <f t="shared" si="48"/>
        <v>0</v>
      </c>
      <c r="BB115" s="146">
        <f t="shared" si="48"/>
        <v>0</v>
      </c>
      <c r="BC115" s="146">
        <f t="shared" si="48"/>
        <v>0</v>
      </c>
      <c r="BD115" s="146">
        <f t="shared" si="48"/>
        <v>0</v>
      </c>
      <c r="BE115" s="146">
        <f t="shared" si="48"/>
        <v>0</v>
      </c>
      <c r="BF115" s="146">
        <f t="shared" si="48"/>
        <v>0</v>
      </c>
      <c r="BG115" s="146">
        <f t="shared" si="48"/>
        <v>0</v>
      </c>
      <c r="BH115" s="146">
        <f t="shared" si="48"/>
        <v>0</v>
      </c>
      <c r="BI115" s="146">
        <f t="shared" si="48"/>
        <v>0</v>
      </c>
      <c r="BJ115" s="146">
        <f t="shared" si="48"/>
        <v>0</v>
      </c>
      <c r="BK115" s="146">
        <f t="shared" si="48"/>
        <v>0</v>
      </c>
      <c r="BL115" s="146">
        <f t="shared" si="48"/>
        <v>3.559602564703506E-3</v>
      </c>
    </row>
    <row r="116" spans="2:84" ht="13.5" thickBot="1" x14ac:dyDescent="0.25">
      <c r="B116" s="325">
        <v>44228</v>
      </c>
      <c r="C116" s="62" t="s">
        <v>6</v>
      </c>
      <c r="D116" s="31">
        <f>SUM(E116:BL116)</f>
        <v>95000</v>
      </c>
      <c r="E116" s="285" cm="1">
        <f t="array" ref="E116">_xlfn._xlws.FILTER(CLIENTES!$E189:$BO189,(CLIENTES!$E$5:$BO$5=E$5)*(CLIENTES!$E$9:$BO$9="VENDA"),0)</f>
        <v>45000</v>
      </c>
      <c r="F116" s="199">
        <f>CLIENTES!H189</f>
        <v>50000</v>
      </c>
      <c r="G116" s="199">
        <f>CLIENTES!I189</f>
        <v>0</v>
      </c>
      <c r="H116" s="199">
        <f>CLIENTES!J189</f>
        <v>0</v>
      </c>
      <c r="I116" s="199">
        <f>CLIENTES!K189</f>
        <v>0</v>
      </c>
      <c r="J116" s="199">
        <f>CLIENTES!L189</f>
        <v>0</v>
      </c>
      <c r="K116" s="199">
        <f>CLIENTES!M189</f>
        <v>0</v>
      </c>
      <c r="L116" s="199">
        <f>CLIENTES!N189</f>
        <v>0</v>
      </c>
      <c r="M116" s="199">
        <f>CLIENTES!O189</f>
        <v>0</v>
      </c>
      <c r="N116" s="199">
        <f>CLIENTES!P189</f>
        <v>0</v>
      </c>
      <c r="O116" s="199">
        <f>CLIENTES!Q189</f>
        <v>0</v>
      </c>
      <c r="P116" s="199">
        <f>CLIENTES!R189</f>
        <v>0</v>
      </c>
      <c r="Q116" s="199">
        <f>CLIENTES!S189</f>
        <v>0</v>
      </c>
      <c r="R116" s="199">
        <f>CLIENTES!T189</f>
        <v>0</v>
      </c>
      <c r="S116" s="199">
        <f>CLIENTES!U189</f>
        <v>0</v>
      </c>
      <c r="T116" s="199">
        <f>CLIENTES!V189</f>
        <v>0</v>
      </c>
      <c r="U116" s="199">
        <f>CLIENTES!W189</f>
        <v>0</v>
      </c>
      <c r="V116" s="199">
        <f>CLIENTES!X189</f>
        <v>0</v>
      </c>
      <c r="W116" s="199">
        <f>CLIENTES!Y189</f>
        <v>0</v>
      </c>
      <c r="X116" s="199">
        <f>CLIENTES!Z189</f>
        <v>0</v>
      </c>
      <c r="Y116" s="199">
        <f>CLIENTES!AA189</f>
        <v>0</v>
      </c>
      <c r="Z116" s="199">
        <f>CLIENTES!AB189</f>
        <v>0</v>
      </c>
      <c r="AA116" s="199">
        <f>CLIENTES!AC189</f>
        <v>0</v>
      </c>
      <c r="AB116" s="199">
        <f>CLIENTES!AD189</f>
        <v>0</v>
      </c>
      <c r="AC116" s="199">
        <f>CLIENTES!AE189</f>
        <v>0</v>
      </c>
      <c r="AD116" s="199">
        <f>CLIENTES!AF189</f>
        <v>0</v>
      </c>
      <c r="AE116" s="199">
        <f>CLIENTES!AG189</f>
        <v>0</v>
      </c>
      <c r="AF116" s="199">
        <f>CLIENTES!AH189</f>
        <v>0</v>
      </c>
      <c r="AG116" s="199">
        <f>CLIENTES!AI189</f>
        <v>0</v>
      </c>
      <c r="AH116" s="199">
        <f>CLIENTES!AJ189</f>
        <v>0</v>
      </c>
      <c r="AI116" s="199">
        <f>CLIENTES!AK189</f>
        <v>0</v>
      </c>
      <c r="AJ116" s="199">
        <f>CLIENTES!AL189</f>
        <v>0</v>
      </c>
      <c r="AK116" s="199">
        <f>CLIENTES!AM189</f>
        <v>0</v>
      </c>
      <c r="AL116" s="199">
        <f>CLIENTES!AN189</f>
        <v>0</v>
      </c>
      <c r="AM116" s="199">
        <f>CLIENTES!AO189</f>
        <v>0</v>
      </c>
      <c r="AN116" s="199">
        <f>CLIENTES!AP189</f>
        <v>0</v>
      </c>
      <c r="AO116" s="199">
        <f>CLIENTES!AQ189</f>
        <v>0</v>
      </c>
      <c r="AP116" s="199">
        <f>CLIENTES!AR189</f>
        <v>0</v>
      </c>
      <c r="AQ116" s="199">
        <f>CLIENTES!AS189</f>
        <v>0</v>
      </c>
      <c r="AR116" s="199">
        <f>CLIENTES!AT189</f>
        <v>0</v>
      </c>
      <c r="AS116" s="199">
        <f>CLIENTES!AU189</f>
        <v>0</v>
      </c>
      <c r="AT116" s="199">
        <f>CLIENTES!AV189</f>
        <v>0</v>
      </c>
      <c r="AU116" s="199">
        <f>CLIENTES!AW189</f>
        <v>0</v>
      </c>
      <c r="AV116" s="199">
        <f>CLIENTES!AX189</f>
        <v>0</v>
      </c>
      <c r="AW116" s="199">
        <f>CLIENTES!AY189</f>
        <v>0</v>
      </c>
      <c r="AX116" s="199">
        <f>CLIENTES!AZ189</f>
        <v>0</v>
      </c>
      <c r="AY116" s="199">
        <f>CLIENTES!BA189</f>
        <v>0</v>
      </c>
      <c r="AZ116" s="214">
        <f>CLIENTES!BB189</f>
        <v>0</v>
      </c>
      <c r="BA116" s="199">
        <f>CLIENTES!BC189</f>
        <v>0</v>
      </c>
      <c r="BB116" s="199">
        <f>CLIENTES!BD189</f>
        <v>0</v>
      </c>
      <c r="BC116" s="199">
        <f>CLIENTES!BE189</f>
        <v>0</v>
      </c>
      <c r="BD116" s="199">
        <f>CLIENTES!BF189</f>
        <v>0</v>
      </c>
      <c r="BE116" s="199">
        <f>CLIENTES!BG189</f>
        <v>0</v>
      </c>
      <c r="BF116" s="199">
        <f>CLIENTES!BH189</f>
        <v>0</v>
      </c>
      <c r="BG116" s="199">
        <f>CLIENTES!BI189</f>
        <v>0</v>
      </c>
      <c r="BH116" s="199">
        <f>CLIENTES!BJ189</f>
        <v>0</v>
      </c>
      <c r="BI116" s="199">
        <f>CLIENTES!BK189</f>
        <v>0</v>
      </c>
      <c r="BJ116" s="199">
        <f>CLIENTES!BL189</f>
        <v>0</v>
      </c>
      <c r="BK116" s="199">
        <f>CLIENTES!BM189</f>
        <v>0</v>
      </c>
      <c r="BL116" s="199">
        <f>CLIENTES!BN189</f>
        <v>0</v>
      </c>
    </row>
    <row r="117" spans="2:84" ht="13.5" thickBot="1" x14ac:dyDescent="0.25">
      <c r="B117" s="326"/>
      <c r="C117" s="23" t="s">
        <v>9</v>
      </c>
      <c r="D117" s="27">
        <f>SUM(E117:BL117)</f>
        <v>0</v>
      </c>
      <c r="E117" s="285" cm="1">
        <f t="array" ref="E117">_xlfn._xlws.FILTER(CLIENTES!$E190:$BO190,(CLIENTES!$E$5:$BO$5=E$5)*(CLIENTES!$E$9:$BO$9="VENDA"),0)</f>
        <v>0</v>
      </c>
      <c r="F117" s="132">
        <f>CLIENTES!H190</f>
        <v>0</v>
      </c>
      <c r="G117" s="132">
        <f>CLIENTES!I190</f>
        <v>0</v>
      </c>
      <c r="H117" s="132">
        <f>CLIENTES!J190</f>
        <v>0</v>
      </c>
      <c r="I117" s="132">
        <f>CLIENTES!K190</f>
        <v>0</v>
      </c>
      <c r="J117" s="132">
        <f>CLIENTES!L190</f>
        <v>0</v>
      </c>
      <c r="K117" s="132">
        <f>CLIENTES!M190</f>
        <v>0</v>
      </c>
      <c r="L117" s="132">
        <f>CLIENTES!N190</f>
        <v>0</v>
      </c>
      <c r="M117" s="132">
        <f>CLIENTES!O190</f>
        <v>0</v>
      </c>
      <c r="N117" s="132">
        <f>CLIENTES!P190</f>
        <v>0</v>
      </c>
      <c r="O117" s="132">
        <f>CLIENTES!Q190</f>
        <v>0</v>
      </c>
      <c r="P117" s="132">
        <f>CLIENTES!R190</f>
        <v>0</v>
      </c>
      <c r="Q117" s="132">
        <f>CLIENTES!S190</f>
        <v>0</v>
      </c>
      <c r="R117" s="132">
        <f>CLIENTES!T190</f>
        <v>0</v>
      </c>
      <c r="S117" s="132">
        <f>CLIENTES!U190</f>
        <v>0</v>
      </c>
      <c r="T117" s="132">
        <f>CLIENTES!V190</f>
        <v>0</v>
      </c>
      <c r="U117" s="132">
        <f>CLIENTES!W190</f>
        <v>0</v>
      </c>
      <c r="V117" s="132">
        <f>CLIENTES!X190</f>
        <v>0</v>
      </c>
      <c r="W117" s="132">
        <f>CLIENTES!Y190</f>
        <v>0</v>
      </c>
      <c r="X117" s="132">
        <f>CLIENTES!Z190</f>
        <v>0</v>
      </c>
      <c r="Y117" s="132">
        <f>CLIENTES!AA190</f>
        <v>0</v>
      </c>
      <c r="Z117" s="132">
        <f>CLIENTES!AB190</f>
        <v>0</v>
      </c>
      <c r="AA117" s="132">
        <f>CLIENTES!AC190</f>
        <v>0</v>
      </c>
      <c r="AB117" s="132">
        <f>CLIENTES!AD190</f>
        <v>0</v>
      </c>
      <c r="AC117" s="132">
        <f>CLIENTES!AE190</f>
        <v>0</v>
      </c>
      <c r="AD117" s="132">
        <f>CLIENTES!AF190</f>
        <v>0</v>
      </c>
      <c r="AE117" s="132">
        <f>CLIENTES!AG190</f>
        <v>0</v>
      </c>
      <c r="AF117" s="132">
        <f>CLIENTES!AH190</f>
        <v>0</v>
      </c>
      <c r="AG117" s="132">
        <f>CLIENTES!AI190</f>
        <v>0</v>
      </c>
      <c r="AH117" s="132">
        <f>CLIENTES!AJ190</f>
        <v>0</v>
      </c>
      <c r="AI117" s="132">
        <f>CLIENTES!AK190</f>
        <v>0</v>
      </c>
      <c r="AJ117" s="132">
        <f>CLIENTES!AL190</f>
        <v>0</v>
      </c>
      <c r="AK117" s="132">
        <f>CLIENTES!AM190</f>
        <v>0</v>
      </c>
      <c r="AL117" s="132">
        <f>CLIENTES!AN190</f>
        <v>0</v>
      </c>
      <c r="AM117" s="132">
        <f>CLIENTES!AO190</f>
        <v>0</v>
      </c>
      <c r="AN117" s="132">
        <f>CLIENTES!AP190</f>
        <v>0</v>
      </c>
      <c r="AO117" s="132">
        <f>CLIENTES!AQ190</f>
        <v>0</v>
      </c>
      <c r="AP117" s="132">
        <f>CLIENTES!AR190</f>
        <v>0</v>
      </c>
      <c r="AQ117" s="132">
        <f>CLIENTES!AS190</f>
        <v>0</v>
      </c>
      <c r="AR117" s="132">
        <f>CLIENTES!AT190</f>
        <v>0</v>
      </c>
      <c r="AS117" s="132">
        <f>CLIENTES!AU190</f>
        <v>0</v>
      </c>
      <c r="AT117" s="132">
        <f>CLIENTES!AV190</f>
        <v>0</v>
      </c>
      <c r="AU117" s="132">
        <f>CLIENTES!AW190</f>
        <v>0</v>
      </c>
      <c r="AV117" s="132">
        <f>CLIENTES!AX190</f>
        <v>0</v>
      </c>
      <c r="AW117" s="132">
        <f>CLIENTES!AY190</f>
        <v>0</v>
      </c>
      <c r="AX117" s="132">
        <f>CLIENTES!AZ190</f>
        <v>0</v>
      </c>
      <c r="AY117" s="132">
        <f>CLIENTES!BA190</f>
        <v>0</v>
      </c>
      <c r="AZ117" s="139">
        <f>CLIENTES!BB190</f>
        <v>0</v>
      </c>
      <c r="BA117" s="132">
        <f>CLIENTES!BC190</f>
        <v>0</v>
      </c>
      <c r="BB117" s="132">
        <f>CLIENTES!BD190</f>
        <v>0</v>
      </c>
      <c r="BC117" s="132">
        <f>CLIENTES!BE190</f>
        <v>0</v>
      </c>
      <c r="BD117" s="132">
        <f>CLIENTES!BF190</f>
        <v>0</v>
      </c>
      <c r="BE117" s="132">
        <f>CLIENTES!BG190</f>
        <v>0</v>
      </c>
      <c r="BF117" s="132">
        <f>CLIENTES!BH190</f>
        <v>0</v>
      </c>
      <c r="BG117" s="132">
        <f>CLIENTES!BI190</f>
        <v>0</v>
      </c>
      <c r="BH117" s="132">
        <f>CLIENTES!BJ190</f>
        <v>0</v>
      </c>
      <c r="BI117" s="132">
        <f>CLIENTES!BK190</f>
        <v>0</v>
      </c>
      <c r="BJ117" s="132">
        <f>CLIENTES!BL190</f>
        <v>0</v>
      </c>
      <c r="BK117" s="132">
        <f>CLIENTES!BM190</f>
        <v>0</v>
      </c>
      <c r="BL117" s="132">
        <f>CLIENTES!BN190</f>
        <v>0</v>
      </c>
    </row>
    <row r="118" spans="2:84" x14ac:dyDescent="0.2">
      <c r="B118" s="326"/>
      <c r="C118" s="23" t="s">
        <v>10</v>
      </c>
      <c r="D118" s="72">
        <v>7.1999999999999998E-3</v>
      </c>
      <c r="E118" s="200">
        <f>CLIENTES!F192</f>
        <v>7.0000000000000001E-3</v>
      </c>
      <c r="F118" s="200">
        <f>CLIENTES!H192</f>
        <v>7.0000000000000001E-3</v>
      </c>
      <c r="G118" s="200">
        <f>CLIENTES!I192</f>
        <v>7.0000000000000001E-3</v>
      </c>
      <c r="H118" s="200">
        <f>CLIENTES!J192</f>
        <v>7.0000000000000001E-3</v>
      </c>
      <c r="I118" s="200">
        <f>CLIENTES!K192</f>
        <v>7.0000000000000001E-3</v>
      </c>
      <c r="J118" s="200">
        <f>CLIENTES!L192</f>
        <v>7.0000000000000001E-3</v>
      </c>
      <c r="K118" s="200">
        <f>CLIENTES!M192</f>
        <v>7.0000000000000001E-3</v>
      </c>
      <c r="L118" s="200">
        <f>CLIENTES!N192</f>
        <v>7.0000000000000001E-3</v>
      </c>
      <c r="M118" s="200">
        <f>CLIENTES!O192</f>
        <v>7.0000000000000001E-3</v>
      </c>
      <c r="N118" s="200">
        <f>CLIENTES!P192</f>
        <v>7.0000000000000001E-3</v>
      </c>
      <c r="O118" s="200">
        <f>CLIENTES!Q192</f>
        <v>7.0000000000000001E-3</v>
      </c>
      <c r="P118" s="200">
        <f>CLIENTES!R192</f>
        <v>7.0000000000000001E-3</v>
      </c>
      <c r="Q118" s="200">
        <f>CLIENTES!S192</f>
        <v>7.0000000000000001E-3</v>
      </c>
      <c r="R118" s="200">
        <f>CLIENTES!T192</f>
        <v>7.0000000000000001E-3</v>
      </c>
      <c r="S118" s="200">
        <f>CLIENTES!U192</f>
        <v>7.0000000000000001E-3</v>
      </c>
      <c r="T118" s="200">
        <f>CLIENTES!V192</f>
        <v>7.0000000000000001E-3</v>
      </c>
      <c r="U118" s="200">
        <f>CLIENTES!W192</f>
        <v>7.0000000000000001E-3</v>
      </c>
      <c r="V118" s="200">
        <f>CLIENTES!X192</f>
        <v>7.0000000000000001E-3</v>
      </c>
      <c r="W118" s="200">
        <f>CLIENTES!Y192</f>
        <v>7.0000000000000001E-3</v>
      </c>
      <c r="X118" s="200">
        <f>CLIENTES!Z192</f>
        <v>7.0000000000000001E-3</v>
      </c>
      <c r="Y118" s="200">
        <f>CLIENTES!AA192</f>
        <v>7.0000000000000001E-3</v>
      </c>
      <c r="Z118" s="200">
        <f>CLIENTES!AB192</f>
        <v>7.0000000000000001E-3</v>
      </c>
      <c r="AA118" s="200">
        <f>CLIENTES!AC192</f>
        <v>7.0000000000000001E-3</v>
      </c>
      <c r="AB118" s="200">
        <f>CLIENTES!AD192</f>
        <v>7.0000000000000001E-3</v>
      </c>
      <c r="AC118" s="200">
        <f>CLIENTES!AE192</f>
        <v>7.0000000000000001E-3</v>
      </c>
      <c r="AD118" s="200">
        <f>CLIENTES!AF192</f>
        <v>7.0000000000000001E-3</v>
      </c>
      <c r="AE118" s="200">
        <f>CLIENTES!AG192</f>
        <v>7.0000000000000001E-3</v>
      </c>
      <c r="AF118" s="200">
        <f>CLIENTES!AH192</f>
        <v>7.0000000000000001E-3</v>
      </c>
      <c r="AG118" s="200">
        <f>CLIENTES!AI192</f>
        <v>7.0000000000000001E-3</v>
      </c>
      <c r="AH118" s="200">
        <f>CLIENTES!AJ192</f>
        <v>7.0000000000000001E-3</v>
      </c>
      <c r="AI118" s="200">
        <f>CLIENTES!AK192</f>
        <v>7.0000000000000001E-3</v>
      </c>
      <c r="AJ118" s="200">
        <f>CLIENTES!AL192</f>
        <v>7.0000000000000001E-3</v>
      </c>
      <c r="AK118" s="200">
        <f>CLIENTES!AM192</f>
        <v>7.0000000000000001E-3</v>
      </c>
      <c r="AL118" s="200">
        <f>CLIENTES!AN192</f>
        <v>7.0000000000000001E-3</v>
      </c>
      <c r="AM118" s="200">
        <f>CLIENTES!AO192</f>
        <v>7.0000000000000001E-3</v>
      </c>
      <c r="AN118" s="200">
        <f>CLIENTES!AP192</f>
        <v>7.0000000000000001E-3</v>
      </c>
      <c r="AO118" s="200">
        <f>CLIENTES!AQ192</f>
        <v>7.0000000000000001E-3</v>
      </c>
      <c r="AP118" s="200">
        <f>CLIENTES!AR192</f>
        <v>7.0000000000000001E-3</v>
      </c>
      <c r="AQ118" s="200">
        <f>CLIENTES!AS192</f>
        <v>7.0000000000000001E-3</v>
      </c>
      <c r="AR118" s="200">
        <f>CLIENTES!AT192</f>
        <v>7.0000000000000001E-3</v>
      </c>
      <c r="AS118" s="200">
        <f>CLIENTES!AU192</f>
        <v>7.0000000000000001E-3</v>
      </c>
      <c r="AT118" s="200">
        <f>CLIENTES!AV192</f>
        <v>7.0000000000000001E-3</v>
      </c>
      <c r="AU118" s="200">
        <f>CLIENTES!AW192</f>
        <v>7.0000000000000001E-3</v>
      </c>
      <c r="AV118" s="200">
        <f>CLIENTES!AX192</f>
        <v>7.0000000000000001E-3</v>
      </c>
      <c r="AW118" s="200">
        <f>CLIENTES!AY192</f>
        <v>7.0000000000000001E-3</v>
      </c>
      <c r="AX118" s="200">
        <f>CLIENTES!AZ192</f>
        <v>7.0000000000000001E-3</v>
      </c>
      <c r="AY118" s="200">
        <f>CLIENTES!BA192</f>
        <v>7.0000000000000001E-3</v>
      </c>
      <c r="AZ118" s="215">
        <f>CLIENTES!BB192</f>
        <v>7.0000000000000001E-3</v>
      </c>
      <c r="BA118" s="200">
        <f>CLIENTES!BC192</f>
        <v>7.0000000000000001E-3</v>
      </c>
      <c r="BB118" s="200">
        <f>CLIENTES!BD192</f>
        <v>7.0000000000000001E-3</v>
      </c>
      <c r="BC118" s="200">
        <f>CLIENTES!BE192</f>
        <v>7.0000000000000001E-3</v>
      </c>
      <c r="BD118" s="200">
        <f>CLIENTES!BF192</f>
        <v>7.0000000000000001E-3</v>
      </c>
      <c r="BE118" s="200">
        <f>CLIENTES!BG192</f>
        <v>7.0000000000000001E-3</v>
      </c>
      <c r="BF118" s="200">
        <f>CLIENTES!BH192</f>
        <v>7.0000000000000001E-3</v>
      </c>
      <c r="BG118" s="200">
        <f>CLIENTES!BI192</f>
        <v>7.0000000000000001E-3</v>
      </c>
      <c r="BH118" s="200">
        <f>CLIENTES!BJ192</f>
        <v>7.0000000000000001E-3</v>
      </c>
      <c r="BI118" s="200">
        <f>CLIENTES!BK192</f>
        <v>7.0000000000000001E-3</v>
      </c>
      <c r="BJ118" s="200">
        <f>CLIENTES!BL192</f>
        <v>7.0000000000000001E-3</v>
      </c>
      <c r="BK118" s="200">
        <f>CLIENTES!BM192</f>
        <v>7.0000000000000001E-3</v>
      </c>
      <c r="BL118" s="200">
        <f>CLIENTES!BN192</f>
        <v>7.0000000000000001E-3</v>
      </c>
    </row>
    <row r="119" spans="2:84" x14ac:dyDescent="0.2">
      <c r="B119" s="326"/>
      <c r="C119" s="58" t="s">
        <v>23</v>
      </c>
      <c r="D119" s="27">
        <f>SUM(E119:BL119)</f>
        <v>14687.262990949212</v>
      </c>
      <c r="E119" s="139">
        <f>IF((E115+E116-E117)*E118&lt;0,0,(E115+E116-E117)*E118)</f>
        <v>6927.4989657332526</v>
      </c>
      <c r="F119" s="139">
        <f t="shared" ref="F119:BL119" si="49">IF((F115+F116-F117)*F118&lt;0,0,(F115+F116-F117)*F118)</f>
        <v>7759.7640002987409</v>
      </c>
      <c r="G119" s="139">
        <f t="shared" si="49"/>
        <v>0</v>
      </c>
      <c r="H119" s="139">
        <f t="shared" si="49"/>
        <v>0</v>
      </c>
      <c r="I119" s="139">
        <f t="shared" si="49"/>
        <v>0</v>
      </c>
      <c r="J119" s="139">
        <f t="shared" si="49"/>
        <v>0</v>
      </c>
      <c r="K119" s="139">
        <f t="shared" si="49"/>
        <v>0</v>
      </c>
      <c r="L119" s="139">
        <f t="shared" si="49"/>
        <v>0</v>
      </c>
      <c r="M119" s="139">
        <f t="shared" si="49"/>
        <v>0</v>
      </c>
      <c r="N119" s="139">
        <f t="shared" si="49"/>
        <v>0</v>
      </c>
      <c r="O119" s="139">
        <f t="shared" si="49"/>
        <v>0</v>
      </c>
      <c r="P119" s="139">
        <f t="shared" si="49"/>
        <v>0</v>
      </c>
      <c r="Q119" s="139">
        <f t="shared" si="49"/>
        <v>0</v>
      </c>
      <c r="R119" s="139">
        <f t="shared" si="49"/>
        <v>0</v>
      </c>
      <c r="S119" s="139">
        <f t="shared" si="49"/>
        <v>0</v>
      </c>
      <c r="T119" s="139">
        <f t="shared" si="49"/>
        <v>0</v>
      </c>
      <c r="U119" s="139">
        <f t="shared" si="49"/>
        <v>0</v>
      </c>
      <c r="V119" s="139">
        <f t="shared" si="49"/>
        <v>0</v>
      </c>
      <c r="W119" s="139">
        <f t="shared" si="49"/>
        <v>0</v>
      </c>
      <c r="X119" s="139">
        <f t="shared" si="49"/>
        <v>0</v>
      </c>
      <c r="Y119" s="139">
        <f t="shared" si="49"/>
        <v>0</v>
      </c>
      <c r="Z119" s="139">
        <f t="shared" si="49"/>
        <v>0</v>
      </c>
      <c r="AA119" s="139">
        <f t="shared" si="49"/>
        <v>0</v>
      </c>
      <c r="AB119" s="139">
        <f t="shared" si="49"/>
        <v>0</v>
      </c>
      <c r="AC119" s="139">
        <f t="shared" si="49"/>
        <v>0</v>
      </c>
      <c r="AD119" s="139">
        <f t="shared" si="49"/>
        <v>0</v>
      </c>
      <c r="AE119" s="139">
        <f t="shared" si="49"/>
        <v>0</v>
      </c>
      <c r="AF119" s="139">
        <f t="shared" si="49"/>
        <v>0</v>
      </c>
      <c r="AG119" s="139">
        <f t="shared" si="49"/>
        <v>0</v>
      </c>
      <c r="AH119" s="139">
        <f t="shared" si="49"/>
        <v>0</v>
      </c>
      <c r="AI119" s="139">
        <f t="shared" si="49"/>
        <v>0</v>
      </c>
      <c r="AJ119" s="139">
        <f t="shared" si="49"/>
        <v>0</v>
      </c>
      <c r="AK119" s="139">
        <f t="shared" si="49"/>
        <v>0</v>
      </c>
      <c r="AL119" s="139">
        <f t="shared" si="49"/>
        <v>0</v>
      </c>
      <c r="AM119" s="139">
        <f t="shared" si="49"/>
        <v>0</v>
      </c>
      <c r="AN119" s="139">
        <f t="shared" si="49"/>
        <v>0</v>
      </c>
      <c r="AO119" s="139">
        <f t="shared" si="49"/>
        <v>0</v>
      </c>
      <c r="AP119" s="139">
        <f t="shared" si="49"/>
        <v>0</v>
      </c>
      <c r="AQ119" s="139">
        <f t="shared" si="49"/>
        <v>0</v>
      </c>
      <c r="AR119" s="139">
        <f t="shared" si="49"/>
        <v>0</v>
      </c>
      <c r="AS119" s="139">
        <f t="shared" si="49"/>
        <v>0</v>
      </c>
      <c r="AT119" s="139">
        <f t="shared" si="49"/>
        <v>0</v>
      </c>
      <c r="AU119" s="139">
        <f t="shared" si="49"/>
        <v>0</v>
      </c>
      <c r="AV119" s="139">
        <f t="shared" si="49"/>
        <v>0</v>
      </c>
      <c r="AW119" s="139">
        <f t="shared" si="49"/>
        <v>0</v>
      </c>
      <c r="AX119" s="139">
        <f t="shared" si="49"/>
        <v>0</v>
      </c>
      <c r="AY119" s="139">
        <f t="shared" si="49"/>
        <v>0</v>
      </c>
      <c r="AZ119" s="139">
        <f t="shared" si="49"/>
        <v>0</v>
      </c>
      <c r="BA119" s="139">
        <f t="shared" si="49"/>
        <v>0</v>
      </c>
      <c r="BB119" s="139">
        <f t="shared" si="49"/>
        <v>0</v>
      </c>
      <c r="BC119" s="139">
        <f t="shared" si="49"/>
        <v>0</v>
      </c>
      <c r="BD119" s="139">
        <f t="shared" si="49"/>
        <v>0</v>
      </c>
      <c r="BE119" s="139">
        <f t="shared" si="49"/>
        <v>0</v>
      </c>
      <c r="BF119" s="139">
        <f t="shared" si="49"/>
        <v>0</v>
      </c>
      <c r="BG119" s="139">
        <f t="shared" si="49"/>
        <v>0</v>
      </c>
      <c r="BH119" s="139">
        <f t="shared" si="49"/>
        <v>0</v>
      </c>
      <c r="BI119" s="139">
        <f t="shared" si="49"/>
        <v>0</v>
      </c>
      <c r="BJ119" s="139">
        <f t="shared" si="49"/>
        <v>0</v>
      </c>
      <c r="BK119" s="139">
        <f t="shared" si="49"/>
        <v>0</v>
      </c>
      <c r="BL119" s="139">
        <f t="shared" si="49"/>
        <v>2.4917217952924543E-5</v>
      </c>
      <c r="BM119" s="65"/>
      <c r="BN119" s="65"/>
      <c r="BO119" s="65"/>
      <c r="BP119" s="65"/>
      <c r="BQ119" s="65"/>
      <c r="BR119" s="65"/>
      <c r="BS119" s="65"/>
      <c r="BT119" s="65"/>
      <c r="BU119" s="65"/>
      <c r="BV119" s="65"/>
      <c r="BW119" s="65"/>
      <c r="BX119" s="65"/>
      <c r="BY119" s="65"/>
      <c r="BZ119" s="65"/>
      <c r="CA119" s="65"/>
      <c r="CB119" s="65"/>
      <c r="CC119" s="65"/>
      <c r="CD119" s="65"/>
      <c r="CE119" s="65"/>
      <c r="CF119" s="65"/>
    </row>
    <row r="120" spans="2:84" ht="13.5" thickBot="1" x14ac:dyDescent="0.25">
      <c r="B120" s="327"/>
      <c r="C120" s="25" t="s">
        <v>22</v>
      </c>
      <c r="D120" s="30">
        <f>SUM(E120:BL120)</f>
        <v>2112867.6902694078</v>
      </c>
      <c r="E120" s="146">
        <f>+E115-E117+E116+E119</f>
        <v>996570.20835619781</v>
      </c>
      <c r="F120" s="146">
        <f t="shared" ref="F120:BL120" si="50">+F115-F117+F116+F119</f>
        <v>1116297.4783286902</v>
      </c>
      <c r="G120" s="146">
        <f t="shared" si="50"/>
        <v>0</v>
      </c>
      <c r="H120" s="146">
        <f t="shared" si="50"/>
        <v>0</v>
      </c>
      <c r="I120" s="146">
        <f t="shared" si="50"/>
        <v>0</v>
      </c>
      <c r="J120" s="146">
        <f t="shared" si="50"/>
        <v>0</v>
      </c>
      <c r="K120" s="146">
        <f t="shared" si="50"/>
        <v>0</v>
      </c>
      <c r="L120" s="146">
        <f t="shared" si="50"/>
        <v>0</v>
      </c>
      <c r="M120" s="146">
        <f t="shared" si="50"/>
        <v>0</v>
      </c>
      <c r="N120" s="146">
        <f t="shared" si="50"/>
        <v>0</v>
      </c>
      <c r="O120" s="146">
        <f t="shared" si="50"/>
        <v>0</v>
      </c>
      <c r="P120" s="146">
        <f t="shared" si="50"/>
        <v>0</v>
      </c>
      <c r="Q120" s="146">
        <f t="shared" si="50"/>
        <v>0</v>
      </c>
      <c r="R120" s="146">
        <f t="shared" si="50"/>
        <v>0</v>
      </c>
      <c r="S120" s="146">
        <f t="shared" si="50"/>
        <v>0</v>
      </c>
      <c r="T120" s="146">
        <f t="shared" si="50"/>
        <v>0</v>
      </c>
      <c r="U120" s="146">
        <f t="shared" si="50"/>
        <v>0</v>
      </c>
      <c r="V120" s="146">
        <f t="shared" si="50"/>
        <v>0</v>
      </c>
      <c r="W120" s="146">
        <f t="shared" si="50"/>
        <v>0</v>
      </c>
      <c r="X120" s="146">
        <f t="shared" si="50"/>
        <v>0</v>
      </c>
      <c r="Y120" s="146">
        <f t="shared" si="50"/>
        <v>0</v>
      </c>
      <c r="Z120" s="146">
        <f t="shared" si="50"/>
        <v>0</v>
      </c>
      <c r="AA120" s="146">
        <f t="shared" si="50"/>
        <v>0</v>
      </c>
      <c r="AB120" s="146">
        <f t="shared" si="50"/>
        <v>0</v>
      </c>
      <c r="AC120" s="146">
        <f t="shared" si="50"/>
        <v>0</v>
      </c>
      <c r="AD120" s="146">
        <f t="shared" si="50"/>
        <v>0</v>
      </c>
      <c r="AE120" s="146">
        <f t="shared" si="50"/>
        <v>0</v>
      </c>
      <c r="AF120" s="146">
        <f t="shared" si="50"/>
        <v>0</v>
      </c>
      <c r="AG120" s="146">
        <f t="shared" si="50"/>
        <v>0</v>
      </c>
      <c r="AH120" s="146">
        <f t="shared" si="50"/>
        <v>0</v>
      </c>
      <c r="AI120" s="146">
        <f t="shared" si="50"/>
        <v>0</v>
      </c>
      <c r="AJ120" s="146">
        <f t="shared" si="50"/>
        <v>0</v>
      </c>
      <c r="AK120" s="146">
        <f t="shared" si="50"/>
        <v>0</v>
      </c>
      <c r="AL120" s="146">
        <f t="shared" si="50"/>
        <v>0</v>
      </c>
      <c r="AM120" s="146">
        <f t="shared" si="50"/>
        <v>0</v>
      </c>
      <c r="AN120" s="146">
        <f t="shared" si="50"/>
        <v>0</v>
      </c>
      <c r="AO120" s="146">
        <f t="shared" si="50"/>
        <v>0</v>
      </c>
      <c r="AP120" s="146">
        <f t="shared" si="50"/>
        <v>0</v>
      </c>
      <c r="AQ120" s="146">
        <f t="shared" si="50"/>
        <v>0</v>
      </c>
      <c r="AR120" s="146">
        <f t="shared" si="50"/>
        <v>0</v>
      </c>
      <c r="AS120" s="146">
        <f t="shared" si="50"/>
        <v>0</v>
      </c>
      <c r="AT120" s="146">
        <f t="shared" si="50"/>
        <v>0</v>
      </c>
      <c r="AU120" s="146">
        <f t="shared" si="50"/>
        <v>0</v>
      </c>
      <c r="AV120" s="146">
        <f t="shared" si="50"/>
        <v>0</v>
      </c>
      <c r="AW120" s="146">
        <f t="shared" si="50"/>
        <v>0</v>
      </c>
      <c r="AX120" s="146">
        <f t="shared" si="50"/>
        <v>0</v>
      </c>
      <c r="AY120" s="146">
        <f t="shared" si="50"/>
        <v>0</v>
      </c>
      <c r="AZ120" s="146">
        <f t="shared" si="50"/>
        <v>0</v>
      </c>
      <c r="BA120" s="146">
        <f t="shared" si="50"/>
        <v>0</v>
      </c>
      <c r="BB120" s="146">
        <f t="shared" si="50"/>
        <v>0</v>
      </c>
      <c r="BC120" s="146">
        <f t="shared" si="50"/>
        <v>0</v>
      </c>
      <c r="BD120" s="146">
        <f t="shared" si="50"/>
        <v>0</v>
      </c>
      <c r="BE120" s="146">
        <f t="shared" si="50"/>
        <v>0</v>
      </c>
      <c r="BF120" s="146">
        <f t="shared" si="50"/>
        <v>0</v>
      </c>
      <c r="BG120" s="146">
        <f t="shared" si="50"/>
        <v>0</v>
      </c>
      <c r="BH120" s="146">
        <f t="shared" si="50"/>
        <v>0</v>
      </c>
      <c r="BI120" s="146">
        <f t="shared" si="50"/>
        <v>0</v>
      </c>
      <c r="BJ120" s="146">
        <f t="shared" si="50"/>
        <v>0</v>
      </c>
      <c r="BK120" s="146">
        <f t="shared" si="50"/>
        <v>0</v>
      </c>
      <c r="BL120" s="146">
        <f t="shared" si="50"/>
        <v>3.5845197826564305E-3</v>
      </c>
    </row>
    <row r="121" spans="2:84" ht="13.5" thickBot="1" x14ac:dyDescent="0.25">
      <c r="B121" s="325">
        <v>44256</v>
      </c>
      <c r="C121" s="62" t="s">
        <v>6</v>
      </c>
      <c r="D121" s="31">
        <f>SUM(E121:BL121)</f>
        <v>500284.89134521195</v>
      </c>
      <c r="E121" s="285" cm="1">
        <f t="array" ref="E121">_xlfn._xlws.FILTER(CLIENTES!$E194:$BO194,(CLIENTES!$E$5:$BO$5=E$5)*(CLIENTES!$E$9:$BO$9="VENDA"),0)</f>
        <v>450284.89134521195</v>
      </c>
      <c r="F121" s="199">
        <f>CLIENTES!H197</f>
        <v>50000</v>
      </c>
      <c r="G121" s="199">
        <f>CLIENTES!I197</f>
        <v>0</v>
      </c>
      <c r="H121" s="199">
        <f>CLIENTES!J197</f>
        <v>0</v>
      </c>
      <c r="I121" s="199">
        <f>CLIENTES!K197</f>
        <v>0</v>
      </c>
      <c r="J121" s="199">
        <f>CLIENTES!L197</f>
        <v>0</v>
      </c>
      <c r="K121" s="199">
        <f>CLIENTES!M197</f>
        <v>0</v>
      </c>
      <c r="L121" s="199">
        <f>CLIENTES!N197</f>
        <v>0</v>
      </c>
      <c r="M121" s="199">
        <f>CLIENTES!O197</f>
        <v>0</v>
      </c>
      <c r="N121" s="199">
        <f>CLIENTES!P197</f>
        <v>0</v>
      </c>
      <c r="O121" s="199">
        <f>CLIENTES!Q197</f>
        <v>0</v>
      </c>
      <c r="P121" s="199">
        <f>CLIENTES!R197</f>
        <v>0</v>
      </c>
      <c r="Q121" s="199">
        <f>CLIENTES!S197</f>
        <v>0</v>
      </c>
      <c r="R121" s="199">
        <f>CLIENTES!T197</f>
        <v>0</v>
      </c>
      <c r="S121" s="199">
        <f>CLIENTES!U197</f>
        <v>0</v>
      </c>
      <c r="T121" s="199">
        <f>CLIENTES!V197</f>
        <v>0</v>
      </c>
      <c r="U121" s="199">
        <f>CLIENTES!W197</f>
        <v>0</v>
      </c>
      <c r="V121" s="199">
        <f>CLIENTES!X197</f>
        <v>0</v>
      </c>
      <c r="W121" s="199">
        <f>CLIENTES!Y197</f>
        <v>0</v>
      </c>
      <c r="X121" s="199">
        <f>CLIENTES!Z197</f>
        <v>0</v>
      </c>
      <c r="Y121" s="199">
        <f>CLIENTES!AA197</f>
        <v>0</v>
      </c>
      <c r="Z121" s="199">
        <f>CLIENTES!AB197</f>
        <v>0</v>
      </c>
      <c r="AA121" s="199">
        <f>CLIENTES!AC197</f>
        <v>0</v>
      </c>
      <c r="AB121" s="199">
        <f>CLIENTES!AD197</f>
        <v>0</v>
      </c>
      <c r="AC121" s="199">
        <f>CLIENTES!AE197</f>
        <v>0</v>
      </c>
      <c r="AD121" s="199">
        <f>CLIENTES!AF197</f>
        <v>0</v>
      </c>
      <c r="AE121" s="199">
        <f>CLIENTES!AG197</f>
        <v>0</v>
      </c>
      <c r="AF121" s="199">
        <f>CLIENTES!AH197</f>
        <v>0</v>
      </c>
      <c r="AG121" s="199">
        <f>CLIENTES!AI197</f>
        <v>0</v>
      </c>
      <c r="AH121" s="199">
        <f>CLIENTES!AJ197</f>
        <v>0</v>
      </c>
      <c r="AI121" s="199">
        <f>CLIENTES!AK197</f>
        <v>0</v>
      </c>
      <c r="AJ121" s="199">
        <f>CLIENTES!AL197</f>
        <v>0</v>
      </c>
      <c r="AK121" s="199">
        <f>CLIENTES!AM197</f>
        <v>0</v>
      </c>
      <c r="AL121" s="199">
        <f>CLIENTES!AN197</f>
        <v>0</v>
      </c>
      <c r="AM121" s="199">
        <f>CLIENTES!AO197</f>
        <v>0</v>
      </c>
      <c r="AN121" s="199">
        <f>CLIENTES!AP197</f>
        <v>0</v>
      </c>
      <c r="AO121" s="199">
        <f>CLIENTES!AQ197</f>
        <v>0</v>
      </c>
      <c r="AP121" s="199">
        <f>CLIENTES!AR197</f>
        <v>0</v>
      </c>
      <c r="AQ121" s="199">
        <f>CLIENTES!AS197</f>
        <v>0</v>
      </c>
      <c r="AR121" s="199">
        <f>CLIENTES!AT197</f>
        <v>0</v>
      </c>
      <c r="AS121" s="199">
        <f>CLIENTES!AU197</f>
        <v>0</v>
      </c>
      <c r="AT121" s="199">
        <f>CLIENTES!AV197</f>
        <v>0</v>
      </c>
      <c r="AU121" s="199">
        <f>CLIENTES!AW197</f>
        <v>0</v>
      </c>
      <c r="AV121" s="199">
        <f>CLIENTES!AX197</f>
        <v>0</v>
      </c>
      <c r="AW121" s="199">
        <f>CLIENTES!AY197</f>
        <v>0</v>
      </c>
      <c r="AX121" s="199">
        <f>CLIENTES!AZ197</f>
        <v>0</v>
      </c>
      <c r="AY121" s="199">
        <f>CLIENTES!BA197</f>
        <v>0</v>
      </c>
      <c r="AZ121" s="214">
        <f>CLIENTES!BB197</f>
        <v>0</v>
      </c>
      <c r="BA121" s="199">
        <f>CLIENTES!BC197</f>
        <v>0</v>
      </c>
      <c r="BB121" s="199">
        <f>CLIENTES!BD197</f>
        <v>0</v>
      </c>
      <c r="BC121" s="199">
        <f>CLIENTES!BE197</f>
        <v>0</v>
      </c>
      <c r="BD121" s="199">
        <f>CLIENTES!BF197</f>
        <v>0</v>
      </c>
      <c r="BE121" s="199">
        <f>CLIENTES!BG197</f>
        <v>0</v>
      </c>
      <c r="BF121" s="199">
        <f>CLIENTES!BH197</f>
        <v>0</v>
      </c>
      <c r="BG121" s="199">
        <f>CLIENTES!BI197</f>
        <v>0</v>
      </c>
      <c r="BH121" s="199">
        <f>CLIENTES!BJ197</f>
        <v>0</v>
      </c>
      <c r="BI121" s="199">
        <f>CLIENTES!BK197</f>
        <v>0</v>
      </c>
      <c r="BJ121" s="199">
        <f>CLIENTES!BL197</f>
        <v>0</v>
      </c>
      <c r="BK121" s="199">
        <f>CLIENTES!BM197</f>
        <v>0</v>
      </c>
      <c r="BL121" s="199">
        <f>CLIENTES!BN197</f>
        <v>0</v>
      </c>
    </row>
    <row r="122" spans="2:84" ht="13.5" thickBot="1" x14ac:dyDescent="0.25">
      <c r="B122" s="326"/>
      <c r="C122" s="23" t="s">
        <v>9</v>
      </c>
      <c r="D122" s="27">
        <f>SUM(E122:BL122)</f>
        <v>0</v>
      </c>
      <c r="E122" s="285" cm="1">
        <f t="array" ref="E122">_xlfn._xlws.FILTER(CLIENTES!$E195:$BO195,(CLIENTES!$E$5:$BO$5=E$5)*(CLIENTES!$E$9:$BO$9="VENDA"),0)</f>
        <v>0</v>
      </c>
      <c r="F122" s="132">
        <f>CLIENTES!H198</f>
        <v>0</v>
      </c>
      <c r="G122" s="132">
        <f>CLIENTES!I198</f>
        <v>0</v>
      </c>
      <c r="H122" s="132">
        <f>CLIENTES!J198</f>
        <v>0</v>
      </c>
      <c r="I122" s="132">
        <f>CLIENTES!K198</f>
        <v>0</v>
      </c>
      <c r="J122" s="132">
        <f>CLIENTES!L198</f>
        <v>0</v>
      </c>
      <c r="K122" s="132">
        <f>CLIENTES!M198</f>
        <v>0</v>
      </c>
      <c r="L122" s="132">
        <f>CLIENTES!N198</f>
        <v>0</v>
      </c>
      <c r="M122" s="132">
        <f>CLIENTES!O198</f>
        <v>0</v>
      </c>
      <c r="N122" s="132">
        <f>CLIENTES!P198</f>
        <v>0</v>
      </c>
      <c r="O122" s="132">
        <f>CLIENTES!Q198</f>
        <v>0</v>
      </c>
      <c r="P122" s="132">
        <f>CLIENTES!R198</f>
        <v>0</v>
      </c>
      <c r="Q122" s="132">
        <f>CLIENTES!S198</f>
        <v>0</v>
      </c>
      <c r="R122" s="132">
        <f>CLIENTES!T198</f>
        <v>0</v>
      </c>
      <c r="S122" s="132">
        <f>CLIENTES!U198</f>
        <v>0</v>
      </c>
      <c r="T122" s="132">
        <f>CLIENTES!V198</f>
        <v>0</v>
      </c>
      <c r="U122" s="132">
        <f>CLIENTES!W198</f>
        <v>0</v>
      </c>
      <c r="V122" s="132">
        <f>CLIENTES!X198</f>
        <v>0</v>
      </c>
      <c r="W122" s="132">
        <f>CLIENTES!Y198</f>
        <v>0</v>
      </c>
      <c r="X122" s="132">
        <f>CLIENTES!Z198</f>
        <v>0</v>
      </c>
      <c r="Y122" s="132">
        <f>CLIENTES!AA198</f>
        <v>0</v>
      </c>
      <c r="Z122" s="132">
        <f>CLIENTES!AB198</f>
        <v>0</v>
      </c>
      <c r="AA122" s="132">
        <f>CLIENTES!AC198</f>
        <v>0</v>
      </c>
      <c r="AB122" s="132">
        <f>CLIENTES!AD198</f>
        <v>0</v>
      </c>
      <c r="AC122" s="132">
        <f>CLIENTES!AE198</f>
        <v>0</v>
      </c>
      <c r="AD122" s="132">
        <f>CLIENTES!AF198</f>
        <v>0</v>
      </c>
      <c r="AE122" s="132">
        <f>CLIENTES!AG198</f>
        <v>0</v>
      </c>
      <c r="AF122" s="132">
        <f>CLIENTES!AH198</f>
        <v>0</v>
      </c>
      <c r="AG122" s="132">
        <f>CLIENTES!AI198</f>
        <v>0</v>
      </c>
      <c r="AH122" s="132">
        <f>CLIENTES!AJ198</f>
        <v>0</v>
      </c>
      <c r="AI122" s="132">
        <f>CLIENTES!AK198</f>
        <v>0</v>
      </c>
      <c r="AJ122" s="132">
        <f>CLIENTES!AL198</f>
        <v>0</v>
      </c>
      <c r="AK122" s="132">
        <f>CLIENTES!AM198</f>
        <v>0</v>
      </c>
      <c r="AL122" s="132">
        <f>CLIENTES!AN198</f>
        <v>0</v>
      </c>
      <c r="AM122" s="132">
        <f>CLIENTES!AO198</f>
        <v>0</v>
      </c>
      <c r="AN122" s="132">
        <f>CLIENTES!AP198</f>
        <v>0</v>
      </c>
      <c r="AO122" s="132">
        <f>CLIENTES!AQ198</f>
        <v>0</v>
      </c>
      <c r="AP122" s="132">
        <f>CLIENTES!AR198</f>
        <v>0</v>
      </c>
      <c r="AQ122" s="132">
        <f>CLIENTES!AS198</f>
        <v>0</v>
      </c>
      <c r="AR122" s="132">
        <f>CLIENTES!AT198</f>
        <v>0</v>
      </c>
      <c r="AS122" s="132">
        <f>CLIENTES!AU198</f>
        <v>0</v>
      </c>
      <c r="AT122" s="132">
        <f>CLIENTES!AV198</f>
        <v>0</v>
      </c>
      <c r="AU122" s="132">
        <f>CLIENTES!AW198</f>
        <v>0</v>
      </c>
      <c r="AV122" s="132">
        <f>CLIENTES!AX198</f>
        <v>0</v>
      </c>
      <c r="AW122" s="132">
        <f>CLIENTES!AY198</f>
        <v>0</v>
      </c>
      <c r="AX122" s="132">
        <f>CLIENTES!AZ198</f>
        <v>0</v>
      </c>
      <c r="AY122" s="132">
        <f>CLIENTES!BA198</f>
        <v>0</v>
      </c>
      <c r="AZ122" s="139">
        <f>CLIENTES!BB198</f>
        <v>0</v>
      </c>
      <c r="BA122" s="132">
        <f>CLIENTES!BC198</f>
        <v>0</v>
      </c>
      <c r="BB122" s="132">
        <f>CLIENTES!BD198</f>
        <v>0</v>
      </c>
      <c r="BC122" s="132">
        <f>CLIENTES!BE198</f>
        <v>0</v>
      </c>
      <c r="BD122" s="132">
        <f>CLIENTES!BF198</f>
        <v>0</v>
      </c>
      <c r="BE122" s="132">
        <f>CLIENTES!BG198</f>
        <v>0</v>
      </c>
      <c r="BF122" s="132">
        <f>CLIENTES!BH198</f>
        <v>0</v>
      </c>
      <c r="BG122" s="132">
        <f>CLIENTES!BI198</f>
        <v>0</v>
      </c>
      <c r="BH122" s="132">
        <f>CLIENTES!BJ198</f>
        <v>0</v>
      </c>
      <c r="BI122" s="132">
        <f>CLIENTES!BK198</f>
        <v>0</v>
      </c>
      <c r="BJ122" s="132">
        <f>CLIENTES!BL198</f>
        <v>0</v>
      </c>
      <c r="BK122" s="132">
        <f>CLIENTES!BM198</f>
        <v>0</v>
      </c>
      <c r="BL122" s="132">
        <f>CLIENTES!BN198</f>
        <v>0</v>
      </c>
    </row>
    <row r="123" spans="2:84" x14ac:dyDescent="0.2">
      <c r="B123" s="326"/>
      <c r="C123" s="23" t="s">
        <v>10</v>
      </c>
      <c r="D123" s="72">
        <v>7.1999999999999998E-3</v>
      </c>
      <c r="E123" s="200">
        <f>CLIENTES!F200</f>
        <v>8.8999999999999999E-3</v>
      </c>
      <c r="F123" s="200">
        <f>CLIENTES!H200</f>
        <v>8.8999999999999999E-3</v>
      </c>
      <c r="G123" s="200">
        <f>CLIENTES!I200</f>
        <v>8.8999999999999999E-3</v>
      </c>
      <c r="H123" s="200">
        <f>CLIENTES!J200</f>
        <v>8.8999999999999999E-3</v>
      </c>
      <c r="I123" s="200">
        <f>CLIENTES!K200</f>
        <v>8.8999999999999999E-3</v>
      </c>
      <c r="J123" s="200">
        <f>CLIENTES!L200</f>
        <v>8.8999999999999999E-3</v>
      </c>
      <c r="K123" s="200">
        <f>CLIENTES!M200</f>
        <v>8.8999999999999999E-3</v>
      </c>
      <c r="L123" s="200">
        <f>CLIENTES!N200</f>
        <v>8.8999999999999999E-3</v>
      </c>
      <c r="M123" s="200">
        <f>CLIENTES!O200</f>
        <v>8.8999999999999999E-3</v>
      </c>
      <c r="N123" s="200">
        <f>CLIENTES!P200</f>
        <v>8.8999999999999999E-3</v>
      </c>
      <c r="O123" s="200">
        <f>CLIENTES!Q200</f>
        <v>8.8999999999999999E-3</v>
      </c>
      <c r="P123" s="200">
        <f>CLIENTES!R200</f>
        <v>8.8999999999999999E-3</v>
      </c>
      <c r="Q123" s="200">
        <f>CLIENTES!S200</f>
        <v>8.8999999999999999E-3</v>
      </c>
      <c r="R123" s="200">
        <f>CLIENTES!T200</f>
        <v>8.8999999999999999E-3</v>
      </c>
      <c r="S123" s="200">
        <f>CLIENTES!U200</f>
        <v>8.8999999999999999E-3</v>
      </c>
      <c r="T123" s="200">
        <f>CLIENTES!V200</f>
        <v>8.8999999999999999E-3</v>
      </c>
      <c r="U123" s="200">
        <f>CLIENTES!W200</f>
        <v>8.8999999999999999E-3</v>
      </c>
      <c r="V123" s="200">
        <f>CLIENTES!X200</f>
        <v>8.8999999999999999E-3</v>
      </c>
      <c r="W123" s="200">
        <f>CLIENTES!Y200</f>
        <v>8.8999999999999999E-3</v>
      </c>
      <c r="X123" s="200">
        <f>CLIENTES!Z200</f>
        <v>8.8999999999999999E-3</v>
      </c>
      <c r="Y123" s="200">
        <f>CLIENTES!AA200</f>
        <v>8.8999999999999999E-3</v>
      </c>
      <c r="Z123" s="200">
        <f>CLIENTES!AB200</f>
        <v>8.8999999999999999E-3</v>
      </c>
      <c r="AA123" s="200">
        <f>CLIENTES!AC200</f>
        <v>8.8999999999999999E-3</v>
      </c>
      <c r="AB123" s="200">
        <f>CLIENTES!AD200</f>
        <v>8.8999999999999999E-3</v>
      </c>
      <c r="AC123" s="200">
        <f>CLIENTES!AE200</f>
        <v>8.8999999999999999E-3</v>
      </c>
      <c r="AD123" s="200">
        <f>CLIENTES!AF200</f>
        <v>8.8999999999999999E-3</v>
      </c>
      <c r="AE123" s="200">
        <f>CLIENTES!AG200</f>
        <v>8.8999999999999999E-3</v>
      </c>
      <c r="AF123" s="200">
        <f>CLIENTES!AH200</f>
        <v>8.8999999999999999E-3</v>
      </c>
      <c r="AG123" s="200">
        <f>CLIENTES!AI200</f>
        <v>8.8999999999999999E-3</v>
      </c>
      <c r="AH123" s="200">
        <f>CLIENTES!AJ200</f>
        <v>8.8999999999999999E-3</v>
      </c>
      <c r="AI123" s="200">
        <f>CLIENTES!AK200</f>
        <v>8.8999999999999999E-3</v>
      </c>
      <c r="AJ123" s="200">
        <f>CLIENTES!AL200</f>
        <v>8.8999999999999999E-3</v>
      </c>
      <c r="AK123" s="200">
        <f>CLIENTES!AM200</f>
        <v>8.8999999999999999E-3</v>
      </c>
      <c r="AL123" s="200">
        <f>CLIENTES!AN200</f>
        <v>8.8999999999999999E-3</v>
      </c>
      <c r="AM123" s="200">
        <f>CLIENTES!AO200</f>
        <v>8.8999999999999999E-3</v>
      </c>
      <c r="AN123" s="200">
        <f>CLIENTES!AP200</f>
        <v>8.8999999999999999E-3</v>
      </c>
      <c r="AO123" s="200">
        <f>CLIENTES!AQ200</f>
        <v>8.8999999999999999E-3</v>
      </c>
      <c r="AP123" s="200">
        <f>CLIENTES!AR200</f>
        <v>8.8999999999999999E-3</v>
      </c>
      <c r="AQ123" s="200">
        <f>CLIENTES!AS200</f>
        <v>8.8999999999999999E-3</v>
      </c>
      <c r="AR123" s="200">
        <f>CLIENTES!AT200</f>
        <v>8.8999999999999999E-3</v>
      </c>
      <c r="AS123" s="200">
        <f>CLIENTES!AU200</f>
        <v>8.8999999999999999E-3</v>
      </c>
      <c r="AT123" s="200">
        <f>CLIENTES!AV200</f>
        <v>8.8999999999999999E-3</v>
      </c>
      <c r="AU123" s="200">
        <f>CLIENTES!AW200</f>
        <v>8.8999999999999999E-3</v>
      </c>
      <c r="AV123" s="200">
        <f>CLIENTES!AX200</f>
        <v>8.8999999999999999E-3</v>
      </c>
      <c r="AW123" s="200">
        <f>CLIENTES!AY200</f>
        <v>8.8999999999999999E-3</v>
      </c>
      <c r="AX123" s="200">
        <f>CLIENTES!AZ200</f>
        <v>8.8999999999999999E-3</v>
      </c>
      <c r="AY123" s="200">
        <f>CLIENTES!BA200</f>
        <v>8.8999999999999999E-3</v>
      </c>
      <c r="AZ123" s="215">
        <f>CLIENTES!BB200</f>
        <v>8.8999999999999999E-3</v>
      </c>
      <c r="BA123" s="200">
        <f>CLIENTES!BC200</f>
        <v>8.8999999999999999E-3</v>
      </c>
      <c r="BB123" s="200">
        <f>CLIENTES!BD200</f>
        <v>8.8999999999999999E-3</v>
      </c>
      <c r="BC123" s="200">
        <f>CLIENTES!BE200</f>
        <v>8.8999999999999999E-3</v>
      </c>
      <c r="BD123" s="200">
        <f>CLIENTES!BF200</f>
        <v>8.8999999999999999E-3</v>
      </c>
      <c r="BE123" s="200">
        <f>CLIENTES!BG200</f>
        <v>8.8999999999999999E-3</v>
      </c>
      <c r="BF123" s="200">
        <f>CLIENTES!BH200</f>
        <v>8.8999999999999999E-3</v>
      </c>
      <c r="BG123" s="200">
        <f>CLIENTES!BI200</f>
        <v>8.8999999999999999E-3</v>
      </c>
      <c r="BH123" s="200">
        <f>CLIENTES!BJ200</f>
        <v>8.8999999999999999E-3</v>
      </c>
      <c r="BI123" s="200">
        <f>CLIENTES!BK200</f>
        <v>8.8999999999999999E-3</v>
      </c>
      <c r="BJ123" s="200">
        <f>CLIENTES!BL200</f>
        <v>8.8999999999999999E-3</v>
      </c>
      <c r="BK123" s="200">
        <f>CLIENTES!BM200</f>
        <v>8.8999999999999999E-3</v>
      </c>
      <c r="BL123" s="200">
        <f>CLIENTES!BN200</f>
        <v>8.8999999999999999E-3</v>
      </c>
    </row>
    <row r="124" spans="2:84" x14ac:dyDescent="0.2">
      <c r="B124" s="326"/>
      <c r="C124" s="58" t="s">
        <v>23</v>
      </c>
      <c r="D124" s="27">
        <f>SUM(E124:BL124)</f>
        <v>23257.057944467888</v>
      </c>
      <c r="E124" s="139">
        <f>IF((E120+E121-E122)*E123&lt;0,0,(E120+E121-E122)*E123)</f>
        <v>12877.010387342547</v>
      </c>
      <c r="F124" s="139">
        <f t="shared" ref="F124:BK124" si="51">IF((F120+F121-F122)*F123&lt;0,0,(F120+F121-F122)*F123)</f>
        <v>10380.047557125343</v>
      </c>
      <c r="G124" s="139">
        <f t="shared" si="51"/>
        <v>0</v>
      </c>
      <c r="H124" s="139">
        <f t="shared" si="51"/>
        <v>0</v>
      </c>
      <c r="I124" s="139">
        <f t="shared" si="51"/>
        <v>0</v>
      </c>
      <c r="J124" s="139">
        <f t="shared" si="51"/>
        <v>0</v>
      </c>
      <c r="K124" s="139">
        <f t="shared" si="51"/>
        <v>0</v>
      </c>
      <c r="L124" s="139">
        <f t="shared" si="51"/>
        <v>0</v>
      </c>
      <c r="M124" s="139">
        <f t="shared" si="51"/>
        <v>0</v>
      </c>
      <c r="N124" s="139">
        <f t="shared" si="51"/>
        <v>0</v>
      </c>
      <c r="O124" s="139">
        <f t="shared" si="51"/>
        <v>0</v>
      </c>
      <c r="P124" s="139">
        <f t="shared" si="51"/>
        <v>0</v>
      </c>
      <c r="Q124" s="139">
        <f t="shared" si="51"/>
        <v>0</v>
      </c>
      <c r="R124" s="139">
        <f t="shared" si="51"/>
        <v>0</v>
      </c>
      <c r="S124" s="139">
        <f t="shared" si="51"/>
        <v>0</v>
      </c>
      <c r="T124" s="139">
        <f t="shared" si="51"/>
        <v>0</v>
      </c>
      <c r="U124" s="139">
        <f t="shared" si="51"/>
        <v>0</v>
      </c>
      <c r="V124" s="139">
        <f t="shared" si="51"/>
        <v>0</v>
      </c>
      <c r="W124" s="139">
        <f t="shared" si="51"/>
        <v>0</v>
      </c>
      <c r="X124" s="139">
        <f t="shared" si="51"/>
        <v>0</v>
      </c>
      <c r="Y124" s="139">
        <f t="shared" si="51"/>
        <v>0</v>
      </c>
      <c r="Z124" s="139">
        <f t="shared" si="51"/>
        <v>0</v>
      </c>
      <c r="AA124" s="139">
        <f t="shared" si="51"/>
        <v>0</v>
      </c>
      <c r="AB124" s="139">
        <f t="shared" si="51"/>
        <v>0</v>
      </c>
      <c r="AC124" s="139">
        <f t="shared" si="51"/>
        <v>0</v>
      </c>
      <c r="AD124" s="139">
        <f t="shared" si="51"/>
        <v>0</v>
      </c>
      <c r="AE124" s="139">
        <f t="shared" si="51"/>
        <v>0</v>
      </c>
      <c r="AF124" s="139">
        <f t="shared" si="51"/>
        <v>0</v>
      </c>
      <c r="AG124" s="139">
        <f t="shared" si="51"/>
        <v>0</v>
      </c>
      <c r="AH124" s="139">
        <f t="shared" si="51"/>
        <v>0</v>
      </c>
      <c r="AI124" s="139">
        <f t="shared" si="51"/>
        <v>0</v>
      </c>
      <c r="AJ124" s="139">
        <f t="shared" si="51"/>
        <v>0</v>
      </c>
      <c r="AK124" s="139">
        <f t="shared" si="51"/>
        <v>0</v>
      </c>
      <c r="AL124" s="139">
        <f t="shared" si="51"/>
        <v>0</v>
      </c>
      <c r="AM124" s="139">
        <f t="shared" si="51"/>
        <v>0</v>
      </c>
      <c r="AN124" s="139">
        <f t="shared" si="51"/>
        <v>0</v>
      </c>
      <c r="AO124" s="139">
        <f t="shared" si="51"/>
        <v>0</v>
      </c>
      <c r="AP124" s="139">
        <f t="shared" si="51"/>
        <v>0</v>
      </c>
      <c r="AQ124" s="139">
        <f t="shared" si="51"/>
        <v>0</v>
      </c>
      <c r="AR124" s="139">
        <f t="shared" si="51"/>
        <v>0</v>
      </c>
      <c r="AS124" s="139">
        <f t="shared" si="51"/>
        <v>0</v>
      </c>
      <c r="AT124" s="139">
        <f t="shared" si="51"/>
        <v>0</v>
      </c>
      <c r="AU124" s="139">
        <f t="shared" si="51"/>
        <v>0</v>
      </c>
      <c r="AV124" s="139">
        <f t="shared" si="51"/>
        <v>0</v>
      </c>
      <c r="AW124" s="139">
        <f t="shared" si="51"/>
        <v>0</v>
      </c>
      <c r="AX124" s="139">
        <f t="shared" si="51"/>
        <v>0</v>
      </c>
      <c r="AY124" s="139">
        <f t="shared" si="51"/>
        <v>0</v>
      </c>
      <c r="AZ124" s="139">
        <f t="shared" si="51"/>
        <v>0</v>
      </c>
      <c r="BA124" s="139">
        <f t="shared" si="51"/>
        <v>0</v>
      </c>
      <c r="BB124" s="139">
        <f t="shared" si="51"/>
        <v>0</v>
      </c>
      <c r="BC124" s="139">
        <f t="shared" si="51"/>
        <v>0</v>
      </c>
      <c r="BD124" s="139">
        <f t="shared" si="51"/>
        <v>0</v>
      </c>
      <c r="BE124" s="139">
        <f t="shared" si="51"/>
        <v>0</v>
      </c>
      <c r="BF124" s="139">
        <f t="shared" si="51"/>
        <v>0</v>
      </c>
      <c r="BG124" s="139">
        <f t="shared" si="51"/>
        <v>0</v>
      </c>
      <c r="BH124" s="139">
        <f t="shared" si="51"/>
        <v>0</v>
      </c>
      <c r="BI124" s="139">
        <f t="shared" si="51"/>
        <v>0</v>
      </c>
      <c r="BJ124" s="139">
        <f t="shared" si="51"/>
        <v>0</v>
      </c>
      <c r="BK124" s="139">
        <f t="shared" si="51"/>
        <v>0</v>
      </c>
      <c r="BL124" s="139">
        <v>0</v>
      </c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</row>
    <row r="125" spans="2:84" ht="13.5" thickBot="1" x14ac:dyDescent="0.25">
      <c r="B125" s="327"/>
      <c r="C125" s="25" t="s">
        <v>22</v>
      </c>
      <c r="D125" s="30">
        <f>SUM(E125:BL125)</f>
        <v>2636409.6359745678</v>
      </c>
      <c r="E125" s="146">
        <f>+E120-E122+E121+E124</f>
        <v>1459732.1100887523</v>
      </c>
      <c r="F125" s="146">
        <f t="shared" ref="F125:BK125" si="52">+F120-F122+F121+F124</f>
        <v>1176677.5258858155</v>
      </c>
      <c r="G125" s="146">
        <f t="shared" si="52"/>
        <v>0</v>
      </c>
      <c r="H125" s="146">
        <f t="shared" si="52"/>
        <v>0</v>
      </c>
      <c r="I125" s="146">
        <f t="shared" si="52"/>
        <v>0</v>
      </c>
      <c r="J125" s="146">
        <f t="shared" si="52"/>
        <v>0</v>
      </c>
      <c r="K125" s="146">
        <f t="shared" si="52"/>
        <v>0</v>
      </c>
      <c r="L125" s="146">
        <f t="shared" si="52"/>
        <v>0</v>
      </c>
      <c r="M125" s="146">
        <f t="shared" si="52"/>
        <v>0</v>
      </c>
      <c r="N125" s="146">
        <f t="shared" si="52"/>
        <v>0</v>
      </c>
      <c r="O125" s="146">
        <f t="shared" si="52"/>
        <v>0</v>
      </c>
      <c r="P125" s="146">
        <f t="shared" si="52"/>
        <v>0</v>
      </c>
      <c r="Q125" s="146">
        <f t="shared" si="52"/>
        <v>0</v>
      </c>
      <c r="R125" s="146">
        <f t="shared" si="52"/>
        <v>0</v>
      </c>
      <c r="S125" s="146">
        <f t="shared" si="52"/>
        <v>0</v>
      </c>
      <c r="T125" s="146">
        <f t="shared" si="52"/>
        <v>0</v>
      </c>
      <c r="U125" s="146">
        <f t="shared" si="52"/>
        <v>0</v>
      </c>
      <c r="V125" s="146">
        <f t="shared" si="52"/>
        <v>0</v>
      </c>
      <c r="W125" s="146">
        <f t="shared" si="52"/>
        <v>0</v>
      </c>
      <c r="X125" s="146">
        <f t="shared" si="52"/>
        <v>0</v>
      </c>
      <c r="Y125" s="146">
        <f t="shared" si="52"/>
        <v>0</v>
      </c>
      <c r="Z125" s="146">
        <f t="shared" si="52"/>
        <v>0</v>
      </c>
      <c r="AA125" s="146">
        <f t="shared" si="52"/>
        <v>0</v>
      </c>
      <c r="AB125" s="146">
        <f t="shared" si="52"/>
        <v>0</v>
      </c>
      <c r="AC125" s="146">
        <f t="shared" si="52"/>
        <v>0</v>
      </c>
      <c r="AD125" s="146">
        <f t="shared" si="52"/>
        <v>0</v>
      </c>
      <c r="AE125" s="146">
        <f t="shared" si="52"/>
        <v>0</v>
      </c>
      <c r="AF125" s="146">
        <f t="shared" si="52"/>
        <v>0</v>
      </c>
      <c r="AG125" s="146">
        <f t="shared" si="52"/>
        <v>0</v>
      </c>
      <c r="AH125" s="146">
        <f t="shared" si="52"/>
        <v>0</v>
      </c>
      <c r="AI125" s="146">
        <f t="shared" si="52"/>
        <v>0</v>
      </c>
      <c r="AJ125" s="146">
        <f t="shared" si="52"/>
        <v>0</v>
      </c>
      <c r="AK125" s="146">
        <f t="shared" si="52"/>
        <v>0</v>
      </c>
      <c r="AL125" s="146">
        <f t="shared" si="52"/>
        <v>0</v>
      </c>
      <c r="AM125" s="146">
        <f t="shared" si="52"/>
        <v>0</v>
      </c>
      <c r="AN125" s="146">
        <f t="shared" si="52"/>
        <v>0</v>
      </c>
      <c r="AO125" s="146">
        <f t="shared" si="52"/>
        <v>0</v>
      </c>
      <c r="AP125" s="146">
        <f t="shared" si="52"/>
        <v>0</v>
      </c>
      <c r="AQ125" s="146">
        <f t="shared" si="52"/>
        <v>0</v>
      </c>
      <c r="AR125" s="146">
        <f t="shared" si="52"/>
        <v>0</v>
      </c>
      <c r="AS125" s="146">
        <f t="shared" si="52"/>
        <v>0</v>
      </c>
      <c r="AT125" s="146">
        <f t="shared" si="52"/>
        <v>0</v>
      </c>
      <c r="AU125" s="146">
        <f t="shared" si="52"/>
        <v>0</v>
      </c>
      <c r="AV125" s="146">
        <f t="shared" si="52"/>
        <v>0</v>
      </c>
      <c r="AW125" s="146">
        <f t="shared" si="52"/>
        <v>0</v>
      </c>
      <c r="AX125" s="146">
        <f t="shared" si="52"/>
        <v>0</v>
      </c>
      <c r="AY125" s="146">
        <f t="shared" si="52"/>
        <v>0</v>
      </c>
      <c r="AZ125" s="146">
        <f t="shared" si="52"/>
        <v>0</v>
      </c>
      <c r="BA125" s="146">
        <f t="shared" si="52"/>
        <v>0</v>
      </c>
      <c r="BB125" s="146">
        <f t="shared" si="52"/>
        <v>0</v>
      </c>
      <c r="BC125" s="146">
        <f t="shared" si="52"/>
        <v>0</v>
      </c>
      <c r="BD125" s="146">
        <f t="shared" si="52"/>
        <v>0</v>
      </c>
      <c r="BE125" s="146">
        <f t="shared" si="52"/>
        <v>0</v>
      </c>
      <c r="BF125" s="146">
        <f t="shared" si="52"/>
        <v>0</v>
      </c>
      <c r="BG125" s="146">
        <f t="shared" si="52"/>
        <v>0</v>
      </c>
      <c r="BH125" s="146">
        <f t="shared" si="52"/>
        <v>0</v>
      </c>
      <c r="BI125" s="146">
        <f t="shared" si="52"/>
        <v>0</v>
      </c>
      <c r="BJ125" s="146">
        <f t="shared" si="52"/>
        <v>0</v>
      </c>
      <c r="BK125" s="146">
        <f t="shared" si="52"/>
        <v>0</v>
      </c>
      <c r="BL125" s="146">
        <f>BL121-BL122</f>
        <v>0</v>
      </c>
    </row>
    <row r="126" spans="2:84" x14ac:dyDescent="0.2">
      <c r="B126" s="325">
        <v>44287</v>
      </c>
      <c r="C126" s="62" t="s">
        <v>6</v>
      </c>
      <c r="D126" s="31">
        <f>SUM(E126:BL126)</f>
        <v>50000</v>
      </c>
      <c r="E126" s="199">
        <f>CLIENTES!F205</f>
        <v>0</v>
      </c>
      <c r="F126" s="199">
        <f>CLIENTES!H205</f>
        <v>50000</v>
      </c>
      <c r="G126" s="199">
        <f>CLIENTES!I205</f>
        <v>0</v>
      </c>
      <c r="H126" s="199">
        <f>CLIENTES!J205</f>
        <v>0</v>
      </c>
      <c r="I126" s="199">
        <f>CLIENTES!K205</f>
        <v>0</v>
      </c>
      <c r="J126" s="199">
        <f>CLIENTES!L205</f>
        <v>0</v>
      </c>
      <c r="K126" s="199">
        <f>CLIENTES!M205</f>
        <v>0</v>
      </c>
      <c r="L126" s="199">
        <f>CLIENTES!N205</f>
        <v>0</v>
      </c>
      <c r="M126" s="199">
        <f>CLIENTES!O205</f>
        <v>0</v>
      </c>
      <c r="N126" s="199">
        <f>CLIENTES!P205</f>
        <v>0</v>
      </c>
      <c r="O126" s="199">
        <f>CLIENTES!Q205</f>
        <v>0</v>
      </c>
      <c r="P126" s="199">
        <f>CLIENTES!R205</f>
        <v>0</v>
      </c>
      <c r="Q126" s="199">
        <f>CLIENTES!S205</f>
        <v>0</v>
      </c>
      <c r="R126" s="199">
        <f>CLIENTES!T205</f>
        <v>0</v>
      </c>
      <c r="S126" s="199">
        <f>CLIENTES!U205</f>
        <v>0</v>
      </c>
      <c r="T126" s="199">
        <f>CLIENTES!V205</f>
        <v>0</v>
      </c>
      <c r="U126" s="199">
        <f>CLIENTES!W205</f>
        <v>0</v>
      </c>
      <c r="V126" s="199">
        <f>CLIENTES!X205</f>
        <v>0</v>
      </c>
      <c r="W126" s="199">
        <f>CLIENTES!Y205</f>
        <v>0</v>
      </c>
      <c r="X126" s="199">
        <f>CLIENTES!Z205</f>
        <v>0</v>
      </c>
      <c r="Y126" s="199">
        <f>CLIENTES!AA205</f>
        <v>0</v>
      </c>
      <c r="Z126" s="199">
        <f>CLIENTES!AB205</f>
        <v>0</v>
      </c>
      <c r="AA126" s="199">
        <f>CLIENTES!AC205</f>
        <v>0</v>
      </c>
      <c r="AB126" s="199">
        <f>CLIENTES!AD205</f>
        <v>0</v>
      </c>
      <c r="AC126" s="199">
        <f>CLIENTES!AE205</f>
        <v>0</v>
      </c>
      <c r="AD126" s="199">
        <f>CLIENTES!AF205</f>
        <v>0</v>
      </c>
      <c r="AE126" s="199">
        <f>CLIENTES!AG205</f>
        <v>0</v>
      </c>
      <c r="AF126" s="199">
        <f>CLIENTES!AH205</f>
        <v>0</v>
      </c>
      <c r="AG126" s="199">
        <f>CLIENTES!AI205</f>
        <v>0</v>
      </c>
      <c r="AH126" s="199">
        <f>CLIENTES!AJ205</f>
        <v>0</v>
      </c>
      <c r="AI126" s="199">
        <f>CLIENTES!AK205</f>
        <v>0</v>
      </c>
      <c r="AJ126" s="199">
        <f>CLIENTES!AL205</f>
        <v>0</v>
      </c>
      <c r="AK126" s="199">
        <f>CLIENTES!AM205</f>
        <v>0</v>
      </c>
      <c r="AL126" s="199">
        <f>CLIENTES!AN205</f>
        <v>0</v>
      </c>
      <c r="AM126" s="199">
        <f>CLIENTES!AO205</f>
        <v>0</v>
      </c>
      <c r="AN126" s="199">
        <f>CLIENTES!AP205</f>
        <v>0</v>
      </c>
      <c r="AO126" s="199">
        <f>CLIENTES!AQ205</f>
        <v>0</v>
      </c>
      <c r="AP126" s="199">
        <f>CLIENTES!AR205</f>
        <v>0</v>
      </c>
      <c r="AQ126" s="199">
        <f>CLIENTES!AS205</f>
        <v>0</v>
      </c>
      <c r="AR126" s="199">
        <f>CLIENTES!AT205</f>
        <v>0</v>
      </c>
      <c r="AS126" s="199">
        <f>CLIENTES!AU205</f>
        <v>0</v>
      </c>
      <c r="AT126" s="199">
        <f>CLIENTES!AV205</f>
        <v>0</v>
      </c>
      <c r="AU126" s="199">
        <f>CLIENTES!AW205</f>
        <v>0</v>
      </c>
      <c r="AV126" s="199">
        <f>CLIENTES!AX205</f>
        <v>0</v>
      </c>
      <c r="AW126" s="199">
        <f>CLIENTES!AY205</f>
        <v>0</v>
      </c>
      <c r="AX126" s="199">
        <f>CLIENTES!AZ205</f>
        <v>0</v>
      </c>
      <c r="AY126" s="199">
        <f>CLIENTES!BA205</f>
        <v>0</v>
      </c>
      <c r="AZ126" s="214">
        <f>CLIENTES!BB205</f>
        <v>0</v>
      </c>
      <c r="BA126" s="199">
        <f>CLIENTES!BC205</f>
        <v>0</v>
      </c>
      <c r="BB126" s="199">
        <f>CLIENTES!BD205</f>
        <v>0</v>
      </c>
      <c r="BC126" s="199">
        <f>CLIENTES!BE205</f>
        <v>0</v>
      </c>
      <c r="BD126" s="199">
        <f>CLIENTES!BF205</f>
        <v>0</v>
      </c>
      <c r="BE126" s="199">
        <f>CLIENTES!BG205</f>
        <v>0</v>
      </c>
      <c r="BF126" s="199">
        <f>CLIENTES!BH205</f>
        <v>0</v>
      </c>
      <c r="BG126" s="199">
        <f>CLIENTES!BI205</f>
        <v>0</v>
      </c>
      <c r="BH126" s="199">
        <f>CLIENTES!BJ205</f>
        <v>0</v>
      </c>
      <c r="BI126" s="199">
        <f>CLIENTES!BK205</f>
        <v>0</v>
      </c>
      <c r="BJ126" s="199">
        <f>CLIENTES!BL205</f>
        <v>0</v>
      </c>
      <c r="BK126" s="199">
        <f>CLIENTES!BM205</f>
        <v>0</v>
      </c>
      <c r="BL126" s="199">
        <f>CLIENTES!BN205</f>
        <v>0</v>
      </c>
    </row>
    <row r="127" spans="2:84" x14ac:dyDescent="0.2">
      <c r="B127" s="326"/>
      <c r="C127" s="23" t="s">
        <v>9</v>
      </c>
      <c r="D127" s="27">
        <f>SUM(E127:BL127)</f>
        <v>0</v>
      </c>
      <c r="E127" s="132">
        <f>CLIENTES!F206</f>
        <v>0</v>
      </c>
      <c r="F127" s="132">
        <f>CLIENTES!H206</f>
        <v>0</v>
      </c>
      <c r="G127" s="132">
        <f>CLIENTES!I206</f>
        <v>0</v>
      </c>
      <c r="H127" s="132">
        <f>CLIENTES!J206</f>
        <v>0</v>
      </c>
      <c r="I127" s="132">
        <f>CLIENTES!K206</f>
        <v>0</v>
      </c>
      <c r="J127" s="132">
        <f>CLIENTES!L206</f>
        <v>0</v>
      </c>
      <c r="K127" s="132">
        <f>CLIENTES!M206</f>
        <v>0</v>
      </c>
      <c r="L127" s="132">
        <f>CLIENTES!N206</f>
        <v>0</v>
      </c>
      <c r="M127" s="132">
        <f>CLIENTES!O206</f>
        <v>0</v>
      </c>
      <c r="N127" s="132">
        <f>CLIENTES!P206</f>
        <v>0</v>
      </c>
      <c r="O127" s="132">
        <f>CLIENTES!Q206</f>
        <v>0</v>
      </c>
      <c r="P127" s="132">
        <f>CLIENTES!R206</f>
        <v>0</v>
      </c>
      <c r="Q127" s="132">
        <f>CLIENTES!S206</f>
        <v>0</v>
      </c>
      <c r="R127" s="132">
        <f>CLIENTES!T206</f>
        <v>0</v>
      </c>
      <c r="S127" s="132">
        <f>CLIENTES!U206</f>
        <v>0</v>
      </c>
      <c r="T127" s="132">
        <f>CLIENTES!V206</f>
        <v>0</v>
      </c>
      <c r="U127" s="132">
        <f>CLIENTES!W206</f>
        <v>0</v>
      </c>
      <c r="V127" s="132">
        <f>CLIENTES!X206</f>
        <v>0</v>
      </c>
      <c r="W127" s="132">
        <f>CLIENTES!Y206</f>
        <v>0</v>
      </c>
      <c r="X127" s="132">
        <f>CLIENTES!Z206</f>
        <v>0</v>
      </c>
      <c r="Y127" s="132">
        <f>CLIENTES!AA206</f>
        <v>0</v>
      </c>
      <c r="Z127" s="132">
        <f>CLIENTES!AB206</f>
        <v>0</v>
      </c>
      <c r="AA127" s="132">
        <f>CLIENTES!AC206</f>
        <v>0</v>
      </c>
      <c r="AB127" s="132">
        <f>CLIENTES!AD206</f>
        <v>0</v>
      </c>
      <c r="AC127" s="132">
        <f>CLIENTES!AE206</f>
        <v>0</v>
      </c>
      <c r="AD127" s="132">
        <f>CLIENTES!AF206</f>
        <v>0</v>
      </c>
      <c r="AE127" s="132">
        <f>CLIENTES!AG206</f>
        <v>0</v>
      </c>
      <c r="AF127" s="132">
        <f>CLIENTES!AH206</f>
        <v>0</v>
      </c>
      <c r="AG127" s="132">
        <f>CLIENTES!AI206</f>
        <v>0</v>
      </c>
      <c r="AH127" s="132">
        <f>CLIENTES!AJ206</f>
        <v>0</v>
      </c>
      <c r="AI127" s="132">
        <f>CLIENTES!AK206</f>
        <v>0</v>
      </c>
      <c r="AJ127" s="132">
        <f>CLIENTES!AL206</f>
        <v>0</v>
      </c>
      <c r="AK127" s="132">
        <f>CLIENTES!AM206</f>
        <v>0</v>
      </c>
      <c r="AL127" s="132">
        <f>CLIENTES!AN206</f>
        <v>0</v>
      </c>
      <c r="AM127" s="132">
        <f>CLIENTES!AO206</f>
        <v>0</v>
      </c>
      <c r="AN127" s="132">
        <f>CLIENTES!AP206</f>
        <v>0</v>
      </c>
      <c r="AO127" s="132">
        <f>CLIENTES!AQ206</f>
        <v>0</v>
      </c>
      <c r="AP127" s="132">
        <f>CLIENTES!AR206</f>
        <v>0</v>
      </c>
      <c r="AQ127" s="132">
        <f>CLIENTES!AS206</f>
        <v>0</v>
      </c>
      <c r="AR127" s="132">
        <f>CLIENTES!AT206</f>
        <v>0</v>
      </c>
      <c r="AS127" s="132">
        <f>CLIENTES!AU206</f>
        <v>0</v>
      </c>
      <c r="AT127" s="132">
        <f>CLIENTES!AV206</f>
        <v>0</v>
      </c>
      <c r="AU127" s="132">
        <f>CLIENTES!AW206</f>
        <v>0</v>
      </c>
      <c r="AV127" s="132">
        <f>CLIENTES!AX206</f>
        <v>0</v>
      </c>
      <c r="AW127" s="132">
        <f>CLIENTES!AY206</f>
        <v>0</v>
      </c>
      <c r="AX127" s="132">
        <f>CLIENTES!AZ206</f>
        <v>0</v>
      </c>
      <c r="AY127" s="132">
        <f>CLIENTES!BA206</f>
        <v>0</v>
      </c>
      <c r="AZ127" s="139">
        <f>CLIENTES!BB206</f>
        <v>0</v>
      </c>
      <c r="BA127" s="132">
        <f>CLIENTES!BC206</f>
        <v>0</v>
      </c>
      <c r="BB127" s="132">
        <f>CLIENTES!BD206</f>
        <v>0</v>
      </c>
      <c r="BC127" s="132">
        <f>CLIENTES!BE206</f>
        <v>0</v>
      </c>
      <c r="BD127" s="132">
        <f>CLIENTES!BF206</f>
        <v>0</v>
      </c>
      <c r="BE127" s="132">
        <f>CLIENTES!BG206</f>
        <v>0</v>
      </c>
      <c r="BF127" s="132">
        <f>CLIENTES!BH206</f>
        <v>0</v>
      </c>
      <c r="BG127" s="132">
        <f>CLIENTES!BI206</f>
        <v>0</v>
      </c>
      <c r="BH127" s="132">
        <f>CLIENTES!BJ206</f>
        <v>0</v>
      </c>
      <c r="BI127" s="132">
        <f>CLIENTES!BK206</f>
        <v>0</v>
      </c>
      <c r="BJ127" s="132">
        <f>CLIENTES!BL206</f>
        <v>0</v>
      </c>
      <c r="BK127" s="132">
        <f>CLIENTES!BM206</f>
        <v>0</v>
      </c>
      <c r="BL127" s="132">
        <f>CLIENTES!BN206</f>
        <v>0</v>
      </c>
    </row>
    <row r="128" spans="2:84" x14ac:dyDescent="0.2">
      <c r="B128" s="326"/>
      <c r="C128" s="23" t="s">
        <v>10</v>
      </c>
      <c r="D128" s="72">
        <f>E128</f>
        <v>1.89E-2</v>
      </c>
      <c r="E128" s="200">
        <f>CLIENTES!F208</f>
        <v>1.89E-2</v>
      </c>
      <c r="F128" s="200">
        <f>CLIENTES!H208</f>
        <v>1.89E-2</v>
      </c>
      <c r="G128" s="200">
        <f>CLIENTES!I208</f>
        <v>1.89E-2</v>
      </c>
      <c r="H128" s="200">
        <f>CLIENTES!J208</f>
        <v>1.89E-2</v>
      </c>
      <c r="I128" s="200">
        <f>CLIENTES!K208</f>
        <v>1.89E-2</v>
      </c>
      <c r="J128" s="200">
        <f>CLIENTES!L208</f>
        <v>1.89E-2</v>
      </c>
      <c r="K128" s="200">
        <f>CLIENTES!M208</f>
        <v>1.89E-2</v>
      </c>
      <c r="L128" s="200">
        <f>CLIENTES!N208</f>
        <v>1.89E-2</v>
      </c>
      <c r="M128" s="200">
        <f>CLIENTES!O208</f>
        <v>1.89E-2</v>
      </c>
      <c r="N128" s="200">
        <f>CLIENTES!P208</f>
        <v>1.89E-2</v>
      </c>
      <c r="O128" s="200">
        <f>CLIENTES!Q208</f>
        <v>1.89E-2</v>
      </c>
      <c r="P128" s="200">
        <f>CLIENTES!R208</f>
        <v>1.89E-2</v>
      </c>
      <c r="Q128" s="200">
        <f>CLIENTES!S208</f>
        <v>1.89E-2</v>
      </c>
      <c r="R128" s="200">
        <f>CLIENTES!T208</f>
        <v>1.89E-2</v>
      </c>
      <c r="S128" s="200">
        <f>CLIENTES!U208</f>
        <v>1.89E-2</v>
      </c>
      <c r="T128" s="200">
        <f>CLIENTES!V208</f>
        <v>1.89E-2</v>
      </c>
      <c r="U128" s="200">
        <f>CLIENTES!W208</f>
        <v>1.89E-2</v>
      </c>
      <c r="V128" s="200">
        <f>CLIENTES!X208</f>
        <v>1.89E-2</v>
      </c>
      <c r="W128" s="200">
        <f>CLIENTES!Y208</f>
        <v>1.89E-2</v>
      </c>
      <c r="X128" s="200">
        <f>CLIENTES!Z208</f>
        <v>1.89E-2</v>
      </c>
      <c r="Y128" s="200">
        <f>CLIENTES!AA208</f>
        <v>1.89E-2</v>
      </c>
      <c r="Z128" s="200">
        <f>CLIENTES!AB208</f>
        <v>1.89E-2</v>
      </c>
      <c r="AA128" s="200">
        <f>CLIENTES!AC208</f>
        <v>1.89E-2</v>
      </c>
      <c r="AB128" s="200">
        <f>CLIENTES!AD208</f>
        <v>1.89E-2</v>
      </c>
      <c r="AC128" s="200">
        <f>CLIENTES!AE208</f>
        <v>1.89E-2</v>
      </c>
      <c r="AD128" s="200">
        <f>CLIENTES!AF208</f>
        <v>1.89E-2</v>
      </c>
      <c r="AE128" s="200">
        <f>CLIENTES!AG208</f>
        <v>1.89E-2</v>
      </c>
      <c r="AF128" s="200">
        <f>CLIENTES!AH208</f>
        <v>1.89E-2</v>
      </c>
      <c r="AG128" s="200">
        <f>CLIENTES!AI208</f>
        <v>1.89E-2</v>
      </c>
      <c r="AH128" s="200">
        <f>CLIENTES!AJ208</f>
        <v>1.89E-2</v>
      </c>
      <c r="AI128" s="200">
        <f>CLIENTES!AK208</f>
        <v>1.89E-2</v>
      </c>
      <c r="AJ128" s="200">
        <f>CLIENTES!AL208</f>
        <v>1.89E-2</v>
      </c>
      <c r="AK128" s="200">
        <f>CLIENTES!AM208</f>
        <v>1.89E-2</v>
      </c>
      <c r="AL128" s="200">
        <f>CLIENTES!AN208</f>
        <v>1.89E-2</v>
      </c>
      <c r="AM128" s="200">
        <f>CLIENTES!AO208</f>
        <v>1.89E-2</v>
      </c>
      <c r="AN128" s="200">
        <f>CLIENTES!AP208</f>
        <v>1.89E-2</v>
      </c>
      <c r="AO128" s="200">
        <f>CLIENTES!AQ208</f>
        <v>1.89E-2</v>
      </c>
      <c r="AP128" s="200">
        <f>CLIENTES!AR208</f>
        <v>1.89E-2</v>
      </c>
      <c r="AQ128" s="200">
        <f>CLIENTES!AS208</f>
        <v>1.89E-2</v>
      </c>
      <c r="AR128" s="200">
        <f>CLIENTES!AT208</f>
        <v>1.89E-2</v>
      </c>
      <c r="AS128" s="200">
        <f>CLIENTES!AU208</f>
        <v>1.89E-2</v>
      </c>
      <c r="AT128" s="200">
        <f>CLIENTES!AV208</f>
        <v>1.89E-2</v>
      </c>
      <c r="AU128" s="200">
        <f>CLIENTES!AW208</f>
        <v>1.89E-2</v>
      </c>
      <c r="AV128" s="200">
        <f>CLIENTES!AX208</f>
        <v>1.89E-2</v>
      </c>
      <c r="AW128" s="200">
        <f>CLIENTES!AY208</f>
        <v>1.89E-2</v>
      </c>
      <c r="AX128" s="200">
        <f>CLIENTES!AZ208</f>
        <v>1.89E-2</v>
      </c>
      <c r="AY128" s="200">
        <f>CLIENTES!BA208</f>
        <v>1.89E-2</v>
      </c>
      <c r="AZ128" s="215">
        <f>CLIENTES!BB208</f>
        <v>1.89E-2</v>
      </c>
      <c r="BA128" s="200">
        <f>CLIENTES!BC208</f>
        <v>1.89E-2</v>
      </c>
      <c r="BB128" s="200">
        <f>CLIENTES!BD208</f>
        <v>1.89E-2</v>
      </c>
      <c r="BC128" s="200">
        <f>CLIENTES!BE208</f>
        <v>1.89E-2</v>
      </c>
      <c r="BD128" s="200">
        <f>CLIENTES!BF208</f>
        <v>1.89E-2</v>
      </c>
      <c r="BE128" s="200">
        <f>CLIENTES!BG208</f>
        <v>1.89E-2</v>
      </c>
      <c r="BF128" s="200">
        <f>CLIENTES!BH208</f>
        <v>1.89E-2</v>
      </c>
      <c r="BG128" s="200">
        <f>CLIENTES!BI208</f>
        <v>1.89E-2</v>
      </c>
      <c r="BH128" s="200">
        <f>CLIENTES!BJ208</f>
        <v>1.89E-2</v>
      </c>
      <c r="BI128" s="200">
        <f>CLIENTES!BK208</f>
        <v>1.89E-2</v>
      </c>
      <c r="BJ128" s="200">
        <f>CLIENTES!BL208</f>
        <v>1.89E-2</v>
      </c>
      <c r="BK128" s="200">
        <f>CLIENTES!BM208</f>
        <v>1.89E-2</v>
      </c>
      <c r="BL128" s="200">
        <f>CLIENTES!BN208</f>
        <v>1.89E-2</v>
      </c>
    </row>
    <row r="129" spans="2:84" x14ac:dyDescent="0.2">
      <c r="B129" s="326"/>
      <c r="C129" s="58" t="s">
        <v>23</v>
      </c>
      <c r="D129" s="27">
        <f>SUM(E129:BL129)</f>
        <v>50773.142119919328</v>
      </c>
      <c r="E129" s="139">
        <f t="shared" ref="E129:AJ129" si="53">IF((E125+E126-E127)*E128&lt;0,0,(E125+E126-E127)*E128)</f>
        <v>27588.936880677418</v>
      </c>
      <c r="F129" s="139">
        <f t="shared" si="53"/>
        <v>23184.205239241914</v>
      </c>
      <c r="G129" s="139">
        <f t="shared" si="53"/>
        <v>0</v>
      </c>
      <c r="H129" s="139">
        <f t="shared" si="53"/>
        <v>0</v>
      </c>
      <c r="I129" s="139">
        <f t="shared" si="53"/>
        <v>0</v>
      </c>
      <c r="J129" s="139">
        <f t="shared" si="53"/>
        <v>0</v>
      </c>
      <c r="K129" s="139">
        <f t="shared" si="53"/>
        <v>0</v>
      </c>
      <c r="L129" s="139">
        <f t="shared" si="53"/>
        <v>0</v>
      </c>
      <c r="M129" s="139">
        <f t="shared" si="53"/>
        <v>0</v>
      </c>
      <c r="N129" s="139">
        <f t="shared" si="53"/>
        <v>0</v>
      </c>
      <c r="O129" s="139">
        <f t="shared" si="53"/>
        <v>0</v>
      </c>
      <c r="P129" s="139">
        <f t="shared" si="53"/>
        <v>0</v>
      </c>
      <c r="Q129" s="139">
        <f t="shared" si="53"/>
        <v>0</v>
      </c>
      <c r="R129" s="139">
        <f t="shared" si="53"/>
        <v>0</v>
      </c>
      <c r="S129" s="139">
        <f t="shared" si="53"/>
        <v>0</v>
      </c>
      <c r="T129" s="139">
        <f t="shared" si="53"/>
        <v>0</v>
      </c>
      <c r="U129" s="139">
        <f t="shared" si="53"/>
        <v>0</v>
      </c>
      <c r="V129" s="139">
        <f t="shared" si="53"/>
        <v>0</v>
      </c>
      <c r="W129" s="139">
        <f t="shared" si="53"/>
        <v>0</v>
      </c>
      <c r="X129" s="139">
        <f t="shared" si="53"/>
        <v>0</v>
      </c>
      <c r="Y129" s="139">
        <f t="shared" si="53"/>
        <v>0</v>
      </c>
      <c r="Z129" s="139">
        <f t="shared" si="53"/>
        <v>0</v>
      </c>
      <c r="AA129" s="139">
        <f t="shared" si="53"/>
        <v>0</v>
      </c>
      <c r="AB129" s="139">
        <f t="shared" si="53"/>
        <v>0</v>
      </c>
      <c r="AC129" s="139">
        <f t="shared" si="53"/>
        <v>0</v>
      </c>
      <c r="AD129" s="139">
        <f t="shared" si="53"/>
        <v>0</v>
      </c>
      <c r="AE129" s="139">
        <f t="shared" si="53"/>
        <v>0</v>
      </c>
      <c r="AF129" s="139">
        <f t="shared" si="53"/>
        <v>0</v>
      </c>
      <c r="AG129" s="139">
        <f t="shared" si="53"/>
        <v>0</v>
      </c>
      <c r="AH129" s="139">
        <f t="shared" si="53"/>
        <v>0</v>
      </c>
      <c r="AI129" s="139">
        <f t="shared" si="53"/>
        <v>0</v>
      </c>
      <c r="AJ129" s="139">
        <f t="shared" si="53"/>
        <v>0</v>
      </c>
      <c r="AK129" s="139">
        <f t="shared" ref="AK129:BL129" si="54">IF((AK125+AK126-AK127)*AK128&lt;0,0,(AK125+AK126-AK127)*AK128)</f>
        <v>0</v>
      </c>
      <c r="AL129" s="139">
        <f t="shared" si="54"/>
        <v>0</v>
      </c>
      <c r="AM129" s="139">
        <f t="shared" si="54"/>
        <v>0</v>
      </c>
      <c r="AN129" s="139">
        <f t="shared" si="54"/>
        <v>0</v>
      </c>
      <c r="AO129" s="139">
        <f t="shared" si="54"/>
        <v>0</v>
      </c>
      <c r="AP129" s="139">
        <f t="shared" si="54"/>
        <v>0</v>
      </c>
      <c r="AQ129" s="139">
        <f t="shared" si="54"/>
        <v>0</v>
      </c>
      <c r="AR129" s="139">
        <f t="shared" si="54"/>
        <v>0</v>
      </c>
      <c r="AS129" s="139">
        <f t="shared" si="54"/>
        <v>0</v>
      </c>
      <c r="AT129" s="139">
        <f t="shared" si="54"/>
        <v>0</v>
      </c>
      <c r="AU129" s="139">
        <f t="shared" si="54"/>
        <v>0</v>
      </c>
      <c r="AV129" s="139">
        <f t="shared" si="54"/>
        <v>0</v>
      </c>
      <c r="AW129" s="139">
        <f t="shared" si="54"/>
        <v>0</v>
      </c>
      <c r="AX129" s="139">
        <f t="shared" si="54"/>
        <v>0</v>
      </c>
      <c r="AY129" s="139">
        <f t="shared" si="54"/>
        <v>0</v>
      </c>
      <c r="AZ129" s="139">
        <f t="shared" si="54"/>
        <v>0</v>
      </c>
      <c r="BA129" s="139">
        <f t="shared" si="54"/>
        <v>0</v>
      </c>
      <c r="BB129" s="139">
        <f t="shared" si="54"/>
        <v>0</v>
      </c>
      <c r="BC129" s="139">
        <f t="shared" si="54"/>
        <v>0</v>
      </c>
      <c r="BD129" s="139">
        <f t="shared" si="54"/>
        <v>0</v>
      </c>
      <c r="BE129" s="139">
        <f t="shared" si="54"/>
        <v>0</v>
      </c>
      <c r="BF129" s="139">
        <f t="shared" si="54"/>
        <v>0</v>
      </c>
      <c r="BG129" s="139">
        <f t="shared" si="54"/>
        <v>0</v>
      </c>
      <c r="BH129" s="139">
        <f t="shared" si="54"/>
        <v>0</v>
      </c>
      <c r="BI129" s="139">
        <f t="shared" si="54"/>
        <v>0</v>
      </c>
      <c r="BJ129" s="139">
        <f t="shared" si="54"/>
        <v>0</v>
      </c>
      <c r="BK129" s="139">
        <f t="shared" si="54"/>
        <v>0</v>
      </c>
      <c r="BL129" s="139">
        <f t="shared" si="54"/>
        <v>0</v>
      </c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</row>
    <row r="130" spans="2:84" ht="13.5" thickBot="1" x14ac:dyDescent="0.25">
      <c r="B130" s="327"/>
      <c r="C130" s="25" t="s">
        <v>22</v>
      </c>
      <c r="D130" s="30">
        <f>SUM(E130:BL130)</f>
        <v>2737182.7780944873</v>
      </c>
      <c r="E130" s="146">
        <f t="shared" ref="E130:AJ130" si="55">+E125-E127+E126+E129</f>
        <v>1487321.0469694298</v>
      </c>
      <c r="F130" s="146">
        <f t="shared" si="55"/>
        <v>1249861.7311250574</v>
      </c>
      <c r="G130" s="146">
        <f t="shared" si="55"/>
        <v>0</v>
      </c>
      <c r="H130" s="146">
        <f t="shared" si="55"/>
        <v>0</v>
      </c>
      <c r="I130" s="146">
        <f t="shared" si="55"/>
        <v>0</v>
      </c>
      <c r="J130" s="146">
        <f t="shared" si="55"/>
        <v>0</v>
      </c>
      <c r="K130" s="146">
        <f t="shared" si="55"/>
        <v>0</v>
      </c>
      <c r="L130" s="146">
        <f t="shared" si="55"/>
        <v>0</v>
      </c>
      <c r="M130" s="146">
        <f t="shared" si="55"/>
        <v>0</v>
      </c>
      <c r="N130" s="146">
        <f t="shared" si="55"/>
        <v>0</v>
      </c>
      <c r="O130" s="146">
        <f t="shared" si="55"/>
        <v>0</v>
      </c>
      <c r="P130" s="146">
        <f t="shared" si="55"/>
        <v>0</v>
      </c>
      <c r="Q130" s="146">
        <f t="shared" si="55"/>
        <v>0</v>
      </c>
      <c r="R130" s="146">
        <f t="shared" si="55"/>
        <v>0</v>
      </c>
      <c r="S130" s="146">
        <f t="shared" si="55"/>
        <v>0</v>
      </c>
      <c r="T130" s="146">
        <f t="shared" si="55"/>
        <v>0</v>
      </c>
      <c r="U130" s="146">
        <f t="shared" si="55"/>
        <v>0</v>
      </c>
      <c r="V130" s="146">
        <f t="shared" si="55"/>
        <v>0</v>
      </c>
      <c r="W130" s="146">
        <f t="shared" si="55"/>
        <v>0</v>
      </c>
      <c r="X130" s="146">
        <f t="shared" si="55"/>
        <v>0</v>
      </c>
      <c r="Y130" s="146">
        <f t="shared" si="55"/>
        <v>0</v>
      </c>
      <c r="Z130" s="146">
        <f t="shared" si="55"/>
        <v>0</v>
      </c>
      <c r="AA130" s="146">
        <f t="shared" si="55"/>
        <v>0</v>
      </c>
      <c r="AB130" s="146">
        <f t="shared" si="55"/>
        <v>0</v>
      </c>
      <c r="AC130" s="146">
        <f t="shared" si="55"/>
        <v>0</v>
      </c>
      <c r="AD130" s="146">
        <f t="shared" si="55"/>
        <v>0</v>
      </c>
      <c r="AE130" s="146">
        <f t="shared" si="55"/>
        <v>0</v>
      </c>
      <c r="AF130" s="146">
        <f t="shared" si="55"/>
        <v>0</v>
      </c>
      <c r="AG130" s="146">
        <f t="shared" si="55"/>
        <v>0</v>
      </c>
      <c r="AH130" s="146">
        <f t="shared" si="55"/>
        <v>0</v>
      </c>
      <c r="AI130" s="146">
        <f t="shared" si="55"/>
        <v>0</v>
      </c>
      <c r="AJ130" s="146">
        <f t="shared" si="55"/>
        <v>0</v>
      </c>
      <c r="AK130" s="146">
        <f t="shared" ref="AK130:BL130" si="56">+AK125-AK127+AK126+AK129</f>
        <v>0</v>
      </c>
      <c r="AL130" s="146">
        <f t="shared" si="56"/>
        <v>0</v>
      </c>
      <c r="AM130" s="146">
        <f t="shared" si="56"/>
        <v>0</v>
      </c>
      <c r="AN130" s="146">
        <f t="shared" si="56"/>
        <v>0</v>
      </c>
      <c r="AO130" s="146">
        <f t="shared" si="56"/>
        <v>0</v>
      </c>
      <c r="AP130" s="146">
        <f t="shared" si="56"/>
        <v>0</v>
      </c>
      <c r="AQ130" s="146">
        <f t="shared" si="56"/>
        <v>0</v>
      </c>
      <c r="AR130" s="146">
        <f t="shared" si="56"/>
        <v>0</v>
      </c>
      <c r="AS130" s="146">
        <f t="shared" si="56"/>
        <v>0</v>
      </c>
      <c r="AT130" s="146">
        <f t="shared" si="56"/>
        <v>0</v>
      </c>
      <c r="AU130" s="146">
        <f t="shared" si="56"/>
        <v>0</v>
      </c>
      <c r="AV130" s="146">
        <f t="shared" si="56"/>
        <v>0</v>
      </c>
      <c r="AW130" s="146">
        <f t="shared" si="56"/>
        <v>0</v>
      </c>
      <c r="AX130" s="146">
        <f t="shared" si="56"/>
        <v>0</v>
      </c>
      <c r="AY130" s="146">
        <f t="shared" si="56"/>
        <v>0</v>
      </c>
      <c r="AZ130" s="146">
        <f t="shared" si="56"/>
        <v>0</v>
      </c>
      <c r="BA130" s="146">
        <f t="shared" si="56"/>
        <v>0</v>
      </c>
      <c r="BB130" s="146">
        <f t="shared" si="56"/>
        <v>0</v>
      </c>
      <c r="BC130" s="146">
        <f t="shared" si="56"/>
        <v>0</v>
      </c>
      <c r="BD130" s="146">
        <f t="shared" si="56"/>
        <v>0</v>
      </c>
      <c r="BE130" s="146">
        <f t="shared" si="56"/>
        <v>0</v>
      </c>
      <c r="BF130" s="146">
        <f t="shared" si="56"/>
        <v>0</v>
      </c>
      <c r="BG130" s="146">
        <f t="shared" si="56"/>
        <v>0</v>
      </c>
      <c r="BH130" s="146">
        <f t="shared" si="56"/>
        <v>0</v>
      </c>
      <c r="BI130" s="146">
        <f t="shared" si="56"/>
        <v>0</v>
      </c>
      <c r="BJ130" s="146">
        <f t="shared" si="56"/>
        <v>0</v>
      </c>
      <c r="BK130" s="146">
        <f t="shared" si="56"/>
        <v>0</v>
      </c>
      <c r="BL130" s="146">
        <f t="shared" si="56"/>
        <v>0</v>
      </c>
    </row>
    <row r="131" spans="2:84" x14ac:dyDescent="0.2">
      <c r="B131" s="325">
        <v>44317</v>
      </c>
      <c r="C131" s="62" t="s">
        <v>6</v>
      </c>
      <c r="D131" s="31">
        <f>SUM(E131:BL131)</f>
        <v>50000</v>
      </c>
      <c r="E131" s="199">
        <f>CLIENTES!F213</f>
        <v>0</v>
      </c>
      <c r="F131" s="199">
        <f>CLIENTES!H213</f>
        <v>50000</v>
      </c>
      <c r="G131" s="199">
        <f>CLIENTES!I213</f>
        <v>0</v>
      </c>
      <c r="H131" s="199">
        <f>CLIENTES!J213</f>
        <v>0</v>
      </c>
      <c r="I131" s="199">
        <f>CLIENTES!K213</f>
        <v>0</v>
      </c>
      <c r="J131" s="199">
        <f>CLIENTES!L213</f>
        <v>0</v>
      </c>
      <c r="K131" s="199">
        <f>CLIENTES!M213</f>
        <v>0</v>
      </c>
      <c r="L131" s="199">
        <f>CLIENTES!N213</f>
        <v>0</v>
      </c>
      <c r="M131" s="199">
        <f>CLIENTES!O213</f>
        <v>0</v>
      </c>
      <c r="N131" s="199">
        <f>CLIENTES!P213</f>
        <v>0</v>
      </c>
      <c r="O131" s="199">
        <f>CLIENTES!Q213</f>
        <v>0</v>
      </c>
      <c r="P131" s="199">
        <f>CLIENTES!R213</f>
        <v>0</v>
      </c>
      <c r="Q131" s="199">
        <f>CLIENTES!S213</f>
        <v>0</v>
      </c>
      <c r="R131" s="199">
        <f>CLIENTES!T213</f>
        <v>0</v>
      </c>
      <c r="S131" s="199">
        <f>CLIENTES!U213</f>
        <v>0</v>
      </c>
      <c r="T131" s="199">
        <f>CLIENTES!V213</f>
        <v>0</v>
      </c>
      <c r="U131" s="199">
        <f>CLIENTES!W213</f>
        <v>0</v>
      </c>
      <c r="V131" s="199">
        <f>CLIENTES!X213</f>
        <v>0</v>
      </c>
      <c r="W131" s="199">
        <f>CLIENTES!Y213</f>
        <v>0</v>
      </c>
      <c r="X131" s="199">
        <f>CLIENTES!Z213</f>
        <v>0</v>
      </c>
      <c r="Y131" s="199">
        <f>CLIENTES!AA213</f>
        <v>0</v>
      </c>
      <c r="Z131" s="199">
        <f>CLIENTES!AB213</f>
        <v>0</v>
      </c>
      <c r="AA131" s="199">
        <f>CLIENTES!AC213</f>
        <v>0</v>
      </c>
      <c r="AB131" s="199">
        <f>CLIENTES!AD213</f>
        <v>0</v>
      </c>
      <c r="AC131" s="199">
        <f>CLIENTES!AE213</f>
        <v>0</v>
      </c>
      <c r="AD131" s="199">
        <f>CLIENTES!AF213</f>
        <v>0</v>
      </c>
      <c r="AE131" s="199">
        <f>CLIENTES!AG213</f>
        <v>0</v>
      </c>
      <c r="AF131" s="199">
        <f>CLIENTES!AH213</f>
        <v>0</v>
      </c>
      <c r="AG131" s="199">
        <f>CLIENTES!AI213</f>
        <v>0</v>
      </c>
      <c r="AH131" s="199">
        <f>CLIENTES!AJ213</f>
        <v>0</v>
      </c>
      <c r="AI131" s="199">
        <f>CLIENTES!AK213</f>
        <v>0</v>
      </c>
      <c r="AJ131" s="199">
        <f>CLIENTES!AL213</f>
        <v>0</v>
      </c>
      <c r="AK131" s="199">
        <f>CLIENTES!AM213</f>
        <v>0</v>
      </c>
      <c r="AL131" s="199">
        <f>CLIENTES!AN213</f>
        <v>0</v>
      </c>
      <c r="AM131" s="199">
        <f>CLIENTES!AO213</f>
        <v>0</v>
      </c>
      <c r="AN131" s="199">
        <f>CLIENTES!AP213</f>
        <v>0</v>
      </c>
      <c r="AO131" s="199">
        <f>CLIENTES!AQ213</f>
        <v>0</v>
      </c>
      <c r="AP131" s="199">
        <f>CLIENTES!AR213</f>
        <v>0</v>
      </c>
      <c r="AQ131" s="199">
        <f>CLIENTES!AS213</f>
        <v>0</v>
      </c>
      <c r="AR131" s="199">
        <f>CLIENTES!AT213</f>
        <v>0</v>
      </c>
      <c r="AS131" s="199">
        <f>CLIENTES!AU213</f>
        <v>0</v>
      </c>
      <c r="AT131" s="199">
        <f>CLIENTES!AV213</f>
        <v>0</v>
      </c>
      <c r="AU131" s="199">
        <f>CLIENTES!AW213</f>
        <v>0</v>
      </c>
      <c r="AV131" s="199">
        <f>CLIENTES!AX213</f>
        <v>0</v>
      </c>
      <c r="AW131" s="199">
        <f>CLIENTES!AY213</f>
        <v>0</v>
      </c>
      <c r="AX131" s="199">
        <f>CLIENTES!AZ213</f>
        <v>0</v>
      </c>
      <c r="AY131" s="199">
        <f>CLIENTES!BA213</f>
        <v>0</v>
      </c>
      <c r="AZ131" s="214">
        <f>CLIENTES!BB213</f>
        <v>0</v>
      </c>
      <c r="BA131" s="199">
        <f>CLIENTES!BC213</f>
        <v>0</v>
      </c>
      <c r="BB131" s="199">
        <f>CLIENTES!BD213</f>
        <v>0</v>
      </c>
      <c r="BC131" s="199">
        <f>CLIENTES!BE213</f>
        <v>0</v>
      </c>
      <c r="BD131" s="199">
        <f>CLIENTES!BF213</f>
        <v>0</v>
      </c>
      <c r="BE131" s="199">
        <f>CLIENTES!BG213</f>
        <v>0</v>
      </c>
      <c r="BF131" s="199">
        <f>CLIENTES!BH213</f>
        <v>0</v>
      </c>
      <c r="BG131" s="199">
        <f>CLIENTES!BI213</f>
        <v>0</v>
      </c>
      <c r="BH131" s="199">
        <f>CLIENTES!BJ213</f>
        <v>0</v>
      </c>
      <c r="BI131" s="199">
        <f>CLIENTES!BK213</f>
        <v>0</v>
      </c>
      <c r="BJ131" s="199">
        <f>CLIENTES!BL213</f>
        <v>0</v>
      </c>
      <c r="BK131" s="199">
        <f>CLIENTES!BM213</f>
        <v>0</v>
      </c>
      <c r="BL131" s="199">
        <f>CLIENTES!BN213</f>
        <v>0</v>
      </c>
    </row>
    <row r="132" spans="2:84" x14ac:dyDescent="0.2">
      <c r="B132" s="326"/>
      <c r="C132" s="23" t="s">
        <v>9</v>
      </c>
      <c r="D132" s="27">
        <f>SUM(E132:BL132)</f>
        <v>0</v>
      </c>
      <c r="E132" s="132">
        <f>CLIENTES!F214</f>
        <v>0</v>
      </c>
      <c r="F132" s="132">
        <f>CLIENTES!H214</f>
        <v>0</v>
      </c>
      <c r="G132" s="132">
        <f>CLIENTES!I214</f>
        <v>0</v>
      </c>
      <c r="H132" s="132">
        <f>CLIENTES!J214</f>
        <v>0</v>
      </c>
      <c r="I132" s="132">
        <f>CLIENTES!K214</f>
        <v>0</v>
      </c>
      <c r="J132" s="132">
        <f>CLIENTES!L214</f>
        <v>0</v>
      </c>
      <c r="K132" s="132">
        <f>CLIENTES!M214</f>
        <v>0</v>
      </c>
      <c r="L132" s="132">
        <f>CLIENTES!N214</f>
        <v>0</v>
      </c>
      <c r="M132" s="132">
        <f>CLIENTES!O214</f>
        <v>0</v>
      </c>
      <c r="N132" s="132">
        <f>CLIENTES!P214</f>
        <v>0</v>
      </c>
      <c r="O132" s="132">
        <f>CLIENTES!Q214</f>
        <v>0</v>
      </c>
      <c r="P132" s="132">
        <f>CLIENTES!R214</f>
        <v>0</v>
      </c>
      <c r="Q132" s="132">
        <f>CLIENTES!S214</f>
        <v>0</v>
      </c>
      <c r="R132" s="132">
        <f>CLIENTES!T214</f>
        <v>0</v>
      </c>
      <c r="S132" s="132">
        <f>CLIENTES!U214</f>
        <v>0</v>
      </c>
      <c r="T132" s="132">
        <f>CLIENTES!V214</f>
        <v>0</v>
      </c>
      <c r="U132" s="132">
        <f>CLIENTES!W214</f>
        <v>0</v>
      </c>
      <c r="V132" s="132">
        <f>CLIENTES!X214</f>
        <v>0</v>
      </c>
      <c r="W132" s="132">
        <f>CLIENTES!Y214</f>
        <v>0</v>
      </c>
      <c r="X132" s="132">
        <f>CLIENTES!Z214</f>
        <v>0</v>
      </c>
      <c r="Y132" s="132">
        <f>CLIENTES!AA214</f>
        <v>0</v>
      </c>
      <c r="Z132" s="132">
        <f>CLIENTES!AB214</f>
        <v>0</v>
      </c>
      <c r="AA132" s="132">
        <f>CLIENTES!AC214</f>
        <v>0</v>
      </c>
      <c r="AB132" s="132">
        <f>CLIENTES!AD214</f>
        <v>0</v>
      </c>
      <c r="AC132" s="132">
        <f>CLIENTES!AE214</f>
        <v>0</v>
      </c>
      <c r="AD132" s="132">
        <f>CLIENTES!AF214</f>
        <v>0</v>
      </c>
      <c r="AE132" s="132">
        <f>CLIENTES!AG214</f>
        <v>0</v>
      </c>
      <c r="AF132" s="132">
        <f>CLIENTES!AH214</f>
        <v>0</v>
      </c>
      <c r="AG132" s="132">
        <f>CLIENTES!AI214</f>
        <v>0</v>
      </c>
      <c r="AH132" s="132">
        <f>CLIENTES!AJ214</f>
        <v>0</v>
      </c>
      <c r="AI132" s="132">
        <f>CLIENTES!AK214</f>
        <v>0</v>
      </c>
      <c r="AJ132" s="132">
        <f>CLIENTES!AL214</f>
        <v>0</v>
      </c>
      <c r="AK132" s="132">
        <f>CLIENTES!AM214</f>
        <v>0</v>
      </c>
      <c r="AL132" s="132">
        <f>CLIENTES!AN214</f>
        <v>0</v>
      </c>
      <c r="AM132" s="132">
        <f>CLIENTES!AO214</f>
        <v>0</v>
      </c>
      <c r="AN132" s="132">
        <f>CLIENTES!AP214</f>
        <v>0</v>
      </c>
      <c r="AO132" s="132">
        <f>CLIENTES!AQ214</f>
        <v>0</v>
      </c>
      <c r="AP132" s="132">
        <f>CLIENTES!AR214</f>
        <v>0</v>
      </c>
      <c r="AQ132" s="132">
        <f>CLIENTES!AS214</f>
        <v>0</v>
      </c>
      <c r="AR132" s="132">
        <f>CLIENTES!AT214</f>
        <v>0</v>
      </c>
      <c r="AS132" s="132">
        <f>CLIENTES!AU214</f>
        <v>0</v>
      </c>
      <c r="AT132" s="132">
        <f>CLIENTES!AV214</f>
        <v>0</v>
      </c>
      <c r="AU132" s="132">
        <f>CLIENTES!AW214</f>
        <v>0</v>
      </c>
      <c r="AV132" s="132">
        <f>CLIENTES!AX214</f>
        <v>0</v>
      </c>
      <c r="AW132" s="132">
        <f>CLIENTES!AY214</f>
        <v>0</v>
      </c>
      <c r="AX132" s="132">
        <f>CLIENTES!AZ214</f>
        <v>0</v>
      </c>
      <c r="AY132" s="132">
        <f>CLIENTES!BA214</f>
        <v>0</v>
      </c>
      <c r="AZ132" s="139">
        <f>CLIENTES!BB214</f>
        <v>0</v>
      </c>
      <c r="BA132" s="132">
        <f>CLIENTES!BC214</f>
        <v>0</v>
      </c>
      <c r="BB132" s="132">
        <f>CLIENTES!BD214</f>
        <v>0</v>
      </c>
      <c r="BC132" s="132">
        <f>CLIENTES!BE214</f>
        <v>0</v>
      </c>
      <c r="BD132" s="132">
        <f>CLIENTES!BF214</f>
        <v>0</v>
      </c>
      <c r="BE132" s="132">
        <f>CLIENTES!BG214</f>
        <v>0</v>
      </c>
      <c r="BF132" s="132">
        <f>CLIENTES!BH214</f>
        <v>0</v>
      </c>
      <c r="BG132" s="132">
        <f>CLIENTES!BI214</f>
        <v>0</v>
      </c>
      <c r="BH132" s="132">
        <f>CLIENTES!BJ214</f>
        <v>0</v>
      </c>
      <c r="BI132" s="132">
        <f>CLIENTES!BK214</f>
        <v>0</v>
      </c>
      <c r="BJ132" s="132">
        <f>CLIENTES!BL214</f>
        <v>0</v>
      </c>
      <c r="BK132" s="132">
        <f>CLIENTES!BM214</f>
        <v>0</v>
      </c>
      <c r="BL132" s="132">
        <f>CLIENTES!BN214</f>
        <v>0</v>
      </c>
    </row>
    <row r="133" spans="2:84" x14ac:dyDescent="0.2">
      <c r="B133" s="326"/>
      <c r="C133" s="23" t="s">
        <v>10</v>
      </c>
      <c r="D133" s="72">
        <v>1.2999999999999999E-2</v>
      </c>
      <c r="E133" s="200">
        <f>CLIENTES!F216</f>
        <v>1.2999999999999999E-2</v>
      </c>
      <c r="F133" s="200">
        <f>CLIENTES!H216</f>
        <v>1.2999999999999999E-2</v>
      </c>
      <c r="G133" s="200">
        <f>CLIENTES!I216</f>
        <v>1.2999999999999999E-2</v>
      </c>
      <c r="H133" s="200">
        <f>CLIENTES!J216</f>
        <v>1.2999999999999999E-2</v>
      </c>
      <c r="I133" s="200">
        <f>CLIENTES!K216</f>
        <v>1.2999999999999999E-2</v>
      </c>
      <c r="J133" s="200">
        <f>CLIENTES!L216</f>
        <v>1.2999999999999999E-2</v>
      </c>
      <c r="K133" s="200">
        <f>CLIENTES!M216</f>
        <v>1.2999999999999999E-2</v>
      </c>
      <c r="L133" s="200">
        <f>CLIENTES!N216</f>
        <v>1.2999999999999999E-2</v>
      </c>
      <c r="M133" s="200">
        <f>CLIENTES!O216</f>
        <v>1.2999999999999999E-2</v>
      </c>
      <c r="N133" s="200">
        <f>CLIENTES!P216</f>
        <v>1.2999999999999999E-2</v>
      </c>
      <c r="O133" s="200">
        <f>CLIENTES!Q216</f>
        <v>1.2999999999999999E-2</v>
      </c>
      <c r="P133" s="200">
        <f>CLIENTES!R216</f>
        <v>1.2999999999999999E-2</v>
      </c>
      <c r="Q133" s="200">
        <f>CLIENTES!S216</f>
        <v>1.2999999999999999E-2</v>
      </c>
      <c r="R133" s="200">
        <f>CLIENTES!T216</f>
        <v>1.2999999999999999E-2</v>
      </c>
      <c r="S133" s="200">
        <f>CLIENTES!U216</f>
        <v>1.2999999999999999E-2</v>
      </c>
      <c r="T133" s="200">
        <f>CLIENTES!V216</f>
        <v>1.2999999999999999E-2</v>
      </c>
      <c r="U133" s="200">
        <f>CLIENTES!W216</f>
        <v>1.2999999999999999E-2</v>
      </c>
      <c r="V133" s="200">
        <f>CLIENTES!X216</f>
        <v>1.2999999999999999E-2</v>
      </c>
      <c r="W133" s="200">
        <f>CLIENTES!Y216</f>
        <v>1.2999999999999999E-2</v>
      </c>
      <c r="X133" s="200">
        <f>CLIENTES!Z216</f>
        <v>1.2999999999999999E-2</v>
      </c>
      <c r="Y133" s="200">
        <f>CLIENTES!AA216</f>
        <v>1.2999999999999999E-2</v>
      </c>
      <c r="Z133" s="200">
        <f>CLIENTES!AB216</f>
        <v>1.2999999999999999E-2</v>
      </c>
      <c r="AA133" s="200">
        <f>CLIENTES!AC216</f>
        <v>1.2999999999999999E-2</v>
      </c>
      <c r="AB133" s="200">
        <f>CLIENTES!AD216</f>
        <v>1.2999999999999999E-2</v>
      </c>
      <c r="AC133" s="200">
        <f>CLIENTES!AE216</f>
        <v>1.2999999999999999E-2</v>
      </c>
      <c r="AD133" s="200">
        <f>CLIENTES!AF216</f>
        <v>1.2999999999999999E-2</v>
      </c>
      <c r="AE133" s="200">
        <f>CLIENTES!AG216</f>
        <v>1.2999999999999999E-2</v>
      </c>
      <c r="AF133" s="200">
        <f>CLIENTES!AH216</f>
        <v>1.2999999999999999E-2</v>
      </c>
      <c r="AG133" s="200">
        <f>CLIENTES!AI216</f>
        <v>1.2999999999999999E-2</v>
      </c>
      <c r="AH133" s="200">
        <f>CLIENTES!AJ216</f>
        <v>1.2999999999999999E-2</v>
      </c>
      <c r="AI133" s="200">
        <f>CLIENTES!AK216</f>
        <v>1.2999999999999999E-2</v>
      </c>
      <c r="AJ133" s="200">
        <f>CLIENTES!AL216</f>
        <v>1.2999999999999999E-2</v>
      </c>
      <c r="AK133" s="200">
        <f>CLIENTES!AM216</f>
        <v>1.2999999999999999E-2</v>
      </c>
      <c r="AL133" s="200">
        <f>CLIENTES!AN216</f>
        <v>1.2999999999999999E-2</v>
      </c>
      <c r="AM133" s="200">
        <f>CLIENTES!AO216</f>
        <v>1.2999999999999999E-2</v>
      </c>
      <c r="AN133" s="200">
        <f>CLIENTES!AP216</f>
        <v>1.2999999999999999E-2</v>
      </c>
      <c r="AO133" s="200">
        <f>CLIENTES!AQ216</f>
        <v>1.2999999999999999E-2</v>
      </c>
      <c r="AP133" s="200">
        <f>CLIENTES!AR216</f>
        <v>1.2999999999999999E-2</v>
      </c>
      <c r="AQ133" s="200">
        <f>CLIENTES!AS216</f>
        <v>1.2999999999999999E-2</v>
      </c>
      <c r="AR133" s="200">
        <f>CLIENTES!AT216</f>
        <v>1.2999999999999999E-2</v>
      </c>
      <c r="AS133" s="200">
        <f>CLIENTES!AU216</f>
        <v>1.2999999999999999E-2</v>
      </c>
      <c r="AT133" s="200">
        <f>CLIENTES!AV216</f>
        <v>1.2999999999999999E-2</v>
      </c>
      <c r="AU133" s="200">
        <f>CLIENTES!AW216</f>
        <v>1.2999999999999999E-2</v>
      </c>
      <c r="AV133" s="200">
        <f>CLIENTES!AX216</f>
        <v>1.2999999999999999E-2</v>
      </c>
      <c r="AW133" s="200">
        <f>CLIENTES!AY216</f>
        <v>1.2999999999999999E-2</v>
      </c>
      <c r="AX133" s="200">
        <f>CLIENTES!AZ216</f>
        <v>1.2999999999999999E-2</v>
      </c>
      <c r="AY133" s="200">
        <f>CLIENTES!BA216</f>
        <v>1.2999999999999999E-2</v>
      </c>
      <c r="AZ133" s="215">
        <f>CLIENTES!BB216</f>
        <v>1.2999999999999999E-2</v>
      </c>
      <c r="BA133" s="200">
        <f>CLIENTES!BC216</f>
        <v>1.2999999999999999E-2</v>
      </c>
      <c r="BB133" s="200">
        <f>CLIENTES!BD216</f>
        <v>1.2999999999999999E-2</v>
      </c>
      <c r="BC133" s="200">
        <f>CLIENTES!BE216</f>
        <v>1.2999999999999999E-2</v>
      </c>
      <c r="BD133" s="200">
        <f>CLIENTES!BF216</f>
        <v>1.2999999999999999E-2</v>
      </c>
      <c r="BE133" s="200">
        <f>CLIENTES!BG216</f>
        <v>1.2999999999999999E-2</v>
      </c>
      <c r="BF133" s="200">
        <f>CLIENTES!BH216</f>
        <v>1.2999999999999999E-2</v>
      </c>
      <c r="BG133" s="200">
        <f>CLIENTES!BI216</f>
        <v>1.2999999999999999E-2</v>
      </c>
      <c r="BH133" s="200">
        <f>CLIENTES!BJ216</f>
        <v>1.2999999999999999E-2</v>
      </c>
      <c r="BI133" s="200">
        <f>CLIENTES!BK216</f>
        <v>1.2999999999999999E-2</v>
      </c>
      <c r="BJ133" s="200">
        <f>CLIENTES!BL216</f>
        <v>1.2999999999999999E-2</v>
      </c>
      <c r="BK133" s="200">
        <f>CLIENTES!BM216</f>
        <v>1.2999999999999999E-2</v>
      </c>
      <c r="BL133" s="200">
        <f>CLIENTES!BN216</f>
        <v>1.2999999999999999E-2</v>
      </c>
    </row>
    <row r="134" spans="2:84" x14ac:dyDescent="0.2">
      <c r="B134" s="326"/>
      <c r="C134" s="58" t="s">
        <v>23</v>
      </c>
      <c r="D134" s="27">
        <f>SUM(E134:BL134)</f>
        <v>36233.376115228333</v>
      </c>
      <c r="E134" s="139">
        <f>IF((E130+E131-E132)*E133&lt;0,0,(E130+E131-E132)*E133)</f>
        <v>19335.173610602586</v>
      </c>
      <c r="F134" s="139">
        <f t="shared" ref="F134:BL134" si="57">IF((F130+F131-F132)*F133&lt;0,0,(F130+F131-F132)*F133)</f>
        <v>16898.202504625748</v>
      </c>
      <c r="G134" s="139">
        <f t="shared" si="57"/>
        <v>0</v>
      </c>
      <c r="H134" s="139">
        <f t="shared" si="57"/>
        <v>0</v>
      </c>
      <c r="I134" s="139">
        <f t="shared" si="57"/>
        <v>0</v>
      </c>
      <c r="J134" s="139">
        <f t="shared" si="57"/>
        <v>0</v>
      </c>
      <c r="K134" s="139">
        <f t="shared" si="57"/>
        <v>0</v>
      </c>
      <c r="L134" s="139">
        <f t="shared" si="57"/>
        <v>0</v>
      </c>
      <c r="M134" s="139">
        <f t="shared" si="57"/>
        <v>0</v>
      </c>
      <c r="N134" s="139">
        <f t="shared" si="57"/>
        <v>0</v>
      </c>
      <c r="O134" s="139">
        <f t="shared" si="57"/>
        <v>0</v>
      </c>
      <c r="P134" s="139">
        <f t="shared" si="57"/>
        <v>0</v>
      </c>
      <c r="Q134" s="139">
        <f t="shared" si="57"/>
        <v>0</v>
      </c>
      <c r="R134" s="139">
        <f t="shared" si="57"/>
        <v>0</v>
      </c>
      <c r="S134" s="139">
        <f t="shared" si="57"/>
        <v>0</v>
      </c>
      <c r="T134" s="139">
        <f t="shared" si="57"/>
        <v>0</v>
      </c>
      <c r="U134" s="139">
        <f t="shared" si="57"/>
        <v>0</v>
      </c>
      <c r="V134" s="139">
        <f t="shared" si="57"/>
        <v>0</v>
      </c>
      <c r="W134" s="139">
        <f t="shared" si="57"/>
        <v>0</v>
      </c>
      <c r="X134" s="139">
        <f t="shared" si="57"/>
        <v>0</v>
      </c>
      <c r="Y134" s="139">
        <f t="shared" si="57"/>
        <v>0</v>
      </c>
      <c r="Z134" s="139">
        <f t="shared" si="57"/>
        <v>0</v>
      </c>
      <c r="AA134" s="139">
        <f t="shared" si="57"/>
        <v>0</v>
      </c>
      <c r="AB134" s="139">
        <f t="shared" si="57"/>
        <v>0</v>
      </c>
      <c r="AC134" s="139">
        <f t="shared" si="57"/>
        <v>0</v>
      </c>
      <c r="AD134" s="139">
        <f t="shared" si="57"/>
        <v>0</v>
      </c>
      <c r="AE134" s="139">
        <f t="shared" si="57"/>
        <v>0</v>
      </c>
      <c r="AF134" s="139">
        <f t="shared" si="57"/>
        <v>0</v>
      </c>
      <c r="AG134" s="139">
        <f t="shared" si="57"/>
        <v>0</v>
      </c>
      <c r="AH134" s="139">
        <f t="shared" si="57"/>
        <v>0</v>
      </c>
      <c r="AI134" s="139">
        <f t="shared" si="57"/>
        <v>0</v>
      </c>
      <c r="AJ134" s="139">
        <f t="shared" si="57"/>
        <v>0</v>
      </c>
      <c r="AK134" s="139">
        <f t="shared" si="57"/>
        <v>0</v>
      </c>
      <c r="AL134" s="139">
        <f t="shared" si="57"/>
        <v>0</v>
      </c>
      <c r="AM134" s="139">
        <f t="shared" si="57"/>
        <v>0</v>
      </c>
      <c r="AN134" s="139">
        <f t="shared" si="57"/>
        <v>0</v>
      </c>
      <c r="AO134" s="139">
        <f t="shared" si="57"/>
        <v>0</v>
      </c>
      <c r="AP134" s="139">
        <f t="shared" si="57"/>
        <v>0</v>
      </c>
      <c r="AQ134" s="139">
        <f t="shared" si="57"/>
        <v>0</v>
      </c>
      <c r="AR134" s="139">
        <f t="shared" si="57"/>
        <v>0</v>
      </c>
      <c r="AS134" s="139">
        <f t="shared" si="57"/>
        <v>0</v>
      </c>
      <c r="AT134" s="139">
        <f t="shared" si="57"/>
        <v>0</v>
      </c>
      <c r="AU134" s="139">
        <f t="shared" si="57"/>
        <v>0</v>
      </c>
      <c r="AV134" s="139">
        <f t="shared" si="57"/>
        <v>0</v>
      </c>
      <c r="AW134" s="139">
        <f t="shared" si="57"/>
        <v>0</v>
      </c>
      <c r="AX134" s="139">
        <f t="shared" si="57"/>
        <v>0</v>
      </c>
      <c r="AY134" s="139">
        <f t="shared" si="57"/>
        <v>0</v>
      </c>
      <c r="AZ134" s="139">
        <f t="shared" si="57"/>
        <v>0</v>
      </c>
      <c r="BA134" s="139">
        <f t="shared" si="57"/>
        <v>0</v>
      </c>
      <c r="BB134" s="139">
        <f t="shared" si="57"/>
        <v>0</v>
      </c>
      <c r="BC134" s="139">
        <f t="shared" si="57"/>
        <v>0</v>
      </c>
      <c r="BD134" s="139">
        <f t="shared" si="57"/>
        <v>0</v>
      </c>
      <c r="BE134" s="139">
        <f t="shared" si="57"/>
        <v>0</v>
      </c>
      <c r="BF134" s="139">
        <f t="shared" si="57"/>
        <v>0</v>
      </c>
      <c r="BG134" s="139">
        <f t="shared" si="57"/>
        <v>0</v>
      </c>
      <c r="BH134" s="139">
        <f t="shared" si="57"/>
        <v>0</v>
      </c>
      <c r="BI134" s="139">
        <f t="shared" si="57"/>
        <v>0</v>
      </c>
      <c r="BJ134" s="139">
        <f t="shared" si="57"/>
        <v>0</v>
      </c>
      <c r="BK134" s="139">
        <f t="shared" si="57"/>
        <v>0</v>
      </c>
      <c r="BL134" s="139">
        <f t="shared" si="57"/>
        <v>0</v>
      </c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</row>
    <row r="135" spans="2:84" ht="13.5" thickBot="1" x14ac:dyDescent="0.25">
      <c r="B135" s="327"/>
      <c r="C135" s="25" t="s">
        <v>22</v>
      </c>
      <c r="D135" s="30">
        <f>SUM(E135:BL135)</f>
        <v>2823416.1542097153</v>
      </c>
      <c r="E135" s="146">
        <f>+E130-E132+E131+E134</f>
        <v>1506656.2205800323</v>
      </c>
      <c r="F135" s="146">
        <f t="shared" ref="F135:BL135" si="58">+F130-F132+F131+F134</f>
        <v>1316759.9336296832</v>
      </c>
      <c r="G135" s="146">
        <f t="shared" si="58"/>
        <v>0</v>
      </c>
      <c r="H135" s="146">
        <f t="shared" si="58"/>
        <v>0</v>
      </c>
      <c r="I135" s="146">
        <f t="shared" si="58"/>
        <v>0</v>
      </c>
      <c r="J135" s="146">
        <f t="shared" si="58"/>
        <v>0</v>
      </c>
      <c r="K135" s="146">
        <f t="shared" si="58"/>
        <v>0</v>
      </c>
      <c r="L135" s="146">
        <f t="shared" si="58"/>
        <v>0</v>
      </c>
      <c r="M135" s="146">
        <f t="shared" si="58"/>
        <v>0</v>
      </c>
      <c r="N135" s="146">
        <f t="shared" si="58"/>
        <v>0</v>
      </c>
      <c r="O135" s="146">
        <f t="shared" si="58"/>
        <v>0</v>
      </c>
      <c r="P135" s="146">
        <f t="shared" si="58"/>
        <v>0</v>
      </c>
      <c r="Q135" s="146">
        <f t="shared" si="58"/>
        <v>0</v>
      </c>
      <c r="R135" s="146">
        <f t="shared" si="58"/>
        <v>0</v>
      </c>
      <c r="S135" s="146">
        <f t="shared" si="58"/>
        <v>0</v>
      </c>
      <c r="T135" s="146">
        <f t="shared" si="58"/>
        <v>0</v>
      </c>
      <c r="U135" s="146">
        <f t="shared" si="58"/>
        <v>0</v>
      </c>
      <c r="V135" s="146">
        <f t="shared" si="58"/>
        <v>0</v>
      </c>
      <c r="W135" s="146">
        <f t="shared" si="58"/>
        <v>0</v>
      </c>
      <c r="X135" s="146">
        <f t="shared" si="58"/>
        <v>0</v>
      </c>
      <c r="Y135" s="146">
        <f t="shared" si="58"/>
        <v>0</v>
      </c>
      <c r="Z135" s="146">
        <f t="shared" si="58"/>
        <v>0</v>
      </c>
      <c r="AA135" s="146">
        <f t="shared" si="58"/>
        <v>0</v>
      </c>
      <c r="AB135" s="146">
        <f t="shared" si="58"/>
        <v>0</v>
      </c>
      <c r="AC135" s="146">
        <f t="shared" si="58"/>
        <v>0</v>
      </c>
      <c r="AD135" s="146">
        <f t="shared" si="58"/>
        <v>0</v>
      </c>
      <c r="AE135" s="146">
        <f t="shared" si="58"/>
        <v>0</v>
      </c>
      <c r="AF135" s="146">
        <f t="shared" si="58"/>
        <v>0</v>
      </c>
      <c r="AG135" s="146">
        <f t="shared" si="58"/>
        <v>0</v>
      </c>
      <c r="AH135" s="146">
        <f t="shared" si="58"/>
        <v>0</v>
      </c>
      <c r="AI135" s="146">
        <f t="shared" si="58"/>
        <v>0</v>
      </c>
      <c r="AJ135" s="146">
        <f t="shared" si="58"/>
        <v>0</v>
      </c>
      <c r="AK135" s="146">
        <f t="shared" si="58"/>
        <v>0</v>
      </c>
      <c r="AL135" s="146">
        <f t="shared" si="58"/>
        <v>0</v>
      </c>
      <c r="AM135" s="146">
        <f t="shared" si="58"/>
        <v>0</v>
      </c>
      <c r="AN135" s="146">
        <f t="shared" si="58"/>
        <v>0</v>
      </c>
      <c r="AO135" s="146">
        <f t="shared" si="58"/>
        <v>0</v>
      </c>
      <c r="AP135" s="146">
        <f t="shared" si="58"/>
        <v>0</v>
      </c>
      <c r="AQ135" s="146">
        <f t="shared" si="58"/>
        <v>0</v>
      </c>
      <c r="AR135" s="146">
        <f t="shared" si="58"/>
        <v>0</v>
      </c>
      <c r="AS135" s="146">
        <f t="shared" si="58"/>
        <v>0</v>
      </c>
      <c r="AT135" s="146">
        <f t="shared" si="58"/>
        <v>0</v>
      </c>
      <c r="AU135" s="146">
        <f t="shared" si="58"/>
        <v>0</v>
      </c>
      <c r="AV135" s="146">
        <f t="shared" si="58"/>
        <v>0</v>
      </c>
      <c r="AW135" s="146">
        <f t="shared" si="58"/>
        <v>0</v>
      </c>
      <c r="AX135" s="146">
        <f t="shared" si="58"/>
        <v>0</v>
      </c>
      <c r="AY135" s="146">
        <f t="shared" si="58"/>
        <v>0</v>
      </c>
      <c r="AZ135" s="146">
        <f t="shared" si="58"/>
        <v>0</v>
      </c>
      <c r="BA135" s="146">
        <f t="shared" si="58"/>
        <v>0</v>
      </c>
      <c r="BB135" s="146">
        <f t="shared" si="58"/>
        <v>0</v>
      </c>
      <c r="BC135" s="146">
        <f t="shared" si="58"/>
        <v>0</v>
      </c>
      <c r="BD135" s="146">
        <f t="shared" si="58"/>
        <v>0</v>
      </c>
      <c r="BE135" s="146">
        <f t="shared" si="58"/>
        <v>0</v>
      </c>
      <c r="BF135" s="146">
        <f t="shared" si="58"/>
        <v>0</v>
      </c>
      <c r="BG135" s="146">
        <f t="shared" si="58"/>
        <v>0</v>
      </c>
      <c r="BH135" s="146">
        <f t="shared" si="58"/>
        <v>0</v>
      </c>
      <c r="BI135" s="146">
        <f t="shared" si="58"/>
        <v>0</v>
      </c>
      <c r="BJ135" s="146">
        <f t="shared" si="58"/>
        <v>0</v>
      </c>
      <c r="BK135" s="146">
        <f t="shared" si="58"/>
        <v>0</v>
      </c>
      <c r="BL135" s="146">
        <f t="shared" si="58"/>
        <v>0</v>
      </c>
    </row>
    <row r="136" spans="2:84" x14ac:dyDescent="0.2">
      <c r="B136" s="325">
        <v>44348</v>
      </c>
      <c r="C136" s="62" t="s">
        <v>6</v>
      </c>
      <c r="D136" s="31">
        <f>SUM(E136:BL136)</f>
        <v>50000</v>
      </c>
      <c r="E136" s="199">
        <f>CLIENTES!F221</f>
        <v>0</v>
      </c>
      <c r="F136" s="199">
        <f>CLIENTES!H221</f>
        <v>50000</v>
      </c>
      <c r="G136" s="199">
        <f>CLIENTES!I221</f>
        <v>0</v>
      </c>
      <c r="H136" s="199">
        <f>CLIENTES!J221</f>
        <v>0</v>
      </c>
      <c r="I136" s="199">
        <f>CLIENTES!K221</f>
        <v>0</v>
      </c>
      <c r="J136" s="199">
        <f>CLIENTES!L221</f>
        <v>0</v>
      </c>
      <c r="K136" s="199">
        <f>CLIENTES!M221</f>
        <v>0</v>
      </c>
      <c r="L136" s="199">
        <f>CLIENTES!N221</f>
        <v>0</v>
      </c>
      <c r="M136" s="199">
        <f>CLIENTES!O221</f>
        <v>0</v>
      </c>
      <c r="N136" s="199">
        <f>CLIENTES!P221</f>
        <v>0</v>
      </c>
      <c r="O136" s="199">
        <f>CLIENTES!Q221</f>
        <v>0</v>
      </c>
      <c r="P136" s="199">
        <f>CLIENTES!R221</f>
        <v>0</v>
      </c>
      <c r="Q136" s="199">
        <f>CLIENTES!S221</f>
        <v>0</v>
      </c>
      <c r="R136" s="199">
        <f>CLIENTES!T221</f>
        <v>0</v>
      </c>
      <c r="S136" s="199">
        <f>CLIENTES!U221</f>
        <v>0</v>
      </c>
      <c r="T136" s="199">
        <f>CLIENTES!V221</f>
        <v>0</v>
      </c>
      <c r="U136" s="199">
        <f>CLIENTES!W221</f>
        <v>0</v>
      </c>
      <c r="V136" s="199">
        <f>CLIENTES!X221</f>
        <v>0</v>
      </c>
      <c r="W136" s="199">
        <f>CLIENTES!Y221</f>
        <v>0</v>
      </c>
      <c r="X136" s="199">
        <f>CLIENTES!Z221</f>
        <v>0</v>
      </c>
      <c r="Y136" s="199">
        <f>CLIENTES!AA221</f>
        <v>0</v>
      </c>
      <c r="Z136" s="199">
        <f>CLIENTES!AB221</f>
        <v>0</v>
      </c>
      <c r="AA136" s="199">
        <f>CLIENTES!AC221</f>
        <v>0</v>
      </c>
      <c r="AB136" s="199">
        <f>CLIENTES!AD221</f>
        <v>0</v>
      </c>
      <c r="AC136" s="199">
        <f>CLIENTES!AE221</f>
        <v>0</v>
      </c>
      <c r="AD136" s="199">
        <f>CLIENTES!AF221</f>
        <v>0</v>
      </c>
      <c r="AE136" s="199">
        <f>CLIENTES!AG221</f>
        <v>0</v>
      </c>
      <c r="AF136" s="199">
        <f>CLIENTES!AH221</f>
        <v>0</v>
      </c>
      <c r="AG136" s="199">
        <f>CLIENTES!AI221</f>
        <v>0</v>
      </c>
      <c r="AH136" s="199">
        <f>CLIENTES!AJ221</f>
        <v>0</v>
      </c>
      <c r="AI136" s="199">
        <f>CLIENTES!AK221</f>
        <v>0</v>
      </c>
      <c r="AJ136" s="199">
        <f>CLIENTES!AL221</f>
        <v>0</v>
      </c>
      <c r="AK136" s="199">
        <f>CLIENTES!AM221</f>
        <v>0</v>
      </c>
      <c r="AL136" s="199">
        <f>CLIENTES!AN221</f>
        <v>0</v>
      </c>
      <c r="AM136" s="199">
        <f>CLIENTES!AO221</f>
        <v>0</v>
      </c>
      <c r="AN136" s="199">
        <f>CLIENTES!AP221</f>
        <v>0</v>
      </c>
      <c r="AO136" s="199">
        <f>CLIENTES!AQ221</f>
        <v>0</v>
      </c>
      <c r="AP136" s="199">
        <f>CLIENTES!AR221</f>
        <v>0</v>
      </c>
      <c r="AQ136" s="199">
        <f>CLIENTES!AS221</f>
        <v>0</v>
      </c>
      <c r="AR136" s="199">
        <f>CLIENTES!AT221</f>
        <v>0</v>
      </c>
      <c r="AS136" s="199">
        <f>CLIENTES!AU221</f>
        <v>0</v>
      </c>
      <c r="AT136" s="199">
        <f>CLIENTES!AV221</f>
        <v>0</v>
      </c>
      <c r="AU136" s="199">
        <f>CLIENTES!AW221</f>
        <v>0</v>
      </c>
      <c r="AV136" s="199">
        <f>CLIENTES!AX221</f>
        <v>0</v>
      </c>
      <c r="AW136" s="199">
        <f>CLIENTES!AY221</f>
        <v>0</v>
      </c>
      <c r="AX136" s="199">
        <f>CLIENTES!AZ221</f>
        <v>0</v>
      </c>
      <c r="AY136" s="199">
        <f>CLIENTES!BA221</f>
        <v>0</v>
      </c>
      <c r="AZ136" s="214">
        <f>CLIENTES!BB221</f>
        <v>0</v>
      </c>
      <c r="BA136" s="199">
        <f>CLIENTES!BC221</f>
        <v>0</v>
      </c>
      <c r="BB136" s="199">
        <f>CLIENTES!BD221</f>
        <v>0</v>
      </c>
      <c r="BC136" s="199">
        <f>CLIENTES!BE221</f>
        <v>0</v>
      </c>
      <c r="BD136" s="199">
        <f>CLIENTES!BF221</f>
        <v>0</v>
      </c>
      <c r="BE136" s="199">
        <f>CLIENTES!BG221</f>
        <v>0</v>
      </c>
      <c r="BF136" s="199">
        <f>CLIENTES!BH221</f>
        <v>0</v>
      </c>
      <c r="BG136" s="199">
        <f>CLIENTES!BI221</f>
        <v>0</v>
      </c>
      <c r="BH136" s="199">
        <f>CLIENTES!BJ221</f>
        <v>0</v>
      </c>
      <c r="BI136" s="199">
        <f>CLIENTES!BK221</f>
        <v>0</v>
      </c>
      <c r="BJ136" s="199">
        <f>CLIENTES!BL221</f>
        <v>0</v>
      </c>
      <c r="BK136" s="199">
        <f>CLIENTES!BM221</f>
        <v>0</v>
      </c>
      <c r="BL136" s="199">
        <f>CLIENTES!BN221</f>
        <v>0</v>
      </c>
    </row>
    <row r="137" spans="2:84" x14ac:dyDescent="0.2">
      <c r="B137" s="326"/>
      <c r="C137" s="23" t="s">
        <v>9</v>
      </c>
      <c r="D137" s="27">
        <f>SUM(E137:BL137)</f>
        <v>0</v>
      </c>
      <c r="E137" s="132">
        <f>CLIENTES!F222</f>
        <v>0</v>
      </c>
      <c r="F137" s="132">
        <f>CLIENTES!H222</f>
        <v>0</v>
      </c>
      <c r="G137" s="132">
        <f>CLIENTES!I222</f>
        <v>0</v>
      </c>
      <c r="H137" s="132">
        <f>CLIENTES!J222</f>
        <v>0</v>
      </c>
      <c r="I137" s="132">
        <f>CLIENTES!K222</f>
        <v>0</v>
      </c>
      <c r="J137" s="132">
        <f>CLIENTES!L222</f>
        <v>0</v>
      </c>
      <c r="K137" s="132">
        <f>CLIENTES!M222</f>
        <v>0</v>
      </c>
      <c r="L137" s="132">
        <f>CLIENTES!N222</f>
        <v>0</v>
      </c>
      <c r="M137" s="132">
        <f>CLIENTES!O222</f>
        <v>0</v>
      </c>
      <c r="N137" s="132">
        <f>CLIENTES!P222</f>
        <v>0</v>
      </c>
      <c r="O137" s="132">
        <f>CLIENTES!Q222</f>
        <v>0</v>
      </c>
      <c r="P137" s="132">
        <f>CLIENTES!R222</f>
        <v>0</v>
      </c>
      <c r="Q137" s="132">
        <f>CLIENTES!S222</f>
        <v>0</v>
      </c>
      <c r="R137" s="132">
        <f>CLIENTES!T222</f>
        <v>0</v>
      </c>
      <c r="S137" s="132">
        <f>CLIENTES!U222</f>
        <v>0</v>
      </c>
      <c r="T137" s="132">
        <f>CLIENTES!V222</f>
        <v>0</v>
      </c>
      <c r="U137" s="132">
        <f>CLIENTES!W222</f>
        <v>0</v>
      </c>
      <c r="V137" s="132">
        <f>CLIENTES!X222</f>
        <v>0</v>
      </c>
      <c r="W137" s="132">
        <f>CLIENTES!Y222</f>
        <v>0</v>
      </c>
      <c r="X137" s="132">
        <f>CLIENTES!Z222</f>
        <v>0</v>
      </c>
      <c r="Y137" s="132">
        <f>CLIENTES!AA222</f>
        <v>0</v>
      </c>
      <c r="Z137" s="132">
        <f>CLIENTES!AB222</f>
        <v>0</v>
      </c>
      <c r="AA137" s="132">
        <f>CLIENTES!AC222</f>
        <v>0</v>
      </c>
      <c r="AB137" s="132">
        <f>CLIENTES!AD222</f>
        <v>0</v>
      </c>
      <c r="AC137" s="132">
        <f>CLIENTES!AE222</f>
        <v>0</v>
      </c>
      <c r="AD137" s="132">
        <f>CLIENTES!AF222</f>
        <v>0</v>
      </c>
      <c r="AE137" s="132">
        <f>CLIENTES!AG222</f>
        <v>0</v>
      </c>
      <c r="AF137" s="132">
        <f>CLIENTES!AH222</f>
        <v>0</v>
      </c>
      <c r="AG137" s="132">
        <f>CLIENTES!AI222</f>
        <v>0</v>
      </c>
      <c r="AH137" s="132">
        <f>CLIENTES!AJ222</f>
        <v>0</v>
      </c>
      <c r="AI137" s="132">
        <f>CLIENTES!AK222</f>
        <v>0</v>
      </c>
      <c r="AJ137" s="132">
        <f>CLIENTES!AL222</f>
        <v>0</v>
      </c>
      <c r="AK137" s="132">
        <f>CLIENTES!AM222</f>
        <v>0</v>
      </c>
      <c r="AL137" s="132">
        <f>CLIENTES!AN222</f>
        <v>0</v>
      </c>
      <c r="AM137" s="132">
        <f>CLIENTES!AO222</f>
        <v>0</v>
      </c>
      <c r="AN137" s="132">
        <f>CLIENTES!AP222</f>
        <v>0</v>
      </c>
      <c r="AO137" s="132">
        <f>CLIENTES!AQ222</f>
        <v>0</v>
      </c>
      <c r="AP137" s="132">
        <f>CLIENTES!AR222</f>
        <v>0</v>
      </c>
      <c r="AQ137" s="132">
        <f>CLIENTES!AS222</f>
        <v>0</v>
      </c>
      <c r="AR137" s="132">
        <f>CLIENTES!AT222</f>
        <v>0</v>
      </c>
      <c r="AS137" s="132">
        <f>CLIENTES!AU222</f>
        <v>0</v>
      </c>
      <c r="AT137" s="132">
        <f>CLIENTES!AV222</f>
        <v>0</v>
      </c>
      <c r="AU137" s="132">
        <f>CLIENTES!AW222</f>
        <v>0</v>
      </c>
      <c r="AV137" s="132">
        <f>CLIENTES!AX222</f>
        <v>0</v>
      </c>
      <c r="AW137" s="132">
        <f>CLIENTES!AY222</f>
        <v>0</v>
      </c>
      <c r="AX137" s="132">
        <f>CLIENTES!AZ222</f>
        <v>0</v>
      </c>
      <c r="AY137" s="132">
        <f>CLIENTES!BA222</f>
        <v>0</v>
      </c>
      <c r="AZ137" s="139">
        <f>CLIENTES!BB222</f>
        <v>0</v>
      </c>
      <c r="BA137" s="132">
        <f>CLIENTES!BC222</f>
        <v>0</v>
      </c>
      <c r="BB137" s="132">
        <f>CLIENTES!BD222</f>
        <v>0</v>
      </c>
      <c r="BC137" s="132">
        <f>CLIENTES!BE222</f>
        <v>0</v>
      </c>
      <c r="BD137" s="132">
        <f>CLIENTES!BF222</f>
        <v>0</v>
      </c>
      <c r="BE137" s="132">
        <f>CLIENTES!BG222</f>
        <v>0</v>
      </c>
      <c r="BF137" s="132">
        <f>CLIENTES!BH222</f>
        <v>0</v>
      </c>
      <c r="BG137" s="132">
        <f>CLIENTES!BI222</f>
        <v>0</v>
      </c>
      <c r="BH137" s="132">
        <f>CLIENTES!BJ222</f>
        <v>0</v>
      </c>
      <c r="BI137" s="132">
        <f>CLIENTES!BK222</f>
        <v>0</v>
      </c>
      <c r="BJ137" s="132">
        <f>CLIENTES!BL222</f>
        <v>0</v>
      </c>
      <c r="BK137" s="132">
        <f>CLIENTES!BM222</f>
        <v>0</v>
      </c>
      <c r="BL137" s="132">
        <f>CLIENTES!BN222</f>
        <v>0</v>
      </c>
    </row>
    <row r="138" spans="2:84" x14ac:dyDescent="0.2">
      <c r="B138" s="326"/>
      <c r="C138" s="23" t="s">
        <v>10</v>
      </c>
      <c r="D138" s="72">
        <v>8.9999999999999993E-3</v>
      </c>
      <c r="E138" s="200">
        <f>CLIENTES!F224</f>
        <v>8.9999999999999993E-3</v>
      </c>
      <c r="F138" s="200">
        <f>CLIENTES!H224</f>
        <v>8.9999999999999993E-3</v>
      </c>
      <c r="G138" s="200">
        <f>CLIENTES!I224</f>
        <v>8.9999999999999993E-3</v>
      </c>
      <c r="H138" s="200">
        <f>CLIENTES!J224</f>
        <v>8.9999999999999993E-3</v>
      </c>
      <c r="I138" s="200">
        <f>CLIENTES!K224</f>
        <v>8.9999999999999993E-3</v>
      </c>
      <c r="J138" s="200">
        <f>CLIENTES!L224</f>
        <v>8.9999999999999993E-3</v>
      </c>
      <c r="K138" s="200">
        <f>CLIENTES!M224</f>
        <v>8.9999999999999993E-3</v>
      </c>
      <c r="L138" s="200">
        <f>CLIENTES!N224</f>
        <v>8.9999999999999993E-3</v>
      </c>
      <c r="M138" s="200">
        <f>CLIENTES!O224</f>
        <v>8.9999999999999993E-3</v>
      </c>
      <c r="N138" s="200">
        <f>CLIENTES!P224</f>
        <v>8.9999999999999993E-3</v>
      </c>
      <c r="O138" s="200">
        <f>CLIENTES!Q224</f>
        <v>8.9999999999999993E-3</v>
      </c>
      <c r="P138" s="200">
        <f>CLIENTES!R224</f>
        <v>8.9999999999999993E-3</v>
      </c>
      <c r="Q138" s="200">
        <f>CLIENTES!S224</f>
        <v>8.9999999999999993E-3</v>
      </c>
      <c r="R138" s="200">
        <f>CLIENTES!T224</f>
        <v>8.9999999999999993E-3</v>
      </c>
      <c r="S138" s="200">
        <f>CLIENTES!U224</f>
        <v>8.9999999999999993E-3</v>
      </c>
      <c r="T138" s="200">
        <f>CLIENTES!V224</f>
        <v>8.9999999999999993E-3</v>
      </c>
      <c r="U138" s="200">
        <f>CLIENTES!W224</f>
        <v>8.9999999999999993E-3</v>
      </c>
      <c r="V138" s="200">
        <f>CLIENTES!X224</f>
        <v>8.9999999999999993E-3</v>
      </c>
      <c r="W138" s="200">
        <f>CLIENTES!Y224</f>
        <v>8.9999999999999993E-3</v>
      </c>
      <c r="X138" s="200">
        <f>CLIENTES!Z224</f>
        <v>8.9999999999999993E-3</v>
      </c>
      <c r="Y138" s="200">
        <f>CLIENTES!AA224</f>
        <v>8.9999999999999993E-3</v>
      </c>
      <c r="Z138" s="200">
        <f>CLIENTES!AB224</f>
        <v>8.9999999999999993E-3</v>
      </c>
      <c r="AA138" s="200">
        <f>CLIENTES!AC224</f>
        <v>8.9999999999999993E-3</v>
      </c>
      <c r="AB138" s="200">
        <f>CLIENTES!AD224</f>
        <v>8.9999999999999993E-3</v>
      </c>
      <c r="AC138" s="200">
        <f>CLIENTES!AE224</f>
        <v>8.9999999999999993E-3</v>
      </c>
      <c r="AD138" s="200">
        <f>CLIENTES!AF224</f>
        <v>8.9999999999999993E-3</v>
      </c>
      <c r="AE138" s="200">
        <f>CLIENTES!AG224</f>
        <v>8.9999999999999993E-3</v>
      </c>
      <c r="AF138" s="200">
        <f>CLIENTES!AH224</f>
        <v>8.9999999999999993E-3</v>
      </c>
      <c r="AG138" s="200">
        <f>CLIENTES!AI224</f>
        <v>8.9999999999999993E-3</v>
      </c>
      <c r="AH138" s="200">
        <f>CLIENTES!AJ224</f>
        <v>8.9999999999999993E-3</v>
      </c>
      <c r="AI138" s="200">
        <f>CLIENTES!AK224</f>
        <v>8.9999999999999993E-3</v>
      </c>
      <c r="AJ138" s="200">
        <f>CLIENTES!AL224</f>
        <v>8.9999999999999993E-3</v>
      </c>
      <c r="AK138" s="200">
        <f>CLIENTES!AM224</f>
        <v>8.9999999999999993E-3</v>
      </c>
      <c r="AL138" s="200">
        <f>CLIENTES!AN224</f>
        <v>8.9999999999999993E-3</v>
      </c>
      <c r="AM138" s="200">
        <f>CLIENTES!AO224</f>
        <v>8.9999999999999993E-3</v>
      </c>
      <c r="AN138" s="200">
        <f>CLIENTES!AP224</f>
        <v>8.9999999999999993E-3</v>
      </c>
      <c r="AO138" s="200">
        <f>CLIENTES!AQ224</f>
        <v>8.9999999999999993E-3</v>
      </c>
      <c r="AP138" s="200">
        <f>CLIENTES!AR224</f>
        <v>8.9999999999999993E-3</v>
      </c>
      <c r="AQ138" s="200">
        <f>CLIENTES!AS224</f>
        <v>8.9999999999999993E-3</v>
      </c>
      <c r="AR138" s="200">
        <f>CLIENTES!AT224</f>
        <v>8.9999999999999993E-3</v>
      </c>
      <c r="AS138" s="200">
        <f>CLIENTES!AU224</f>
        <v>8.9999999999999993E-3</v>
      </c>
      <c r="AT138" s="200">
        <f>CLIENTES!AV224</f>
        <v>8.9999999999999993E-3</v>
      </c>
      <c r="AU138" s="200">
        <f>CLIENTES!AW224</f>
        <v>8.9999999999999993E-3</v>
      </c>
      <c r="AV138" s="200">
        <f>CLIENTES!AX224</f>
        <v>8.9999999999999993E-3</v>
      </c>
      <c r="AW138" s="200">
        <f>CLIENTES!AY224</f>
        <v>8.9999999999999993E-3</v>
      </c>
      <c r="AX138" s="200">
        <f>CLIENTES!AZ224</f>
        <v>8.9999999999999993E-3</v>
      </c>
      <c r="AY138" s="200">
        <f>CLIENTES!BA224</f>
        <v>8.9999999999999993E-3</v>
      </c>
      <c r="AZ138" s="215">
        <f>CLIENTES!BB224</f>
        <v>8.9999999999999993E-3</v>
      </c>
      <c r="BA138" s="200">
        <f>CLIENTES!BC224</f>
        <v>8.9999999999999993E-3</v>
      </c>
      <c r="BB138" s="200">
        <f>CLIENTES!BD224</f>
        <v>8.9999999999999993E-3</v>
      </c>
      <c r="BC138" s="200">
        <f>CLIENTES!BE224</f>
        <v>8.9999999999999993E-3</v>
      </c>
      <c r="BD138" s="200">
        <f>CLIENTES!BF224</f>
        <v>8.9999999999999993E-3</v>
      </c>
      <c r="BE138" s="200">
        <f>CLIENTES!BG224</f>
        <v>8.9999999999999993E-3</v>
      </c>
      <c r="BF138" s="200">
        <f>CLIENTES!BH224</f>
        <v>8.9999999999999993E-3</v>
      </c>
      <c r="BG138" s="200">
        <f>CLIENTES!BI224</f>
        <v>8.9999999999999993E-3</v>
      </c>
      <c r="BH138" s="200">
        <f>CLIENTES!BJ224</f>
        <v>8.9999999999999993E-3</v>
      </c>
      <c r="BI138" s="200">
        <f>CLIENTES!BK224</f>
        <v>8.9999999999999993E-3</v>
      </c>
      <c r="BJ138" s="200">
        <f>CLIENTES!BL224</f>
        <v>8.9999999999999993E-3</v>
      </c>
      <c r="BK138" s="200">
        <f>CLIENTES!BM224</f>
        <v>8.9999999999999993E-3</v>
      </c>
      <c r="BL138" s="200">
        <f>CLIENTES!BN224</f>
        <v>8.9999999999999993E-3</v>
      </c>
    </row>
    <row r="139" spans="2:84" x14ac:dyDescent="0.2">
      <c r="B139" s="326"/>
      <c r="C139" s="58" t="s">
        <v>23</v>
      </c>
      <c r="D139" s="27">
        <f>SUM(E139:BL139)</f>
        <v>25860.745387887437</v>
      </c>
      <c r="E139" s="139">
        <f>IF((E135+E136-E137)*E138&lt;0,0,(E135+E136-E137)*E138)</f>
        <v>13559.90598522029</v>
      </c>
      <c r="F139" s="139">
        <f>IF((F135+F136-F137)*F138&lt;0,0,(F135+F136-F137)*F138)</f>
        <v>12300.839402667149</v>
      </c>
      <c r="G139" s="139">
        <f t="shared" ref="G139:BL139" si="59">IF((G135+G136-G137)*G138&lt;0,0,(G135+G136-G137)*G138)</f>
        <v>0</v>
      </c>
      <c r="H139" s="139">
        <f t="shared" si="59"/>
        <v>0</v>
      </c>
      <c r="I139" s="139">
        <f t="shared" si="59"/>
        <v>0</v>
      </c>
      <c r="J139" s="139">
        <f t="shared" si="59"/>
        <v>0</v>
      </c>
      <c r="K139" s="139">
        <f t="shared" si="59"/>
        <v>0</v>
      </c>
      <c r="L139" s="139">
        <f t="shared" si="59"/>
        <v>0</v>
      </c>
      <c r="M139" s="139">
        <f t="shared" si="59"/>
        <v>0</v>
      </c>
      <c r="N139" s="139">
        <f t="shared" si="59"/>
        <v>0</v>
      </c>
      <c r="O139" s="139">
        <f t="shared" si="59"/>
        <v>0</v>
      </c>
      <c r="P139" s="139">
        <f t="shared" si="59"/>
        <v>0</v>
      </c>
      <c r="Q139" s="139">
        <f t="shared" si="59"/>
        <v>0</v>
      </c>
      <c r="R139" s="139">
        <f t="shared" si="59"/>
        <v>0</v>
      </c>
      <c r="S139" s="139">
        <f t="shared" si="59"/>
        <v>0</v>
      </c>
      <c r="T139" s="139">
        <f t="shared" si="59"/>
        <v>0</v>
      </c>
      <c r="U139" s="139">
        <f t="shared" si="59"/>
        <v>0</v>
      </c>
      <c r="V139" s="139">
        <f t="shared" si="59"/>
        <v>0</v>
      </c>
      <c r="W139" s="139">
        <f t="shared" si="59"/>
        <v>0</v>
      </c>
      <c r="X139" s="139">
        <f t="shared" si="59"/>
        <v>0</v>
      </c>
      <c r="Y139" s="139">
        <f t="shared" si="59"/>
        <v>0</v>
      </c>
      <c r="Z139" s="139">
        <f t="shared" si="59"/>
        <v>0</v>
      </c>
      <c r="AA139" s="139">
        <f t="shared" si="59"/>
        <v>0</v>
      </c>
      <c r="AB139" s="139">
        <f t="shared" si="59"/>
        <v>0</v>
      </c>
      <c r="AC139" s="139">
        <f t="shared" si="59"/>
        <v>0</v>
      </c>
      <c r="AD139" s="139">
        <f t="shared" si="59"/>
        <v>0</v>
      </c>
      <c r="AE139" s="139">
        <f t="shared" si="59"/>
        <v>0</v>
      </c>
      <c r="AF139" s="139">
        <f t="shared" si="59"/>
        <v>0</v>
      </c>
      <c r="AG139" s="139">
        <f t="shared" si="59"/>
        <v>0</v>
      </c>
      <c r="AH139" s="139">
        <f t="shared" si="59"/>
        <v>0</v>
      </c>
      <c r="AI139" s="139">
        <f t="shared" si="59"/>
        <v>0</v>
      </c>
      <c r="AJ139" s="139">
        <f t="shared" si="59"/>
        <v>0</v>
      </c>
      <c r="AK139" s="139">
        <f t="shared" si="59"/>
        <v>0</v>
      </c>
      <c r="AL139" s="139">
        <f t="shared" si="59"/>
        <v>0</v>
      </c>
      <c r="AM139" s="139">
        <f t="shared" si="59"/>
        <v>0</v>
      </c>
      <c r="AN139" s="139">
        <f t="shared" si="59"/>
        <v>0</v>
      </c>
      <c r="AO139" s="139">
        <f t="shared" si="59"/>
        <v>0</v>
      </c>
      <c r="AP139" s="139">
        <f t="shared" si="59"/>
        <v>0</v>
      </c>
      <c r="AQ139" s="139">
        <f t="shared" si="59"/>
        <v>0</v>
      </c>
      <c r="AR139" s="139">
        <f t="shared" si="59"/>
        <v>0</v>
      </c>
      <c r="AS139" s="139">
        <f t="shared" si="59"/>
        <v>0</v>
      </c>
      <c r="AT139" s="139">
        <f t="shared" si="59"/>
        <v>0</v>
      </c>
      <c r="AU139" s="139">
        <f t="shared" si="59"/>
        <v>0</v>
      </c>
      <c r="AV139" s="139">
        <f t="shared" si="59"/>
        <v>0</v>
      </c>
      <c r="AW139" s="139">
        <f t="shared" si="59"/>
        <v>0</v>
      </c>
      <c r="AX139" s="139">
        <f t="shared" si="59"/>
        <v>0</v>
      </c>
      <c r="AY139" s="139">
        <f t="shared" si="59"/>
        <v>0</v>
      </c>
      <c r="AZ139" s="139">
        <f t="shared" si="59"/>
        <v>0</v>
      </c>
      <c r="BA139" s="139">
        <f t="shared" si="59"/>
        <v>0</v>
      </c>
      <c r="BB139" s="139">
        <f t="shared" si="59"/>
        <v>0</v>
      </c>
      <c r="BC139" s="139">
        <f t="shared" si="59"/>
        <v>0</v>
      </c>
      <c r="BD139" s="139">
        <f t="shared" si="59"/>
        <v>0</v>
      </c>
      <c r="BE139" s="139">
        <f t="shared" si="59"/>
        <v>0</v>
      </c>
      <c r="BF139" s="139">
        <f t="shared" si="59"/>
        <v>0</v>
      </c>
      <c r="BG139" s="139">
        <f t="shared" si="59"/>
        <v>0</v>
      </c>
      <c r="BH139" s="139">
        <f t="shared" si="59"/>
        <v>0</v>
      </c>
      <c r="BI139" s="139">
        <f t="shared" si="59"/>
        <v>0</v>
      </c>
      <c r="BJ139" s="139">
        <f t="shared" si="59"/>
        <v>0</v>
      </c>
      <c r="BK139" s="139">
        <f t="shared" si="59"/>
        <v>0</v>
      </c>
      <c r="BL139" s="139">
        <f t="shared" si="59"/>
        <v>0</v>
      </c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</row>
    <row r="140" spans="2:84" ht="13.5" thickBot="1" x14ac:dyDescent="0.25">
      <c r="B140" s="327"/>
      <c r="C140" s="25" t="s">
        <v>22</v>
      </c>
      <c r="D140" s="30">
        <f>SUM(E140:BL140)</f>
        <v>2899276.8995976029</v>
      </c>
      <c r="E140" s="146">
        <f>+E135-E137+E136+E139</f>
        <v>1520216.1265652527</v>
      </c>
      <c r="F140" s="146">
        <f>+F135-F137+F136+F139</f>
        <v>1379060.7730323505</v>
      </c>
      <c r="G140" s="146">
        <f t="shared" ref="G140:BL140" si="60">+G135-G137+G136+G139</f>
        <v>0</v>
      </c>
      <c r="H140" s="146">
        <f t="shared" si="60"/>
        <v>0</v>
      </c>
      <c r="I140" s="146">
        <f t="shared" si="60"/>
        <v>0</v>
      </c>
      <c r="J140" s="146">
        <f t="shared" si="60"/>
        <v>0</v>
      </c>
      <c r="K140" s="146">
        <f t="shared" si="60"/>
        <v>0</v>
      </c>
      <c r="L140" s="146">
        <f t="shared" si="60"/>
        <v>0</v>
      </c>
      <c r="M140" s="146">
        <f t="shared" si="60"/>
        <v>0</v>
      </c>
      <c r="N140" s="146">
        <f t="shared" si="60"/>
        <v>0</v>
      </c>
      <c r="O140" s="146">
        <f t="shared" si="60"/>
        <v>0</v>
      </c>
      <c r="P140" s="146">
        <f t="shared" si="60"/>
        <v>0</v>
      </c>
      <c r="Q140" s="146">
        <f t="shared" si="60"/>
        <v>0</v>
      </c>
      <c r="R140" s="146">
        <f t="shared" si="60"/>
        <v>0</v>
      </c>
      <c r="S140" s="146">
        <f t="shared" si="60"/>
        <v>0</v>
      </c>
      <c r="T140" s="146">
        <f t="shared" si="60"/>
        <v>0</v>
      </c>
      <c r="U140" s="146">
        <f t="shared" si="60"/>
        <v>0</v>
      </c>
      <c r="V140" s="146">
        <f t="shared" si="60"/>
        <v>0</v>
      </c>
      <c r="W140" s="146">
        <f t="shared" si="60"/>
        <v>0</v>
      </c>
      <c r="X140" s="146">
        <f t="shared" si="60"/>
        <v>0</v>
      </c>
      <c r="Y140" s="146">
        <f t="shared" si="60"/>
        <v>0</v>
      </c>
      <c r="Z140" s="146">
        <f t="shared" si="60"/>
        <v>0</v>
      </c>
      <c r="AA140" s="146">
        <f t="shared" si="60"/>
        <v>0</v>
      </c>
      <c r="AB140" s="146">
        <f t="shared" si="60"/>
        <v>0</v>
      </c>
      <c r="AC140" s="146">
        <f t="shared" si="60"/>
        <v>0</v>
      </c>
      <c r="AD140" s="146">
        <f t="shared" si="60"/>
        <v>0</v>
      </c>
      <c r="AE140" s="146">
        <f t="shared" si="60"/>
        <v>0</v>
      </c>
      <c r="AF140" s="146">
        <f t="shared" si="60"/>
        <v>0</v>
      </c>
      <c r="AG140" s="146">
        <f>+AG135-AG137+AG136+AG139</f>
        <v>0</v>
      </c>
      <c r="AH140" s="146">
        <f t="shared" si="60"/>
        <v>0</v>
      </c>
      <c r="AI140" s="146">
        <f t="shared" si="60"/>
        <v>0</v>
      </c>
      <c r="AJ140" s="146">
        <f t="shared" si="60"/>
        <v>0</v>
      </c>
      <c r="AK140" s="146">
        <f t="shared" si="60"/>
        <v>0</v>
      </c>
      <c r="AL140" s="146">
        <f t="shared" si="60"/>
        <v>0</v>
      </c>
      <c r="AM140" s="146">
        <f t="shared" si="60"/>
        <v>0</v>
      </c>
      <c r="AN140" s="146">
        <f t="shared" si="60"/>
        <v>0</v>
      </c>
      <c r="AO140" s="146">
        <f t="shared" si="60"/>
        <v>0</v>
      </c>
      <c r="AP140" s="146">
        <f t="shared" si="60"/>
        <v>0</v>
      </c>
      <c r="AQ140" s="146">
        <f t="shared" si="60"/>
        <v>0</v>
      </c>
      <c r="AR140" s="146">
        <f t="shared" si="60"/>
        <v>0</v>
      </c>
      <c r="AS140" s="146">
        <f>+AS135-AS137+AS136+AS139</f>
        <v>0</v>
      </c>
      <c r="AT140" s="146">
        <f t="shared" si="60"/>
        <v>0</v>
      </c>
      <c r="AU140" s="146">
        <f t="shared" si="60"/>
        <v>0</v>
      </c>
      <c r="AV140" s="146">
        <f t="shared" si="60"/>
        <v>0</v>
      </c>
      <c r="AW140" s="146">
        <f t="shared" si="60"/>
        <v>0</v>
      </c>
      <c r="AX140" s="146">
        <f t="shared" si="60"/>
        <v>0</v>
      </c>
      <c r="AY140" s="146">
        <f t="shared" si="60"/>
        <v>0</v>
      </c>
      <c r="AZ140" s="146">
        <f t="shared" si="60"/>
        <v>0</v>
      </c>
      <c r="BA140" s="146">
        <f t="shared" si="60"/>
        <v>0</v>
      </c>
      <c r="BB140" s="146">
        <f t="shared" si="60"/>
        <v>0</v>
      </c>
      <c r="BC140" s="146">
        <f t="shared" si="60"/>
        <v>0</v>
      </c>
      <c r="BD140" s="146">
        <f t="shared" si="60"/>
        <v>0</v>
      </c>
      <c r="BE140" s="146">
        <f>+BE135-BE137+BE136+BE139</f>
        <v>0</v>
      </c>
      <c r="BF140" s="146">
        <f t="shared" si="60"/>
        <v>0</v>
      </c>
      <c r="BG140" s="146">
        <f t="shared" si="60"/>
        <v>0</v>
      </c>
      <c r="BH140" s="146">
        <f t="shared" si="60"/>
        <v>0</v>
      </c>
      <c r="BI140" s="146">
        <f t="shared" si="60"/>
        <v>0</v>
      </c>
      <c r="BJ140" s="146">
        <f t="shared" si="60"/>
        <v>0</v>
      </c>
      <c r="BK140" s="146">
        <f t="shared" si="60"/>
        <v>0</v>
      </c>
      <c r="BL140" s="146">
        <f t="shared" si="60"/>
        <v>0</v>
      </c>
    </row>
    <row r="141" spans="2:84" x14ac:dyDescent="0.2">
      <c r="B141" s="325">
        <v>44378</v>
      </c>
      <c r="C141" s="62" t="s">
        <v>6</v>
      </c>
      <c r="D141" s="31">
        <f>SUM(E141:BL141)</f>
        <v>50000</v>
      </c>
      <c r="E141" s="199">
        <f>CLIENTES!F229</f>
        <v>0</v>
      </c>
      <c r="F141" s="199">
        <f>CLIENTES!H229</f>
        <v>50000</v>
      </c>
      <c r="G141" s="199">
        <f>CLIENTES!I229</f>
        <v>0</v>
      </c>
      <c r="H141" s="199">
        <f>CLIENTES!J229</f>
        <v>0</v>
      </c>
      <c r="I141" s="199">
        <f>CLIENTES!K229</f>
        <v>0</v>
      </c>
      <c r="J141" s="199">
        <f>CLIENTES!L229</f>
        <v>0</v>
      </c>
      <c r="K141" s="199">
        <f>CLIENTES!M229</f>
        <v>0</v>
      </c>
      <c r="L141" s="199">
        <f>CLIENTES!N229</f>
        <v>0</v>
      </c>
      <c r="M141" s="199">
        <f>CLIENTES!O229</f>
        <v>0</v>
      </c>
      <c r="N141" s="199">
        <f>CLIENTES!P229</f>
        <v>0</v>
      </c>
      <c r="O141" s="199">
        <f>CLIENTES!Q229</f>
        <v>0</v>
      </c>
      <c r="P141" s="199">
        <f>CLIENTES!R229</f>
        <v>0</v>
      </c>
      <c r="Q141" s="199">
        <f>CLIENTES!S229</f>
        <v>0</v>
      </c>
      <c r="R141" s="199">
        <f>CLIENTES!T229</f>
        <v>0</v>
      </c>
      <c r="S141" s="199">
        <f>CLIENTES!U229</f>
        <v>0</v>
      </c>
      <c r="T141" s="199">
        <f>CLIENTES!V229</f>
        <v>0</v>
      </c>
      <c r="U141" s="199">
        <f>CLIENTES!W229</f>
        <v>0</v>
      </c>
      <c r="V141" s="199">
        <f>CLIENTES!X229</f>
        <v>0</v>
      </c>
      <c r="W141" s="199">
        <f>CLIENTES!Y229</f>
        <v>0</v>
      </c>
      <c r="X141" s="199">
        <f>CLIENTES!Z229</f>
        <v>0</v>
      </c>
      <c r="Y141" s="199">
        <f>CLIENTES!AA229</f>
        <v>0</v>
      </c>
      <c r="Z141" s="199">
        <f>CLIENTES!AB229</f>
        <v>0</v>
      </c>
      <c r="AA141" s="199">
        <f>CLIENTES!AC229</f>
        <v>0</v>
      </c>
      <c r="AB141" s="199">
        <f>CLIENTES!AD229</f>
        <v>0</v>
      </c>
      <c r="AC141" s="199">
        <f>CLIENTES!AE229</f>
        <v>0</v>
      </c>
      <c r="AD141" s="199">
        <f>CLIENTES!AF229</f>
        <v>0</v>
      </c>
      <c r="AE141" s="199">
        <f>CLIENTES!AG229</f>
        <v>0</v>
      </c>
      <c r="AF141" s="199">
        <f>CLIENTES!AH229</f>
        <v>0</v>
      </c>
      <c r="AG141" s="199">
        <f>CLIENTES!AI229</f>
        <v>0</v>
      </c>
      <c r="AH141" s="199">
        <f>CLIENTES!AJ229</f>
        <v>0</v>
      </c>
      <c r="AI141" s="199">
        <f>CLIENTES!AK229</f>
        <v>0</v>
      </c>
      <c r="AJ141" s="199">
        <f>CLIENTES!AL229</f>
        <v>0</v>
      </c>
      <c r="AK141" s="199">
        <f>CLIENTES!AM229</f>
        <v>0</v>
      </c>
      <c r="AL141" s="199">
        <f>CLIENTES!AN229</f>
        <v>0</v>
      </c>
      <c r="AM141" s="199">
        <f>CLIENTES!AO229</f>
        <v>0</v>
      </c>
      <c r="AN141" s="199">
        <f>CLIENTES!AP229</f>
        <v>0</v>
      </c>
      <c r="AO141" s="199">
        <f>CLIENTES!AQ229</f>
        <v>0</v>
      </c>
      <c r="AP141" s="199">
        <f>CLIENTES!AR229</f>
        <v>0</v>
      </c>
      <c r="AQ141" s="199">
        <f>CLIENTES!AS229</f>
        <v>0</v>
      </c>
      <c r="AR141" s="199">
        <f>CLIENTES!AT229</f>
        <v>0</v>
      </c>
      <c r="AS141" s="199">
        <f>CLIENTES!AU229</f>
        <v>0</v>
      </c>
      <c r="AT141" s="199">
        <f>CLIENTES!AV229</f>
        <v>0</v>
      </c>
      <c r="AU141" s="199">
        <f>CLIENTES!AW229</f>
        <v>0</v>
      </c>
      <c r="AV141" s="199">
        <f>CLIENTES!AX229</f>
        <v>0</v>
      </c>
      <c r="AW141" s="199">
        <f>CLIENTES!AY229</f>
        <v>0</v>
      </c>
      <c r="AX141" s="199">
        <f>CLIENTES!AZ229</f>
        <v>0</v>
      </c>
      <c r="AY141" s="199">
        <f>CLIENTES!BA229</f>
        <v>0</v>
      </c>
      <c r="AZ141" s="214">
        <f>CLIENTES!BB229</f>
        <v>0</v>
      </c>
      <c r="BA141" s="199">
        <f>CLIENTES!BC229</f>
        <v>0</v>
      </c>
      <c r="BB141" s="199">
        <f>CLIENTES!BD229</f>
        <v>0</v>
      </c>
      <c r="BC141" s="199">
        <f>CLIENTES!BE229</f>
        <v>0</v>
      </c>
      <c r="BD141" s="199">
        <f>CLIENTES!BF229</f>
        <v>0</v>
      </c>
      <c r="BE141" s="199">
        <f>CLIENTES!BG229</f>
        <v>0</v>
      </c>
      <c r="BF141" s="199">
        <f>CLIENTES!BH229</f>
        <v>0</v>
      </c>
      <c r="BG141" s="199">
        <f>CLIENTES!BI229</f>
        <v>0</v>
      </c>
      <c r="BH141" s="199">
        <f>CLIENTES!BJ229</f>
        <v>0</v>
      </c>
      <c r="BI141" s="199">
        <f>CLIENTES!BK229</f>
        <v>0</v>
      </c>
      <c r="BJ141" s="199">
        <f>CLIENTES!BL229</f>
        <v>0</v>
      </c>
      <c r="BK141" s="199">
        <f>CLIENTES!BM229</f>
        <v>0</v>
      </c>
      <c r="BL141" s="199">
        <f>CLIENTES!BN229</f>
        <v>0</v>
      </c>
    </row>
    <row r="142" spans="2:84" x14ac:dyDescent="0.2">
      <c r="B142" s="326"/>
      <c r="C142" s="23" t="s">
        <v>9</v>
      </c>
      <c r="D142" s="27">
        <f>SUM(E142:BL142)</f>
        <v>0</v>
      </c>
      <c r="E142" s="132">
        <f>CLIENTES!F230</f>
        <v>0</v>
      </c>
      <c r="F142" s="132">
        <f>CLIENTES!H230</f>
        <v>0</v>
      </c>
      <c r="G142" s="132">
        <f>CLIENTES!I230</f>
        <v>0</v>
      </c>
      <c r="H142" s="132">
        <f>CLIENTES!J230</f>
        <v>0</v>
      </c>
      <c r="I142" s="132">
        <f>CLIENTES!K230</f>
        <v>0</v>
      </c>
      <c r="J142" s="132">
        <f>CLIENTES!L230</f>
        <v>0</v>
      </c>
      <c r="K142" s="132">
        <f>CLIENTES!M230</f>
        <v>0</v>
      </c>
      <c r="L142" s="132">
        <f>CLIENTES!N230</f>
        <v>0</v>
      </c>
      <c r="M142" s="132">
        <f>CLIENTES!O230</f>
        <v>0</v>
      </c>
      <c r="N142" s="132">
        <f>CLIENTES!P230</f>
        <v>0</v>
      </c>
      <c r="O142" s="132">
        <f>CLIENTES!Q230</f>
        <v>0</v>
      </c>
      <c r="P142" s="132">
        <f>CLIENTES!R230</f>
        <v>0</v>
      </c>
      <c r="Q142" s="132">
        <f>CLIENTES!S230</f>
        <v>0</v>
      </c>
      <c r="R142" s="132">
        <f>CLIENTES!T230</f>
        <v>0</v>
      </c>
      <c r="S142" s="132">
        <f>CLIENTES!U230</f>
        <v>0</v>
      </c>
      <c r="T142" s="132">
        <f>CLIENTES!V230</f>
        <v>0</v>
      </c>
      <c r="U142" s="132">
        <f>CLIENTES!W230</f>
        <v>0</v>
      </c>
      <c r="V142" s="132">
        <f>CLIENTES!X230</f>
        <v>0</v>
      </c>
      <c r="W142" s="132">
        <f>CLIENTES!Y230</f>
        <v>0</v>
      </c>
      <c r="X142" s="132">
        <f>CLIENTES!Z230</f>
        <v>0</v>
      </c>
      <c r="Y142" s="132">
        <f>CLIENTES!AA230</f>
        <v>0</v>
      </c>
      <c r="Z142" s="132">
        <f>CLIENTES!AB230</f>
        <v>0</v>
      </c>
      <c r="AA142" s="132">
        <f>CLIENTES!AC230</f>
        <v>0</v>
      </c>
      <c r="AB142" s="132">
        <f>CLIENTES!AD230</f>
        <v>0</v>
      </c>
      <c r="AC142" s="132">
        <f>CLIENTES!AE230</f>
        <v>0</v>
      </c>
      <c r="AD142" s="132">
        <f>CLIENTES!AF230</f>
        <v>0</v>
      </c>
      <c r="AE142" s="132">
        <f>CLIENTES!AG230</f>
        <v>0</v>
      </c>
      <c r="AF142" s="132">
        <f>CLIENTES!AH230</f>
        <v>0</v>
      </c>
      <c r="AG142" s="132">
        <f>CLIENTES!AI230</f>
        <v>0</v>
      </c>
      <c r="AH142" s="132">
        <f>CLIENTES!AJ230</f>
        <v>0</v>
      </c>
      <c r="AI142" s="132">
        <f>CLIENTES!AK230</f>
        <v>0</v>
      </c>
      <c r="AJ142" s="132">
        <f>CLIENTES!AL230</f>
        <v>0</v>
      </c>
      <c r="AK142" s="132">
        <f>CLIENTES!AM230</f>
        <v>0</v>
      </c>
      <c r="AL142" s="132">
        <f>CLIENTES!AN230</f>
        <v>0</v>
      </c>
      <c r="AM142" s="132">
        <f>CLIENTES!AO230</f>
        <v>0</v>
      </c>
      <c r="AN142" s="132">
        <f>CLIENTES!AP230</f>
        <v>0</v>
      </c>
      <c r="AO142" s="132">
        <f>CLIENTES!AQ230</f>
        <v>0</v>
      </c>
      <c r="AP142" s="132">
        <f>CLIENTES!AR230</f>
        <v>0</v>
      </c>
      <c r="AQ142" s="132">
        <f>CLIENTES!AS230</f>
        <v>0</v>
      </c>
      <c r="AR142" s="132">
        <f>CLIENTES!AT230</f>
        <v>0</v>
      </c>
      <c r="AS142" s="132">
        <f>CLIENTES!AU230</f>
        <v>0</v>
      </c>
      <c r="AT142" s="132">
        <f>CLIENTES!AV230</f>
        <v>0</v>
      </c>
      <c r="AU142" s="132">
        <f>CLIENTES!AW230</f>
        <v>0</v>
      </c>
      <c r="AV142" s="132">
        <f>CLIENTES!AX230</f>
        <v>0</v>
      </c>
      <c r="AW142" s="132">
        <f>CLIENTES!AY230</f>
        <v>0</v>
      </c>
      <c r="AX142" s="132">
        <f>CLIENTES!AZ230</f>
        <v>0</v>
      </c>
      <c r="AY142" s="132">
        <f>CLIENTES!BA230</f>
        <v>0</v>
      </c>
      <c r="AZ142" s="139">
        <f>CLIENTES!BB230</f>
        <v>0</v>
      </c>
      <c r="BA142" s="132">
        <f>CLIENTES!BC230</f>
        <v>0</v>
      </c>
      <c r="BB142" s="132">
        <f>CLIENTES!BD230</f>
        <v>0</v>
      </c>
      <c r="BC142" s="132">
        <f>CLIENTES!BE230</f>
        <v>0</v>
      </c>
      <c r="BD142" s="132">
        <f>CLIENTES!BF230</f>
        <v>0</v>
      </c>
      <c r="BE142" s="132">
        <f>CLIENTES!BG230</f>
        <v>0</v>
      </c>
      <c r="BF142" s="132">
        <f>CLIENTES!BH230</f>
        <v>0</v>
      </c>
      <c r="BG142" s="132">
        <f>CLIENTES!BI230</f>
        <v>0</v>
      </c>
      <c r="BH142" s="132">
        <f>CLIENTES!BJ230</f>
        <v>0</v>
      </c>
      <c r="BI142" s="132">
        <f>CLIENTES!BK230</f>
        <v>0</v>
      </c>
      <c r="BJ142" s="132">
        <f>CLIENTES!BL230</f>
        <v>0</v>
      </c>
      <c r="BK142" s="132">
        <f>CLIENTES!BM230</f>
        <v>0</v>
      </c>
      <c r="BL142" s="132">
        <f>CLIENTES!BN230</f>
        <v>0</v>
      </c>
    </row>
    <row r="143" spans="2:84" x14ac:dyDescent="0.2">
      <c r="B143" s="326"/>
      <c r="C143" s="23" t="s">
        <v>10</v>
      </c>
      <c r="D143" s="72">
        <v>2.2200000000000001E-2</v>
      </c>
      <c r="E143" s="200">
        <f>CLIENTES!F232</f>
        <v>2.2200000000000001E-2</v>
      </c>
      <c r="F143" s="200">
        <f>CLIENTES!H232</f>
        <v>2.2200000000000001E-2</v>
      </c>
      <c r="G143" s="200">
        <f>CLIENTES!I232</f>
        <v>2.2200000000000001E-2</v>
      </c>
      <c r="H143" s="200">
        <f>CLIENTES!J232</f>
        <v>2.2200000000000001E-2</v>
      </c>
      <c r="I143" s="200">
        <f>CLIENTES!K232</f>
        <v>2.2200000000000001E-2</v>
      </c>
      <c r="J143" s="200">
        <f>CLIENTES!L232</f>
        <v>2.2200000000000001E-2</v>
      </c>
      <c r="K143" s="200">
        <f>CLIENTES!M232</f>
        <v>2.2200000000000001E-2</v>
      </c>
      <c r="L143" s="200">
        <f>CLIENTES!N232</f>
        <v>2.2200000000000001E-2</v>
      </c>
      <c r="M143" s="200">
        <f>CLIENTES!O232</f>
        <v>2.2200000000000001E-2</v>
      </c>
      <c r="N143" s="200">
        <f>CLIENTES!P232</f>
        <v>2.2200000000000001E-2</v>
      </c>
      <c r="O143" s="200">
        <f>CLIENTES!Q232</f>
        <v>2.2200000000000001E-2</v>
      </c>
      <c r="P143" s="200">
        <f>CLIENTES!R232</f>
        <v>2.2200000000000001E-2</v>
      </c>
      <c r="Q143" s="200">
        <f>CLIENTES!S232</f>
        <v>2.2200000000000001E-2</v>
      </c>
      <c r="R143" s="200">
        <f>CLIENTES!T232</f>
        <v>2.2200000000000001E-2</v>
      </c>
      <c r="S143" s="200">
        <f>CLIENTES!U232</f>
        <v>2.2200000000000001E-2</v>
      </c>
      <c r="T143" s="200">
        <f>CLIENTES!V232</f>
        <v>2.2200000000000001E-2</v>
      </c>
      <c r="U143" s="200">
        <f>CLIENTES!W232</f>
        <v>2.2200000000000001E-2</v>
      </c>
      <c r="V143" s="200">
        <f>CLIENTES!X232</f>
        <v>2.2200000000000001E-2</v>
      </c>
      <c r="W143" s="200">
        <f>CLIENTES!Y232</f>
        <v>2.2200000000000001E-2</v>
      </c>
      <c r="X143" s="200">
        <f>CLIENTES!Z232</f>
        <v>2.2200000000000001E-2</v>
      </c>
      <c r="Y143" s="200">
        <f>CLIENTES!AA232</f>
        <v>2.2200000000000001E-2</v>
      </c>
      <c r="Z143" s="200">
        <f>CLIENTES!AB232</f>
        <v>2.2200000000000001E-2</v>
      </c>
      <c r="AA143" s="200">
        <f>CLIENTES!AC232</f>
        <v>2.2200000000000001E-2</v>
      </c>
      <c r="AB143" s="200">
        <f>CLIENTES!AD232</f>
        <v>2.2200000000000001E-2</v>
      </c>
      <c r="AC143" s="200">
        <f>CLIENTES!AE232</f>
        <v>2.2200000000000001E-2</v>
      </c>
      <c r="AD143" s="200">
        <f>CLIENTES!AF232</f>
        <v>2.2200000000000001E-2</v>
      </c>
      <c r="AE143" s="200">
        <f>CLIENTES!AG232</f>
        <v>2.2200000000000001E-2</v>
      </c>
      <c r="AF143" s="200">
        <f>CLIENTES!AH232</f>
        <v>2.2200000000000001E-2</v>
      </c>
      <c r="AG143" s="200">
        <f>CLIENTES!AI232</f>
        <v>2.2200000000000001E-2</v>
      </c>
      <c r="AH143" s="200">
        <f>CLIENTES!AJ232</f>
        <v>2.2200000000000001E-2</v>
      </c>
      <c r="AI143" s="200">
        <f>CLIENTES!AK232</f>
        <v>2.2200000000000001E-2</v>
      </c>
      <c r="AJ143" s="200">
        <f>CLIENTES!AL232</f>
        <v>2.2200000000000001E-2</v>
      </c>
      <c r="AK143" s="200">
        <f>CLIENTES!AM232</f>
        <v>2.2200000000000001E-2</v>
      </c>
      <c r="AL143" s="200">
        <f>CLIENTES!AN232</f>
        <v>2.2200000000000001E-2</v>
      </c>
      <c r="AM143" s="200">
        <f>CLIENTES!AO232</f>
        <v>2.2200000000000001E-2</v>
      </c>
      <c r="AN143" s="200">
        <f>CLIENTES!AP232</f>
        <v>2.2200000000000001E-2</v>
      </c>
      <c r="AO143" s="200">
        <f>CLIENTES!AQ232</f>
        <v>2.2200000000000001E-2</v>
      </c>
      <c r="AP143" s="200">
        <f>CLIENTES!AR232</f>
        <v>2.2200000000000001E-2</v>
      </c>
      <c r="AQ143" s="200">
        <f>CLIENTES!AS232</f>
        <v>2.2200000000000001E-2</v>
      </c>
      <c r="AR143" s="200">
        <f>CLIENTES!AT232</f>
        <v>2.2200000000000001E-2</v>
      </c>
      <c r="AS143" s="200">
        <f>CLIENTES!AU232</f>
        <v>2.2200000000000001E-2</v>
      </c>
      <c r="AT143" s="200">
        <f>CLIENTES!AV232</f>
        <v>2.2200000000000001E-2</v>
      </c>
      <c r="AU143" s="200">
        <f>CLIENTES!AW232</f>
        <v>2.2200000000000001E-2</v>
      </c>
      <c r="AV143" s="200">
        <f>CLIENTES!AX232</f>
        <v>2.2200000000000001E-2</v>
      </c>
      <c r="AW143" s="200">
        <f>CLIENTES!AY232</f>
        <v>2.2200000000000001E-2</v>
      </c>
      <c r="AX143" s="200">
        <f>CLIENTES!AZ232</f>
        <v>2.2200000000000001E-2</v>
      </c>
      <c r="AY143" s="200">
        <f>CLIENTES!BA232</f>
        <v>2.2200000000000001E-2</v>
      </c>
      <c r="AZ143" s="215">
        <f>CLIENTES!BB232</f>
        <v>2.2200000000000001E-2</v>
      </c>
      <c r="BA143" s="200">
        <f>CLIENTES!BC232</f>
        <v>2.2200000000000001E-2</v>
      </c>
      <c r="BB143" s="200">
        <f>CLIENTES!BD232</f>
        <v>2.2200000000000001E-2</v>
      </c>
      <c r="BC143" s="200">
        <f>CLIENTES!BE232</f>
        <v>2.2200000000000001E-2</v>
      </c>
      <c r="BD143" s="200">
        <f>CLIENTES!BF232</f>
        <v>2.2200000000000001E-2</v>
      </c>
      <c r="BE143" s="200">
        <f>CLIENTES!BG232</f>
        <v>2.2200000000000001E-2</v>
      </c>
      <c r="BF143" s="200">
        <f>CLIENTES!BH232</f>
        <v>2.2200000000000001E-2</v>
      </c>
      <c r="BG143" s="200">
        <f>CLIENTES!BI232</f>
        <v>2.2200000000000001E-2</v>
      </c>
      <c r="BH143" s="200">
        <f>CLIENTES!BJ232</f>
        <v>2.2200000000000001E-2</v>
      </c>
      <c r="BI143" s="200">
        <f>CLIENTES!BK232</f>
        <v>2.2200000000000001E-2</v>
      </c>
      <c r="BJ143" s="200">
        <f>CLIENTES!BL232</f>
        <v>2.2200000000000001E-2</v>
      </c>
      <c r="BK143" s="200">
        <f>CLIENTES!BM232</f>
        <v>2.2200000000000001E-2</v>
      </c>
      <c r="BL143" s="200">
        <f>CLIENTES!BN232</f>
        <v>2.2200000000000001E-2</v>
      </c>
    </row>
    <row r="144" spans="2:84" x14ac:dyDescent="0.2">
      <c r="B144" s="326"/>
      <c r="C144" s="58" t="s">
        <v>23</v>
      </c>
      <c r="D144" s="27">
        <f>SUM(E144:BL144)</f>
        <v>65473.947171066786</v>
      </c>
      <c r="E144" s="139">
        <f>IF((E140+E141-E142)*E143&lt;0,0,(E140+E141-E142)*E143)</f>
        <v>33748.798009748607</v>
      </c>
      <c r="F144" s="139">
        <f t="shared" ref="F144:BL144" si="61">IF((F140+F141-F142)*F143&lt;0,0,(F140+F141-F142)*F143)</f>
        <v>31725.149161318182</v>
      </c>
      <c r="G144" s="139">
        <f t="shared" si="61"/>
        <v>0</v>
      </c>
      <c r="H144" s="139">
        <f t="shared" si="61"/>
        <v>0</v>
      </c>
      <c r="I144" s="139">
        <f t="shared" si="61"/>
        <v>0</v>
      </c>
      <c r="J144" s="139">
        <f t="shared" si="61"/>
        <v>0</v>
      </c>
      <c r="K144" s="139">
        <f>IF((K140+K141-K142)*K143&lt;0,0,(K140+K141-K142)*K143)</f>
        <v>0</v>
      </c>
      <c r="L144" s="139">
        <f t="shared" si="61"/>
        <v>0</v>
      </c>
      <c r="M144" s="139">
        <f t="shared" si="61"/>
        <v>0</v>
      </c>
      <c r="N144" s="139">
        <f t="shared" si="61"/>
        <v>0</v>
      </c>
      <c r="O144" s="139">
        <f t="shared" si="61"/>
        <v>0</v>
      </c>
      <c r="P144" s="139">
        <f t="shared" si="61"/>
        <v>0</v>
      </c>
      <c r="Q144" s="139">
        <f t="shared" si="61"/>
        <v>0</v>
      </c>
      <c r="R144" s="139">
        <f t="shared" si="61"/>
        <v>0</v>
      </c>
      <c r="S144" s="139">
        <f t="shared" si="61"/>
        <v>0</v>
      </c>
      <c r="T144" s="139">
        <f t="shared" si="61"/>
        <v>0</v>
      </c>
      <c r="U144" s="139">
        <f t="shared" si="61"/>
        <v>0</v>
      </c>
      <c r="V144" s="139">
        <f t="shared" si="61"/>
        <v>0</v>
      </c>
      <c r="W144" s="139">
        <f t="shared" si="61"/>
        <v>0</v>
      </c>
      <c r="X144" s="139">
        <f t="shared" si="61"/>
        <v>0</v>
      </c>
      <c r="Y144" s="139">
        <f t="shared" si="61"/>
        <v>0</v>
      </c>
      <c r="Z144" s="139">
        <f t="shared" si="61"/>
        <v>0</v>
      </c>
      <c r="AA144" s="139">
        <f t="shared" si="61"/>
        <v>0</v>
      </c>
      <c r="AB144" s="139">
        <f t="shared" si="61"/>
        <v>0</v>
      </c>
      <c r="AC144" s="139">
        <f t="shared" si="61"/>
        <v>0</v>
      </c>
      <c r="AD144" s="139">
        <f t="shared" si="61"/>
        <v>0</v>
      </c>
      <c r="AE144" s="139">
        <f t="shared" si="61"/>
        <v>0</v>
      </c>
      <c r="AF144" s="139">
        <f t="shared" si="61"/>
        <v>0</v>
      </c>
      <c r="AG144" s="139">
        <f t="shared" si="61"/>
        <v>0</v>
      </c>
      <c r="AH144" s="139">
        <f t="shared" si="61"/>
        <v>0</v>
      </c>
      <c r="AI144" s="139">
        <f t="shared" si="61"/>
        <v>0</v>
      </c>
      <c r="AJ144" s="139">
        <f t="shared" si="61"/>
        <v>0</v>
      </c>
      <c r="AK144" s="139">
        <f t="shared" si="61"/>
        <v>0</v>
      </c>
      <c r="AL144" s="139">
        <f t="shared" si="61"/>
        <v>0</v>
      </c>
      <c r="AM144" s="139">
        <f t="shared" si="61"/>
        <v>0</v>
      </c>
      <c r="AN144" s="139">
        <f t="shared" si="61"/>
        <v>0</v>
      </c>
      <c r="AO144" s="139">
        <f t="shared" si="61"/>
        <v>0</v>
      </c>
      <c r="AP144" s="139">
        <f t="shared" si="61"/>
        <v>0</v>
      </c>
      <c r="AQ144" s="139">
        <f t="shared" si="61"/>
        <v>0</v>
      </c>
      <c r="AR144" s="139">
        <f t="shared" si="61"/>
        <v>0</v>
      </c>
      <c r="AS144" s="139">
        <f t="shared" si="61"/>
        <v>0</v>
      </c>
      <c r="AT144" s="139">
        <f t="shared" si="61"/>
        <v>0</v>
      </c>
      <c r="AU144" s="139">
        <f t="shared" si="61"/>
        <v>0</v>
      </c>
      <c r="AV144" s="139">
        <f t="shared" si="61"/>
        <v>0</v>
      </c>
      <c r="AW144" s="139">
        <f t="shared" si="61"/>
        <v>0</v>
      </c>
      <c r="AX144" s="139">
        <f t="shared" si="61"/>
        <v>0</v>
      </c>
      <c r="AY144" s="139">
        <f t="shared" si="61"/>
        <v>0</v>
      </c>
      <c r="AZ144" s="139">
        <f t="shared" si="61"/>
        <v>0</v>
      </c>
      <c r="BA144" s="139">
        <f t="shared" si="61"/>
        <v>0</v>
      </c>
      <c r="BB144" s="139">
        <f t="shared" si="61"/>
        <v>0</v>
      </c>
      <c r="BC144" s="139">
        <f t="shared" si="61"/>
        <v>0</v>
      </c>
      <c r="BD144" s="139">
        <f t="shared" si="61"/>
        <v>0</v>
      </c>
      <c r="BE144" s="139">
        <f t="shared" si="61"/>
        <v>0</v>
      </c>
      <c r="BF144" s="139">
        <f t="shared" si="61"/>
        <v>0</v>
      </c>
      <c r="BG144" s="139">
        <f t="shared" si="61"/>
        <v>0</v>
      </c>
      <c r="BH144" s="139">
        <f t="shared" si="61"/>
        <v>0</v>
      </c>
      <c r="BI144" s="139">
        <f t="shared" si="61"/>
        <v>0</v>
      </c>
      <c r="BJ144" s="139">
        <f t="shared" si="61"/>
        <v>0</v>
      </c>
      <c r="BK144" s="139">
        <f t="shared" si="61"/>
        <v>0</v>
      </c>
      <c r="BL144" s="139">
        <f t="shared" si="61"/>
        <v>0</v>
      </c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65"/>
      <c r="CB144" s="65"/>
      <c r="CC144" s="65"/>
      <c r="CD144" s="65"/>
      <c r="CE144" s="65"/>
      <c r="CF144" s="65"/>
    </row>
    <row r="145" spans="1:84" ht="13.5" thickBot="1" x14ac:dyDescent="0.25">
      <c r="B145" s="327"/>
      <c r="C145" s="25" t="s">
        <v>22</v>
      </c>
      <c r="D145" s="30">
        <f>SUM(E145:BL145)</f>
        <v>3014750.8467686698</v>
      </c>
      <c r="E145" s="146">
        <f>+E140-E142+E141+E144</f>
        <v>1553964.9245750012</v>
      </c>
      <c r="F145" s="146">
        <f>+F140-F142+F141+F144</f>
        <v>1460785.9221936685</v>
      </c>
      <c r="G145" s="146">
        <f t="shared" ref="G145:BL145" si="62">+G140-G142+G141+G144</f>
        <v>0</v>
      </c>
      <c r="H145" s="146">
        <f t="shared" si="62"/>
        <v>0</v>
      </c>
      <c r="I145" s="146">
        <f t="shared" si="62"/>
        <v>0</v>
      </c>
      <c r="J145" s="146">
        <f t="shared" si="62"/>
        <v>0</v>
      </c>
      <c r="K145" s="146">
        <f t="shared" si="62"/>
        <v>0</v>
      </c>
      <c r="L145" s="146">
        <f t="shared" si="62"/>
        <v>0</v>
      </c>
      <c r="M145" s="146">
        <f t="shared" si="62"/>
        <v>0</v>
      </c>
      <c r="N145" s="146">
        <f t="shared" si="62"/>
        <v>0</v>
      </c>
      <c r="O145" s="146">
        <f t="shared" si="62"/>
        <v>0</v>
      </c>
      <c r="P145" s="146">
        <f t="shared" si="62"/>
        <v>0</v>
      </c>
      <c r="Q145" s="146">
        <f t="shared" si="62"/>
        <v>0</v>
      </c>
      <c r="R145" s="146">
        <f t="shared" si="62"/>
        <v>0</v>
      </c>
      <c r="S145" s="146">
        <f t="shared" si="62"/>
        <v>0</v>
      </c>
      <c r="T145" s="146">
        <f t="shared" si="62"/>
        <v>0</v>
      </c>
      <c r="U145" s="146">
        <f t="shared" si="62"/>
        <v>0</v>
      </c>
      <c r="V145" s="146">
        <f t="shared" si="62"/>
        <v>0</v>
      </c>
      <c r="W145" s="146">
        <f t="shared" si="62"/>
        <v>0</v>
      </c>
      <c r="X145" s="146">
        <f t="shared" si="62"/>
        <v>0</v>
      </c>
      <c r="Y145" s="146">
        <f t="shared" si="62"/>
        <v>0</v>
      </c>
      <c r="Z145" s="146">
        <f t="shared" si="62"/>
        <v>0</v>
      </c>
      <c r="AA145" s="146">
        <f t="shared" si="62"/>
        <v>0</v>
      </c>
      <c r="AB145" s="146">
        <f t="shared" si="62"/>
        <v>0</v>
      </c>
      <c r="AC145" s="146">
        <f t="shared" si="62"/>
        <v>0</v>
      </c>
      <c r="AD145" s="146">
        <f t="shared" si="62"/>
        <v>0</v>
      </c>
      <c r="AE145" s="146">
        <f t="shared" si="62"/>
        <v>0</v>
      </c>
      <c r="AF145" s="146">
        <f t="shared" si="62"/>
        <v>0</v>
      </c>
      <c r="AG145" s="146">
        <f>+AG140-AG142+AG141+AG144</f>
        <v>0</v>
      </c>
      <c r="AH145" s="146">
        <f t="shared" si="62"/>
        <v>0</v>
      </c>
      <c r="AI145" s="146">
        <f t="shared" si="62"/>
        <v>0</v>
      </c>
      <c r="AJ145" s="146">
        <f t="shared" si="62"/>
        <v>0</v>
      </c>
      <c r="AK145" s="146">
        <f t="shared" si="62"/>
        <v>0</v>
      </c>
      <c r="AL145" s="146">
        <f t="shared" si="62"/>
        <v>0</v>
      </c>
      <c r="AM145" s="146">
        <f t="shared" si="62"/>
        <v>0</v>
      </c>
      <c r="AN145" s="146">
        <f t="shared" si="62"/>
        <v>0</v>
      </c>
      <c r="AO145" s="146">
        <f t="shared" si="62"/>
        <v>0</v>
      </c>
      <c r="AP145" s="146">
        <f t="shared" si="62"/>
        <v>0</v>
      </c>
      <c r="AQ145" s="146">
        <f t="shared" si="62"/>
        <v>0</v>
      </c>
      <c r="AR145" s="146">
        <f t="shared" si="62"/>
        <v>0</v>
      </c>
      <c r="AS145" s="146">
        <f t="shared" si="62"/>
        <v>0</v>
      </c>
      <c r="AT145" s="146">
        <f t="shared" si="62"/>
        <v>0</v>
      </c>
      <c r="AU145" s="146">
        <f t="shared" si="62"/>
        <v>0</v>
      </c>
      <c r="AV145" s="146">
        <f t="shared" si="62"/>
        <v>0</v>
      </c>
      <c r="AW145" s="146">
        <f t="shared" si="62"/>
        <v>0</v>
      </c>
      <c r="AX145" s="146">
        <f t="shared" si="62"/>
        <v>0</v>
      </c>
      <c r="AY145" s="146">
        <f t="shared" si="62"/>
        <v>0</v>
      </c>
      <c r="AZ145" s="146">
        <f t="shared" si="62"/>
        <v>0</v>
      </c>
      <c r="BA145" s="146">
        <f t="shared" si="62"/>
        <v>0</v>
      </c>
      <c r="BB145" s="146">
        <f t="shared" si="62"/>
        <v>0</v>
      </c>
      <c r="BC145" s="146">
        <f t="shared" si="62"/>
        <v>0</v>
      </c>
      <c r="BD145" s="146">
        <f t="shared" si="62"/>
        <v>0</v>
      </c>
      <c r="BE145" s="146">
        <f t="shared" si="62"/>
        <v>0</v>
      </c>
      <c r="BF145" s="146">
        <f t="shared" si="62"/>
        <v>0</v>
      </c>
      <c r="BG145" s="146">
        <f t="shared" si="62"/>
        <v>0</v>
      </c>
      <c r="BH145" s="146">
        <f t="shared" si="62"/>
        <v>0</v>
      </c>
      <c r="BI145" s="146">
        <f t="shared" si="62"/>
        <v>0</v>
      </c>
      <c r="BJ145" s="146">
        <f t="shared" si="62"/>
        <v>0</v>
      </c>
      <c r="BK145" s="146">
        <f t="shared" si="62"/>
        <v>0</v>
      </c>
      <c r="BL145" s="146">
        <f t="shared" si="62"/>
        <v>0</v>
      </c>
    </row>
    <row r="146" spans="1:84" x14ac:dyDescent="0.2">
      <c r="A146" s="171"/>
      <c r="B146" s="325">
        <v>44409</v>
      </c>
      <c r="C146" s="62" t="s">
        <v>6</v>
      </c>
      <c r="D146" s="31">
        <f>SUM(E146:BL146)</f>
        <v>50000</v>
      </c>
      <c r="E146" s="199">
        <f>CLIENTES!F237</f>
        <v>0</v>
      </c>
      <c r="F146" s="199">
        <f>CLIENTES!H237</f>
        <v>50000</v>
      </c>
      <c r="G146" s="199">
        <f>CLIENTES!I237</f>
        <v>0</v>
      </c>
      <c r="H146" s="199">
        <f>CLIENTES!J237</f>
        <v>0</v>
      </c>
      <c r="I146" s="199">
        <f>CLIENTES!K237</f>
        <v>0</v>
      </c>
      <c r="J146" s="199">
        <f>CLIENTES!L237</f>
        <v>0</v>
      </c>
      <c r="K146" s="199">
        <f>CLIENTES!M237</f>
        <v>0</v>
      </c>
      <c r="L146" s="199">
        <f>CLIENTES!N237</f>
        <v>0</v>
      </c>
      <c r="M146" s="199">
        <f>CLIENTES!O237</f>
        <v>0</v>
      </c>
      <c r="N146" s="199">
        <f>CLIENTES!P237</f>
        <v>0</v>
      </c>
      <c r="O146" s="199">
        <f>CLIENTES!Q237</f>
        <v>0</v>
      </c>
      <c r="P146" s="199">
        <f>CLIENTES!R237</f>
        <v>0</v>
      </c>
      <c r="Q146" s="199">
        <f>CLIENTES!S237</f>
        <v>0</v>
      </c>
      <c r="R146" s="199">
        <f>CLIENTES!T237</f>
        <v>0</v>
      </c>
      <c r="S146" s="199">
        <f>CLIENTES!U237</f>
        <v>0</v>
      </c>
      <c r="T146" s="199">
        <f>CLIENTES!V237</f>
        <v>0</v>
      </c>
      <c r="U146" s="199">
        <f>CLIENTES!W237</f>
        <v>0</v>
      </c>
      <c r="V146" s="199">
        <f>CLIENTES!X237</f>
        <v>0</v>
      </c>
      <c r="W146" s="199">
        <f>CLIENTES!Y237</f>
        <v>0</v>
      </c>
      <c r="X146" s="199">
        <f>CLIENTES!Z237</f>
        <v>0</v>
      </c>
      <c r="Y146" s="199">
        <f>CLIENTES!AA237</f>
        <v>0</v>
      </c>
      <c r="Z146" s="199">
        <f>CLIENTES!AB237</f>
        <v>0</v>
      </c>
      <c r="AA146" s="199">
        <f>CLIENTES!AC237</f>
        <v>0</v>
      </c>
      <c r="AB146" s="199">
        <f>CLIENTES!AD237</f>
        <v>0</v>
      </c>
      <c r="AC146" s="199">
        <f>CLIENTES!AE237</f>
        <v>0</v>
      </c>
      <c r="AD146" s="199">
        <f>CLIENTES!AF237</f>
        <v>0</v>
      </c>
      <c r="AE146" s="199">
        <f>CLIENTES!AG237</f>
        <v>0</v>
      </c>
      <c r="AF146" s="199">
        <f>CLIENTES!AH237</f>
        <v>0</v>
      </c>
      <c r="AG146" s="199">
        <f>CLIENTES!AI237</f>
        <v>0</v>
      </c>
      <c r="AH146" s="199">
        <f>CLIENTES!AJ237</f>
        <v>0</v>
      </c>
      <c r="AI146" s="199">
        <f>CLIENTES!AK237</f>
        <v>0</v>
      </c>
      <c r="AJ146" s="199">
        <f>CLIENTES!AL237</f>
        <v>0</v>
      </c>
      <c r="AK146" s="199">
        <f>CLIENTES!AM237</f>
        <v>0</v>
      </c>
      <c r="AL146" s="199">
        <f>CLIENTES!AN237</f>
        <v>0</v>
      </c>
      <c r="AM146" s="199">
        <f>CLIENTES!AO237</f>
        <v>0</v>
      </c>
      <c r="AN146" s="199">
        <f>CLIENTES!AP237</f>
        <v>0</v>
      </c>
      <c r="AO146" s="199">
        <f>CLIENTES!AQ237</f>
        <v>0</v>
      </c>
      <c r="AP146" s="199">
        <f>CLIENTES!AR237</f>
        <v>0</v>
      </c>
      <c r="AQ146" s="199">
        <f>CLIENTES!AS237</f>
        <v>0</v>
      </c>
      <c r="AR146" s="199">
        <f>CLIENTES!AT237</f>
        <v>0</v>
      </c>
      <c r="AS146" s="199">
        <f>CLIENTES!AU237</f>
        <v>0</v>
      </c>
      <c r="AT146" s="199">
        <f>CLIENTES!AV237</f>
        <v>0</v>
      </c>
      <c r="AU146" s="199">
        <f>CLIENTES!AW237</f>
        <v>0</v>
      </c>
      <c r="AV146" s="199">
        <f>CLIENTES!AX237</f>
        <v>0</v>
      </c>
      <c r="AW146" s="199">
        <f>CLIENTES!AY237</f>
        <v>0</v>
      </c>
      <c r="AX146" s="199">
        <f>CLIENTES!AZ237</f>
        <v>0</v>
      </c>
      <c r="AY146" s="199">
        <f>CLIENTES!BA237</f>
        <v>0</v>
      </c>
      <c r="AZ146" s="214">
        <f>CLIENTES!BB237</f>
        <v>0</v>
      </c>
      <c r="BA146" s="199">
        <f>CLIENTES!BC237</f>
        <v>0</v>
      </c>
      <c r="BB146" s="199">
        <f>CLIENTES!BD237</f>
        <v>0</v>
      </c>
      <c r="BC146" s="199">
        <f>CLIENTES!BE237</f>
        <v>0</v>
      </c>
      <c r="BD146" s="199">
        <f>CLIENTES!BF237</f>
        <v>0</v>
      </c>
      <c r="BE146" s="199">
        <f>CLIENTES!BG237</f>
        <v>0</v>
      </c>
      <c r="BF146" s="199">
        <f>CLIENTES!BH237</f>
        <v>0</v>
      </c>
      <c r="BG146" s="199">
        <f>CLIENTES!BI237</f>
        <v>0</v>
      </c>
      <c r="BH146" s="199">
        <f>CLIENTES!BJ237</f>
        <v>0</v>
      </c>
      <c r="BI146" s="199">
        <f>CLIENTES!BK237</f>
        <v>0</v>
      </c>
      <c r="BJ146" s="199">
        <f>CLIENTES!BL237</f>
        <v>0</v>
      </c>
      <c r="BK146" s="199">
        <f>CLIENTES!BM237</f>
        <v>0</v>
      </c>
      <c r="BL146" s="199">
        <f>CLIENTES!BN237</f>
        <v>0</v>
      </c>
    </row>
    <row r="147" spans="1:84" x14ac:dyDescent="0.2">
      <c r="A147" s="171"/>
      <c r="B147" s="326"/>
      <c r="C147" s="23" t="s">
        <v>9</v>
      </c>
      <c r="D147" s="27">
        <f>SUM(E147:BL147)</f>
        <v>0</v>
      </c>
      <c r="E147" s="132">
        <f>CLIENTES!F238</f>
        <v>0</v>
      </c>
      <c r="F147" s="132">
        <f>CLIENTES!H238</f>
        <v>0</v>
      </c>
      <c r="G147" s="132">
        <f>CLIENTES!I238</f>
        <v>0</v>
      </c>
      <c r="H147" s="132">
        <f>CLIENTES!J238</f>
        <v>0</v>
      </c>
      <c r="I147" s="132">
        <f>CLIENTES!K238</f>
        <v>0</v>
      </c>
      <c r="J147" s="132">
        <f>CLIENTES!L238</f>
        <v>0</v>
      </c>
      <c r="K147" s="132">
        <f>CLIENTES!M238</f>
        <v>0</v>
      </c>
      <c r="L147" s="132">
        <f>CLIENTES!N238</f>
        <v>0</v>
      </c>
      <c r="M147" s="132">
        <f>CLIENTES!O238</f>
        <v>0</v>
      </c>
      <c r="N147" s="132">
        <f>CLIENTES!P238</f>
        <v>0</v>
      </c>
      <c r="O147" s="132">
        <f>CLIENTES!Q238</f>
        <v>0</v>
      </c>
      <c r="P147" s="132">
        <f>CLIENTES!R238</f>
        <v>0</v>
      </c>
      <c r="Q147" s="132">
        <f>CLIENTES!S238</f>
        <v>0</v>
      </c>
      <c r="R147" s="132">
        <f>CLIENTES!T238</f>
        <v>0</v>
      </c>
      <c r="S147" s="132">
        <f>CLIENTES!U238</f>
        <v>0</v>
      </c>
      <c r="T147" s="132">
        <f>CLIENTES!V238</f>
        <v>0</v>
      </c>
      <c r="U147" s="132">
        <f>CLIENTES!W238</f>
        <v>0</v>
      </c>
      <c r="V147" s="132">
        <f>CLIENTES!X238</f>
        <v>0</v>
      </c>
      <c r="W147" s="132">
        <f>CLIENTES!Y238</f>
        <v>0</v>
      </c>
      <c r="X147" s="132">
        <f>CLIENTES!Z238</f>
        <v>0</v>
      </c>
      <c r="Y147" s="132">
        <f>CLIENTES!AA238</f>
        <v>0</v>
      </c>
      <c r="Z147" s="132">
        <f>CLIENTES!AB238</f>
        <v>0</v>
      </c>
      <c r="AA147" s="132">
        <f>CLIENTES!AC238</f>
        <v>0</v>
      </c>
      <c r="AB147" s="132">
        <f>CLIENTES!AD238</f>
        <v>0</v>
      </c>
      <c r="AC147" s="132">
        <f>CLIENTES!AE238</f>
        <v>0</v>
      </c>
      <c r="AD147" s="132">
        <f>CLIENTES!AF238</f>
        <v>0</v>
      </c>
      <c r="AE147" s="132">
        <f>CLIENTES!AG238</f>
        <v>0</v>
      </c>
      <c r="AF147" s="132">
        <f>CLIENTES!AH238</f>
        <v>0</v>
      </c>
      <c r="AG147" s="132">
        <f>CLIENTES!AI238</f>
        <v>0</v>
      </c>
      <c r="AH147" s="132">
        <f>CLIENTES!AJ238</f>
        <v>0</v>
      </c>
      <c r="AI147" s="132">
        <f>CLIENTES!AK238</f>
        <v>0</v>
      </c>
      <c r="AJ147" s="132">
        <f>CLIENTES!AL238</f>
        <v>0</v>
      </c>
      <c r="AK147" s="132">
        <f>CLIENTES!AM238</f>
        <v>0</v>
      </c>
      <c r="AL147" s="132">
        <f>CLIENTES!AN238</f>
        <v>0</v>
      </c>
      <c r="AM147" s="132">
        <f>CLIENTES!AO238</f>
        <v>0</v>
      </c>
      <c r="AN147" s="132">
        <f>CLIENTES!AP238</f>
        <v>0</v>
      </c>
      <c r="AO147" s="132">
        <f>CLIENTES!AQ238</f>
        <v>0</v>
      </c>
      <c r="AP147" s="132">
        <f>CLIENTES!AR238</f>
        <v>0</v>
      </c>
      <c r="AQ147" s="132">
        <f>CLIENTES!AS238</f>
        <v>0</v>
      </c>
      <c r="AR147" s="132">
        <f>CLIENTES!AT238</f>
        <v>0</v>
      </c>
      <c r="AS147" s="132">
        <f>CLIENTES!AU238</f>
        <v>0</v>
      </c>
      <c r="AT147" s="132">
        <f>CLIENTES!AV238</f>
        <v>0</v>
      </c>
      <c r="AU147" s="132">
        <f>CLIENTES!AW238</f>
        <v>0</v>
      </c>
      <c r="AV147" s="132">
        <f>CLIENTES!AX238</f>
        <v>0</v>
      </c>
      <c r="AW147" s="132">
        <f>CLIENTES!AY238</f>
        <v>0</v>
      </c>
      <c r="AX147" s="132">
        <f>CLIENTES!AZ238</f>
        <v>0</v>
      </c>
      <c r="AY147" s="132">
        <f>CLIENTES!BA238</f>
        <v>0</v>
      </c>
      <c r="AZ147" s="139">
        <f>CLIENTES!BB238</f>
        <v>0</v>
      </c>
      <c r="BA147" s="132">
        <f>CLIENTES!BC238</f>
        <v>0</v>
      </c>
      <c r="BB147" s="132">
        <f>CLIENTES!BD238</f>
        <v>0</v>
      </c>
      <c r="BC147" s="132">
        <f>CLIENTES!BE238</f>
        <v>0</v>
      </c>
      <c r="BD147" s="132">
        <f>CLIENTES!BF238</f>
        <v>0</v>
      </c>
      <c r="BE147" s="132">
        <f>CLIENTES!BG238</f>
        <v>0</v>
      </c>
      <c r="BF147" s="132">
        <f>CLIENTES!BH238</f>
        <v>0</v>
      </c>
      <c r="BG147" s="132">
        <f>CLIENTES!BI238</f>
        <v>0</v>
      </c>
      <c r="BH147" s="132">
        <f>CLIENTES!BJ238</f>
        <v>0</v>
      </c>
      <c r="BI147" s="132">
        <f>CLIENTES!BK238</f>
        <v>0</v>
      </c>
      <c r="BJ147" s="132">
        <f>CLIENTES!BL238</f>
        <v>0</v>
      </c>
      <c r="BK147" s="132">
        <f>CLIENTES!BM238</f>
        <v>0</v>
      </c>
      <c r="BL147" s="132">
        <f>CLIENTES!BN238</f>
        <v>0</v>
      </c>
    </row>
    <row r="148" spans="1:84" s="97" customFormat="1" x14ac:dyDescent="0.2">
      <c r="B148" s="326"/>
      <c r="C148" s="147" t="s">
        <v>10</v>
      </c>
      <c r="D148" s="72">
        <v>2.1600000000000001E-2</v>
      </c>
      <c r="E148" s="227">
        <v>2.1600000000000001E-2</v>
      </c>
      <c r="F148" s="227">
        <v>2.1600000000000001E-2</v>
      </c>
      <c r="G148" s="227">
        <v>2.1600000000000001E-2</v>
      </c>
      <c r="H148" s="227">
        <v>2.1600000000000001E-2</v>
      </c>
      <c r="I148" s="227">
        <v>2.1600000000000001E-2</v>
      </c>
      <c r="J148" s="227">
        <v>2.1600000000000001E-2</v>
      </c>
      <c r="K148" s="227">
        <v>2.1600000000000001E-2</v>
      </c>
      <c r="L148" s="227">
        <v>2.1600000000000001E-2</v>
      </c>
      <c r="M148" s="227">
        <v>2.1600000000000001E-2</v>
      </c>
      <c r="N148" s="227">
        <v>2.1600000000000001E-2</v>
      </c>
      <c r="O148" s="227">
        <v>2.1600000000000001E-2</v>
      </c>
      <c r="P148" s="227">
        <v>2.1600000000000001E-2</v>
      </c>
      <c r="Q148" s="227">
        <v>2.1600000000000001E-2</v>
      </c>
      <c r="R148" s="227">
        <v>2.1600000000000001E-2</v>
      </c>
      <c r="S148" s="227">
        <v>2.1600000000000001E-2</v>
      </c>
      <c r="T148" s="227">
        <v>2.1600000000000001E-2</v>
      </c>
      <c r="U148" s="227">
        <v>2.1600000000000001E-2</v>
      </c>
      <c r="V148" s="227">
        <v>2.1600000000000001E-2</v>
      </c>
      <c r="W148" s="227">
        <v>2.1600000000000001E-2</v>
      </c>
      <c r="X148" s="227">
        <v>2.1600000000000001E-2</v>
      </c>
      <c r="Y148" s="227">
        <v>2.1600000000000001E-2</v>
      </c>
      <c r="Z148" s="227">
        <v>2.1600000000000001E-2</v>
      </c>
      <c r="AA148" s="227">
        <v>2.1600000000000001E-2</v>
      </c>
      <c r="AB148" s="227">
        <v>2.1600000000000001E-2</v>
      </c>
      <c r="AC148" s="227">
        <v>2.1600000000000001E-2</v>
      </c>
      <c r="AD148" s="227">
        <v>2.1600000000000001E-2</v>
      </c>
      <c r="AE148" s="227">
        <v>2.1600000000000001E-2</v>
      </c>
      <c r="AF148" s="227">
        <v>2.1600000000000001E-2</v>
      </c>
      <c r="AG148" s="227">
        <v>2.1600000000000001E-2</v>
      </c>
      <c r="AH148" s="227">
        <v>2.1600000000000001E-2</v>
      </c>
      <c r="AI148" s="227">
        <v>2.1600000000000001E-2</v>
      </c>
      <c r="AJ148" s="227">
        <v>2.1600000000000001E-2</v>
      </c>
      <c r="AK148" s="227">
        <v>2.1600000000000001E-2</v>
      </c>
      <c r="AL148" s="227">
        <v>2.1600000000000001E-2</v>
      </c>
      <c r="AM148" s="227">
        <v>2.1600000000000001E-2</v>
      </c>
      <c r="AN148" s="227">
        <v>2.1600000000000001E-2</v>
      </c>
      <c r="AO148" s="227">
        <v>2.1600000000000001E-2</v>
      </c>
      <c r="AP148" s="227">
        <v>2.1600000000000001E-2</v>
      </c>
      <c r="AQ148" s="227">
        <v>2.1600000000000001E-2</v>
      </c>
      <c r="AR148" s="227">
        <v>2.1600000000000001E-2</v>
      </c>
      <c r="AS148" s="227">
        <v>2.1600000000000001E-2</v>
      </c>
      <c r="AT148" s="227">
        <v>2.1600000000000001E-2</v>
      </c>
      <c r="AU148" s="227">
        <v>2.1600000000000001E-2</v>
      </c>
      <c r="AV148" s="227">
        <v>2.1600000000000001E-2</v>
      </c>
      <c r="AW148" s="227">
        <v>2.1600000000000001E-2</v>
      </c>
      <c r="AX148" s="227">
        <v>2.1600000000000001E-2</v>
      </c>
      <c r="AY148" s="227">
        <v>2.1600000000000001E-2</v>
      </c>
      <c r="AZ148" s="227">
        <v>2.1600000000000001E-2</v>
      </c>
      <c r="BA148" s="227">
        <v>2.1600000000000001E-2</v>
      </c>
      <c r="BB148" s="227">
        <v>2.1600000000000001E-2</v>
      </c>
      <c r="BC148" s="227">
        <v>2.1600000000000001E-2</v>
      </c>
      <c r="BD148" s="227">
        <v>2.1600000000000001E-2</v>
      </c>
      <c r="BE148" s="227">
        <v>2.1600000000000001E-2</v>
      </c>
      <c r="BF148" s="227">
        <v>2.1600000000000001E-2</v>
      </c>
      <c r="BG148" s="227">
        <v>2.1600000000000001E-2</v>
      </c>
      <c r="BH148" s="227">
        <v>2.1600000000000001E-2</v>
      </c>
      <c r="BI148" s="227">
        <v>2.1600000000000001E-2</v>
      </c>
      <c r="BJ148" s="227">
        <v>2.1600000000000001E-2</v>
      </c>
      <c r="BK148" s="227">
        <v>2.1600000000000001E-2</v>
      </c>
      <c r="BL148" s="227">
        <v>2.1600000000000001E-2</v>
      </c>
    </row>
    <row r="149" spans="1:84" x14ac:dyDescent="0.2">
      <c r="B149" s="326"/>
      <c r="C149" s="58" t="s">
        <v>23</v>
      </c>
      <c r="D149" s="27">
        <f>SUM(E149:BL149)</f>
        <v>66198.618290203274</v>
      </c>
      <c r="E149" s="139">
        <f>IF((E145+E146-E147)*E148&lt;0,0,(E145+E146-E147)*E148)</f>
        <v>33565.642370820031</v>
      </c>
      <c r="F149" s="139">
        <f t="shared" ref="F149:BL149" si="63">IF((F145+F146-F147)*F148&lt;0,0,(F145+F146-F147)*F148)</f>
        <v>32632.975919383243</v>
      </c>
      <c r="G149" s="139">
        <f t="shared" si="63"/>
        <v>0</v>
      </c>
      <c r="H149" s="139">
        <f t="shared" si="63"/>
        <v>0</v>
      </c>
      <c r="I149" s="139">
        <f t="shared" si="63"/>
        <v>0</v>
      </c>
      <c r="J149" s="139">
        <f t="shared" si="63"/>
        <v>0</v>
      </c>
      <c r="K149" s="139">
        <f t="shared" si="63"/>
        <v>0</v>
      </c>
      <c r="L149" s="139">
        <f t="shared" si="63"/>
        <v>0</v>
      </c>
      <c r="M149" s="139">
        <f t="shared" si="63"/>
        <v>0</v>
      </c>
      <c r="N149" s="139">
        <f t="shared" si="63"/>
        <v>0</v>
      </c>
      <c r="O149" s="139">
        <f t="shared" si="63"/>
        <v>0</v>
      </c>
      <c r="P149" s="139">
        <f t="shared" si="63"/>
        <v>0</v>
      </c>
      <c r="Q149" s="139">
        <f t="shared" si="63"/>
        <v>0</v>
      </c>
      <c r="R149" s="139">
        <f t="shared" si="63"/>
        <v>0</v>
      </c>
      <c r="S149" s="139">
        <f t="shared" si="63"/>
        <v>0</v>
      </c>
      <c r="T149" s="139">
        <f t="shared" si="63"/>
        <v>0</v>
      </c>
      <c r="U149" s="139">
        <f t="shared" si="63"/>
        <v>0</v>
      </c>
      <c r="V149" s="139">
        <f t="shared" si="63"/>
        <v>0</v>
      </c>
      <c r="W149" s="139">
        <f t="shared" si="63"/>
        <v>0</v>
      </c>
      <c r="X149" s="139">
        <f t="shared" si="63"/>
        <v>0</v>
      </c>
      <c r="Y149" s="139">
        <f t="shared" si="63"/>
        <v>0</v>
      </c>
      <c r="Z149" s="139">
        <f t="shared" si="63"/>
        <v>0</v>
      </c>
      <c r="AA149" s="139">
        <f t="shared" si="63"/>
        <v>0</v>
      </c>
      <c r="AB149" s="139">
        <f t="shared" si="63"/>
        <v>0</v>
      </c>
      <c r="AC149" s="139">
        <f t="shared" si="63"/>
        <v>0</v>
      </c>
      <c r="AD149" s="139">
        <f t="shared" si="63"/>
        <v>0</v>
      </c>
      <c r="AE149" s="139">
        <f t="shared" si="63"/>
        <v>0</v>
      </c>
      <c r="AF149" s="139">
        <f t="shared" si="63"/>
        <v>0</v>
      </c>
      <c r="AG149" s="139">
        <f t="shared" si="63"/>
        <v>0</v>
      </c>
      <c r="AH149" s="139">
        <f t="shared" si="63"/>
        <v>0</v>
      </c>
      <c r="AI149" s="139">
        <f t="shared" si="63"/>
        <v>0</v>
      </c>
      <c r="AJ149" s="139">
        <f t="shared" si="63"/>
        <v>0</v>
      </c>
      <c r="AK149" s="139">
        <f t="shared" si="63"/>
        <v>0</v>
      </c>
      <c r="AL149" s="139">
        <f t="shared" si="63"/>
        <v>0</v>
      </c>
      <c r="AM149" s="139">
        <f t="shared" si="63"/>
        <v>0</v>
      </c>
      <c r="AN149" s="139">
        <f t="shared" si="63"/>
        <v>0</v>
      </c>
      <c r="AO149" s="139">
        <f t="shared" si="63"/>
        <v>0</v>
      </c>
      <c r="AP149" s="139">
        <f t="shared" si="63"/>
        <v>0</v>
      </c>
      <c r="AQ149" s="139">
        <f t="shared" si="63"/>
        <v>0</v>
      </c>
      <c r="AR149" s="139">
        <f t="shared" si="63"/>
        <v>0</v>
      </c>
      <c r="AS149" s="139">
        <f t="shared" si="63"/>
        <v>0</v>
      </c>
      <c r="AT149" s="139">
        <f t="shared" si="63"/>
        <v>0</v>
      </c>
      <c r="AU149" s="139">
        <f t="shared" si="63"/>
        <v>0</v>
      </c>
      <c r="AV149" s="139">
        <f t="shared" si="63"/>
        <v>0</v>
      </c>
      <c r="AW149" s="139">
        <f t="shared" si="63"/>
        <v>0</v>
      </c>
      <c r="AX149" s="139">
        <f t="shared" si="63"/>
        <v>0</v>
      </c>
      <c r="AY149" s="139">
        <f t="shared" si="63"/>
        <v>0</v>
      </c>
      <c r="AZ149" s="139">
        <f t="shared" si="63"/>
        <v>0</v>
      </c>
      <c r="BA149" s="139">
        <f t="shared" si="63"/>
        <v>0</v>
      </c>
      <c r="BB149" s="139">
        <f t="shared" si="63"/>
        <v>0</v>
      </c>
      <c r="BC149" s="139">
        <f t="shared" si="63"/>
        <v>0</v>
      </c>
      <c r="BD149" s="139">
        <f t="shared" si="63"/>
        <v>0</v>
      </c>
      <c r="BE149" s="139">
        <f t="shared" si="63"/>
        <v>0</v>
      </c>
      <c r="BF149" s="139">
        <f t="shared" si="63"/>
        <v>0</v>
      </c>
      <c r="BG149" s="139">
        <f t="shared" si="63"/>
        <v>0</v>
      </c>
      <c r="BH149" s="139">
        <f t="shared" si="63"/>
        <v>0</v>
      </c>
      <c r="BI149" s="139">
        <f t="shared" si="63"/>
        <v>0</v>
      </c>
      <c r="BJ149" s="139">
        <f t="shared" si="63"/>
        <v>0</v>
      </c>
      <c r="BK149" s="139">
        <f t="shared" si="63"/>
        <v>0</v>
      </c>
      <c r="BL149" s="139">
        <f t="shared" si="63"/>
        <v>0</v>
      </c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</row>
    <row r="150" spans="1:84" ht="13.5" thickBot="1" x14ac:dyDescent="0.25">
      <c r="B150" s="327"/>
      <c r="C150" s="25" t="s">
        <v>22</v>
      </c>
      <c r="D150" s="30">
        <f>SUM(E150:BL150)</f>
        <v>3130949.4650588734</v>
      </c>
      <c r="E150" s="146">
        <f>+E145-E147+E146+E149</f>
        <v>1587530.5669458213</v>
      </c>
      <c r="F150" s="146">
        <f t="shared" ref="F150:BL150" si="64">+F145-F147+F146+F149</f>
        <v>1543418.8981130519</v>
      </c>
      <c r="G150" s="146">
        <f t="shared" si="64"/>
        <v>0</v>
      </c>
      <c r="H150" s="146">
        <f t="shared" si="64"/>
        <v>0</v>
      </c>
      <c r="I150" s="146">
        <f t="shared" si="64"/>
        <v>0</v>
      </c>
      <c r="J150" s="146">
        <f t="shared" si="64"/>
        <v>0</v>
      </c>
      <c r="K150" s="146">
        <f t="shared" si="64"/>
        <v>0</v>
      </c>
      <c r="L150" s="146">
        <f t="shared" si="64"/>
        <v>0</v>
      </c>
      <c r="M150" s="146">
        <f t="shared" si="64"/>
        <v>0</v>
      </c>
      <c r="N150" s="146">
        <f t="shared" si="64"/>
        <v>0</v>
      </c>
      <c r="O150" s="146">
        <f t="shared" si="64"/>
        <v>0</v>
      </c>
      <c r="P150" s="146">
        <f t="shared" si="64"/>
        <v>0</v>
      </c>
      <c r="Q150" s="146">
        <f t="shared" si="64"/>
        <v>0</v>
      </c>
      <c r="R150" s="146">
        <f t="shared" si="64"/>
        <v>0</v>
      </c>
      <c r="S150" s="146">
        <f t="shared" si="64"/>
        <v>0</v>
      </c>
      <c r="T150" s="146">
        <f t="shared" si="64"/>
        <v>0</v>
      </c>
      <c r="U150" s="146">
        <f t="shared" si="64"/>
        <v>0</v>
      </c>
      <c r="V150" s="146">
        <f t="shared" si="64"/>
        <v>0</v>
      </c>
      <c r="W150" s="146">
        <f t="shared" si="64"/>
        <v>0</v>
      </c>
      <c r="X150" s="146">
        <f t="shared" si="64"/>
        <v>0</v>
      </c>
      <c r="Y150" s="146">
        <f t="shared" si="64"/>
        <v>0</v>
      </c>
      <c r="Z150" s="146">
        <f t="shared" si="64"/>
        <v>0</v>
      </c>
      <c r="AA150" s="146">
        <f t="shared" si="64"/>
        <v>0</v>
      </c>
      <c r="AB150" s="146">
        <f t="shared" si="64"/>
        <v>0</v>
      </c>
      <c r="AC150" s="146">
        <f t="shared" si="64"/>
        <v>0</v>
      </c>
      <c r="AD150" s="146">
        <f t="shared" si="64"/>
        <v>0</v>
      </c>
      <c r="AE150" s="146">
        <f t="shared" si="64"/>
        <v>0</v>
      </c>
      <c r="AF150" s="146">
        <f t="shared" si="64"/>
        <v>0</v>
      </c>
      <c r="AG150" s="146">
        <f>+AG145-AG147+AG146+AG149</f>
        <v>0</v>
      </c>
      <c r="AH150" s="146">
        <f t="shared" si="64"/>
        <v>0</v>
      </c>
      <c r="AI150" s="146">
        <f t="shared" si="64"/>
        <v>0</v>
      </c>
      <c r="AJ150" s="146">
        <f t="shared" si="64"/>
        <v>0</v>
      </c>
      <c r="AK150" s="146">
        <f t="shared" si="64"/>
        <v>0</v>
      </c>
      <c r="AL150" s="146">
        <f t="shared" si="64"/>
        <v>0</v>
      </c>
      <c r="AM150" s="146">
        <f t="shared" si="64"/>
        <v>0</v>
      </c>
      <c r="AN150" s="146">
        <f t="shared" si="64"/>
        <v>0</v>
      </c>
      <c r="AO150" s="146">
        <f t="shared" si="64"/>
        <v>0</v>
      </c>
      <c r="AP150" s="146">
        <f t="shared" si="64"/>
        <v>0</v>
      </c>
      <c r="AQ150" s="146">
        <f t="shared" si="64"/>
        <v>0</v>
      </c>
      <c r="AR150" s="146">
        <f t="shared" si="64"/>
        <v>0</v>
      </c>
      <c r="AS150" s="146">
        <f t="shared" si="64"/>
        <v>0</v>
      </c>
      <c r="AT150" s="146">
        <f t="shared" si="64"/>
        <v>0</v>
      </c>
      <c r="AU150" s="146">
        <f t="shared" si="64"/>
        <v>0</v>
      </c>
      <c r="AV150" s="146">
        <f t="shared" si="64"/>
        <v>0</v>
      </c>
      <c r="AW150" s="146">
        <f t="shared" si="64"/>
        <v>0</v>
      </c>
      <c r="AX150" s="146">
        <f t="shared" si="64"/>
        <v>0</v>
      </c>
      <c r="AY150" s="146">
        <f t="shared" si="64"/>
        <v>0</v>
      </c>
      <c r="AZ150" s="146">
        <f t="shared" si="64"/>
        <v>0</v>
      </c>
      <c r="BA150" s="146">
        <f t="shared" si="64"/>
        <v>0</v>
      </c>
      <c r="BB150" s="146">
        <f t="shared" si="64"/>
        <v>0</v>
      </c>
      <c r="BC150" s="146">
        <f t="shared" si="64"/>
        <v>0</v>
      </c>
      <c r="BD150" s="146">
        <f t="shared" si="64"/>
        <v>0</v>
      </c>
      <c r="BE150" s="146">
        <f t="shared" si="64"/>
        <v>0</v>
      </c>
      <c r="BF150" s="146">
        <f t="shared" si="64"/>
        <v>0</v>
      </c>
      <c r="BG150" s="146">
        <f t="shared" si="64"/>
        <v>0</v>
      </c>
      <c r="BH150" s="146">
        <f t="shared" si="64"/>
        <v>0</v>
      </c>
      <c r="BI150" s="146">
        <f t="shared" si="64"/>
        <v>0</v>
      </c>
      <c r="BJ150" s="146">
        <f t="shared" si="64"/>
        <v>0</v>
      </c>
      <c r="BK150" s="146">
        <f t="shared" si="64"/>
        <v>0</v>
      </c>
      <c r="BL150" s="146">
        <f t="shared" si="64"/>
        <v>0</v>
      </c>
    </row>
    <row r="151" spans="1:84" x14ac:dyDescent="0.2">
      <c r="A151" s="171"/>
      <c r="B151" s="325">
        <v>44440</v>
      </c>
      <c r="C151" s="62" t="s">
        <v>6</v>
      </c>
      <c r="D151" s="31">
        <f>SUM(E151:BL151)</f>
        <v>50000</v>
      </c>
      <c r="E151" s="199">
        <f>CLIENTES!F245</f>
        <v>0</v>
      </c>
      <c r="F151" s="199">
        <f>CLIENTES!H245</f>
        <v>50000</v>
      </c>
      <c r="G151" s="199">
        <f>CLIENTES!I245</f>
        <v>0</v>
      </c>
      <c r="H151" s="199">
        <f>CLIENTES!J245</f>
        <v>0</v>
      </c>
      <c r="I151" s="199">
        <f>CLIENTES!K245</f>
        <v>0</v>
      </c>
      <c r="J151" s="199">
        <f>CLIENTES!L245</f>
        <v>0</v>
      </c>
      <c r="K151" s="199">
        <f>CLIENTES!M245</f>
        <v>0</v>
      </c>
      <c r="L151" s="199">
        <f>CLIENTES!N245</f>
        <v>0</v>
      </c>
      <c r="M151" s="199">
        <f>CLIENTES!O245</f>
        <v>0</v>
      </c>
      <c r="N151" s="199">
        <f>CLIENTES!P245</f>
        <v>0</v>
      </c>
      <c r="O151" s="199">
        <f>CLIENTES!Q245</f>
        <v>0</v>
      </c>
      <c r="P151" s="199">
        <f>CLIENTES!R245</f>
        <v>0</v>
      </c>
      <c r="Q151" s="199">
        <f>CLIENTES!S245</f>
        <v>0</v>
      </c>
      <c r="R151" s="199">
        <f>CLIENTES!T245</f>
        <v>0</v>
      </c>
      <c r="S151" s="199">
        <f>CLIENTES!U245</f>
        <v>0</v>
      </c>
      <c r="T151" s="199">
        <f>CLIENTES!V245</f>
        <v>0</v>
      </c>
      <c r="U151" s="199">
        <f>CLIENTES!W245</f>
        <v>0</v>
      </c>
      <c r="V151" s="199">
        <f>CLIENTES!X245</f>
        <v>0</v>
      </c>
      <c r="W151" s="199">
        <f>CLIENTES!Y245</f>
        <v>0</v>
      </c>
      <c r="X151" s="199">
        <f>CLIENTES!Z245</f>
        <v>0</v>
      </c>
      <c r="Y151" s="199">
        <f>CLIENTES!AA245</f>
        <v>0</v>
      </c>
      <c r="Z151" s="199">
        <f>CLIENTES!AB245</f>
        <v>0</v>
      </c>
      <c r="AA151" s="199">
        <f>CLIENTES!AC245</f>
        <v>0</v>
      </c>
      <c r="AB151" s="199">
        <f>CLIENTES!AD245</f>
        <v>0</v>
      </c>
      <c r="AC151" s="199">
        <f>CLIENTES!AE245</f>
        <v>0</v>
      </c>
      <c r="AD151" s="199">
        <f>CLIENTES!AF245</f>
        <v>0</v>
      </c>
      <c r="AE151" s="199">
        <f>CLIENTES!AG245</f>
        <v>0</v>
      </c>
      <c r="AF151" s="199">
        <f>CLIENTES!AH245</f>
        <v>0</v>
      </c>
      <c r="AG151" s="199">
        <f>CLIENTES!AI245</f>
        <v>0</v>
      </c>
      <c r="AH151" s="199">
        <f>CLIENTES!AJ245</f>
        <v>0</v>
      </c>
      <c r="AI151" s="199">
        <f>CLIENTES!AK245</f>
        <v>0</v>
      </c>
      <c r="AJ151" s="199">
        <f>CLIENTES!AL245</f>
        <v>0</v>
      </c>
      <c r="AK151" s="199">
        <f>CLIENTES!AM245</f>
        <v>0</v>
      </c>
      <c r="AL151" s="199">
        <f>CLIENTES!AN245</f>
        <v>0</v>
      </c>
      <c r="AM151" s="199">
        <f>CLIENTES!AO245</f>
        <v>0</v>
      </c>
      <c r="AN151" s="199">
        <f>CLIENTES!AP245</f>
        <v>0</v>
      </c>
      <c r="AO151" s="199">
        <f>CLIENTES!AQ245</f>
        <v>0</v>
      </c>
      <c r="AP151" s="199">
        <f>CLIENTES!AR245</f>
        <v>0</v>
      </c>
      <c r="AQ151" s="199">
        <f>CLIENTES!AS245</f>
        <v>0</v>
      </c>
      <c r="AR151" s="199">
        <f>CLIENTES!AT245</f>
        <v>0</v>
      </c>
      <c r="AS151" s="199">
        <f>CLIENTES!AU245</f>
        <v>0</v>
      </c>
      <c r="AT151" s="199">
        <f>CLIENTES!AV245</f>
        <v>0</v>
      </c>
      <c r="AU151" s="199">
        <f>CLIENTES!AW245</f>
        <v>0</v>
      </c>
      <c r="AV151" s="199">
        <f>CLIENTES!AX245</f>
        <v>0</v>
      </c>
      <c r="AW151" s="199">
        <f>CLIENTES!AY245</f>
        <v>0</v>
      </c>
      <c r="AX151" s="199">
        <f>CLIENTES!AZ245</f>
        <v>0</v>
      </c>
      <c r="AY151" s="199">
        <f>CLIENTES!BA245</f>
        <v>0</v>
      </c>
      <c r="AZ151" s="214">
        <f>CLIENTES!BB245</f>
        <v>0</v>
      </c>
      <c r="BA151" s="199">
        <f>CLIENTES!BC245</f>
        <v>0</v>
      </c>
      <c r="BB151" s="199">
        <f>CLIENTES!BD245</f>
        <v>0</v>
      </c>
      <c r="BC151" s="199">
        <f>CLIENTES!BE245</f>
        <v>0</v>
      </c>
      <c r="BD151" s="199">
        <f>CLIENTES!BF245</f>
        <v>0</v>
      </c>
      <c r="BE151" s="199">
        <f>CLIENTES!BG245</f>
        <v>0</v>
      </c>
      <c r="BF151" s="199">
        <f>CLIENTES!BH245</f>
        <v>0</v>
      </c>
      <c r="BG151" s="199">
        <f>CLIENTES!BI245</f>
        <v>0</v>
      </c>
      <c r="BH151" s="199">
        <f>CLIENTES!BJ245</f>
        <v>0</v>
      </c>
      <c r="BI151" s="199">
        <f>CLIENTES!BK245</f>
        <v>0</v>
      </c>
      <c r="BJ151" s="199">
        <f>CLIENTES!BL245</f>
        <v>0</v>
      </c>
      <c r="BK151" s="199">
        <f>CLIENTES!BM245</f>
        <v>0</v>
      </c>
      <c r="BL151" s="199">
        <f>CLIENTES!BN245</f>
        <v>0</v>
      </c>
    </row>
    <row r="152" spans="1:84" x14ac:dyDescent="0.2">
      <c r="A152" s="171"/>
      <c r="B152" s="326"/>
      <c r="C152" s="23" t="s">
        <v>9</v>
      </c>
      <c r="D152" s="27">
        <f>SUM(E152:BL152)</f>
        <v>0</v>
      </c>
      <c r="E152" s="132">
        <f>CLIENTES!F246</f>
        <v>0</v>
      </c>
      <c r="F152" s="132">
        <f>CLIENTES!H246</f>
        <v>0</v>
      </c>
      <c r="G152" s="132">
        <f>CLIENTES!I246</f>
        <v>0</v>
      </c>
      <c r="H152" s="132">
        <f>CLIENTES!J246</f>
        <v>0</v>
      </c>
      <c r="I152" s="132">
        <f>CLIENTES!K246</f>
        <v>0</v>
      </c>
      <c r="J152" s="132">
        <f>CLIENTES!L246</f>
        <v>0</v>
      </c>
      <c r="K152" s="132">
        <f>CLIENTES!M246</f>
        <v>0</v>
      </c>
      <c r="L152" s="132">
        <f>CLIENTES!N246</f>
        <v>0</v>
      </c>
      <c r="M152" s="132">
        <f>CLIENTES!O246</f>
        <v>0</v>
      </c>
      <c r="N152" s="132">
        <f>CLIENTES!P246</f>
        <v>0</v>
      </c>
      <c r="O152" s="132">
        <f>CLIENTES!Q246</f>
        <v>0</v>
      </c>
      <c r="P152" s="132">
        <f>CLIENTES!R246</f>
        <v>0</v>
      </c>
      <c r="Q152" s="132">
        <f>CLIENTES!S246</f>
        <v>0</v>
      </c>
      <c r="R152" s="132">
        <f>CLIENTES!T246</f>
        <v>0</v>
      </c>
      <c r="S152" s="132">
        <f>CLIENTES!U246</f>
        <v>0</v>
      </c>
      <c r="T152" s="132">
        <f>CLIENTES!V246</f>
        <v>0</v>
      </c>
      <c r="U152" s="132">
        <f>CLIENTES!W246</f>
        <v>0</v>
      </c>
      <c r="V152" s="132">
        <f>CLIENTES!X246</f>
        <v>0</v>
      </c>
      <c r="W152" s="132">
        <f>CLIENTES!Y246</f>
        <v>0</v>
      </c>
      <c r="X152" s="132">
        <f>CLIENTES!Z246</f>
        <v>0</v>
      </c>
      <c r="Y152" s="132">
        <f>CLIENTES!AA246</f>
        <v>0</v>
      </c>
      <c r="Z152" s="132">
        <f>CLIENTES!AB246</f>
        <v>0</v>
      </c>
      <c r="AA152" s="132">
        <f>CLIENTES!AC246</f>
        <v>0</v>
      </c>
      <c r="AB152" s="132">
        <f>CLIENTES!AD246</f>
        <v>0</v>
      </c>
      <c r="AC152" s="132">
        <f>CLIENTES!AE246</f>
        <v>0</v>
      </c>
      <c r="AD152" s="132">
        <f>CLIENTES!AF246</f>
        <v>0</v>
      </c>
      <c r="AE152" s="132">
        <f>CLIENTES!AG246</f>
        <v>0</v>
      </c>
      <c r="AF152" s="132">
        <f>CLIENTES!AH246</f>
        <v>0</v>
      </c>
      <c r="AG152" s="132">
        <f>CLIENTES!AI246</f>
        <v>0</v>
      </c>
      <c r="AH152" s="132">
        <f>CLIENTES!AJ246</f>
        <v>0</v>
      </c>
      <c r="AI152" s="132">
        <f>CLIENTES!AK246</f>
        <v>0</v>
      </c>
      <c r="AJ152" s="132">
        <f>CLIENTES!AL246</f>
        <v>0</v>
      </c>
      <c r="AK152" s="132">
        <f>CLIENTES!AM246</f>
        <v>0</v>
      </c>
      <c r="AL152" s="132">
        <f>CLIENTES!AN246</f>
        <v>0</v>
      </c>
      <c r="AM152" s="132">
        <f>CLIENTES!AO246</f>
        <v>0</v>
      </c>
      <c r="AN152" s="132">
        <f>CLIENTES!AP246</f>
        <v>0</v>
      </c>
      <c r="AO152" s="132">
        <f>CLIENTES!AQ246</f>
        <v>0</v>
      </c>
      <c r="AP152" s="132">
        <f>CLIENTES!AR246</f>
        <v>0</v>
      </c>
      <c r="AQ152" s="132">
        <f>CLIENTES!AS246</f>
        <v>0</v>
      </c>
      <c r="AR152" s="132">
        <f>CLIENTES!AT246</f>
        <v>0</v>
      </c>
      <c r="AS152" s="132">
        <f>CLIENTES!AU246</f>
        <v>0</v>
      </c>
      <c r="AT152" s="132">
        <f>CLIENTES!AV246</f>
        <v>0</v>
      </c>
      <c r="AU152" s="132">
        <f>CLIENTES!AW246</f>
        <v>0</v>
      </c>
      <c r="AV152" s="132">
        <f>CLIENTES!AX246</f>
        <v>0</v>
      </c>
      <c r="AW152" s="132">
        <f>CLIENTES!AY246</f>
        <v>0</v>
      </c>
      <c r="AX152" s="132">
        <f>CLIENTES!AZ246</f>
        <v>0</v>
      </c>
      <c r="AY152" s="132">
        <f>CLIENTES!BA246</f>
        <v>0</v>
      </c>
      <c r="AZ152" s="139">
        <f>CLIENTES!BB246</f>
        <v>0</v>
      </c>
      <c r="BA152" s="132">
        <f>CLIENTES!BC246</f>
        <v>0</v>
      </c>
      <c r="BB152" s="132">
        <f>CLIENTES!BD246</f>
        <v>0</v>
      </c>
      <c r="BC152" s="132">
        <f>CLIENTES!BE246</f>
        <v>0</v>
      </c>
      <c r="BD152" s="132">
        <f>CLIENTES!BF246</f>
        <v>0</v>
      </c>
      <c r="BE152" s="132">
        <f>CLIENTES!BG246</f>
        <v>0</v>
      </c>
      <c r="BF152" s="132">
        <f>CLIENTES!BH246</f>
        <v>0</v>
      </c>
      <c r="BG152" s="132">
        <f>CLIENTES!BI246</f>
        <v>0</v>
      </c>
      <c r="BH152" s="132">
        <f>CLIENTES!BJ246</f>
        <v>0</v>
      </c>
      <c r="BI152" s="132">
        <f>CLIENTES!BK246</f>
        <v>0</v>
      </c>
      <c r="BJ152" s="132">
        <f>CLIENTES!BL246</f>
        <v>0</v>
      </c>
      <c r="BK152" s="132">
        <f>CLIENTES!BM246</f>
        <v>0</v>
      </c>
      <c r="BL152" s="132">
        <f>CLIENTES!BN246</f>
        <v>0</v>
      </c>
    </row>
    <row r="153" spans="1:84" x14ac:dyDescent="0.2">
      <c r="B153" s="326"/>
      <c r="C153" s="23" t="s">
        <v>10</v>
      </c>
      <c r="D153" s="72">
        <f>CLIENTES!E248</f>
        <v>8.5000000000000006E-3</v>
      </c>
      <c r="E153" s="226">
        <f>CLIENTES!F248</f>
        <v>8.5000000000000006E-3</v>
      </c>
      <c r="F153" s="226">
        <f>CLIENTES!H248</f>
        <v>8.5000000000000006E-3</v>
      </c>
      <c r="G153" s="226">
        <f>CLIENTES!I248</f>
        <v>8.5000000000000006E-3</v>
      </c>
      <c r="H153" s="226">
        <f>CLIENTES!J248</f>
        <v>8.5000000000000006E-3</v>
      </c>
      <c r="I153" s="226">
        <f>CLIENTES!K248</f>
        <v>8.5000000000000006E-3</v>
      </c>
      <c r="J153" s="226">
        <f>CLIENTES!L248</f>
        <v>8.5000000000000006E-3</v>
      </c>
      <c r="K153" s="226">
        <f>CLIENTES!M248</f>
        <v>8.5000000000000006E-3</v>
      </c>
      <c r="L153" s="226">
        <f>CLIENTES!N248</f>
        <v>8.5000000000000006E-3</v>
      </c>
      <c r="M153" s="226">
        <f>CLIENTES!O248</f>
        <v>8.5000000000000006E-3</v>
      </c>
      <c r="N153" s="226">
        <f>CLIENTES!P248</f>
        <v>8.5000000000000006E-3</v>
      </c>
      <c r="O153" s="226">
        <f>CLIENTES!Q248</f>
        <v>8.5000000000000006E-3</v>
      </c>
      <c r="P153" s="226">
        <f>CLIENTES!R248</f>
        <v>8.5000000000000006E-3</v>
      </c>
      <c r="Q153" s="226">
        <f>CLIENTES!S248</f>
        <v>8.5000000000000006E-3</v>
      </c>
      <c r="R153" s="226">
        <f>CLIENTES!T248</f>
        <v>8.5000000000000006E-3</v>
      </c>
      <c r="S153" s="226">
        <f>CLIENTES!U248</f>
        <v>8.5000000000000006E-3</v>
      </c>
      <c r="T153" s="226">
        <f>CLIENTES!V248</f>
        <v>8.5000000000000006E-3</v>
      </c>
      <c r="U153" s="226">
        <f>CLIENTES!W248</f>
        <v>8.5000000000000006E-3</v>
      </c>
      <c r="V153" s="226">
        <f>CLIENTES!X248</f>
        <v>8.5000000000000006E-3</v>
      </c>
      <c r="W153" s="226">
        <f>CLIENTES!Y248</f>
        <v>8.5000000000000006E-3</v>
      </c>
      <c r="X153" s="226">
        <f>CLIENTES!Z248</f>
        <v>8.5000000000000006E-3</v>
      </c>
      <c r="Y153" s="226">
        <f>CLIENTES!AA248</f>
        <v>8.5000000000000006E-3</v>
      </c>
      <c r="Z153" s="226">
        <f>CLIENTES!AB248</f>
        <v>8.5000000000000006E-3</v>
      </c>
      <c r="AA153" s="226">
        <f>CLIENTES!AC248</f>
        <v>8.5000000000000006E-3</v>
      </c>
      <c r="AB153" s="226">
        <f>CLIENTES!AD248</f>
        <v>8.5000000000000006E-3</v>
      </c>
      <c r="AC153" s="226">
        <f>CLIENTES!AE248</f>
        <v>8.5000000000000006E-3</v>
      </c>
      <c r="AD153" s="226">
        <f>CLIENTES!AF248</f>
        <v>8.5000000000000006E-3</v>
      </c>
      <c r="AE153" s="226">
        <f>CLIENTES!AG248</f>
        <v>8.5000000000000006E-3</v>
      </c>
      <c r="AF153" s="226">
        <f>CLIENTES!AH248</f>
        <v>8.5000000000000006E-3</v>
      </c>
      <c r="AG153" s="226">
        <f>CLIENTES!AI248</f>
        <v>8.5000000000000006E-3</v>
      </c>
      <c r="AH153" s="226">
        <f>CLIENTES!AJ248</f>
        <v>8.5000000000000006E-3</v>
      </c>
      <c r="AI153" s="226">
        <f>CLIENTES!AK248</f>
        <v>8.5000000000000006E-3</v>
      </c>
      <c r="AJ153" s="226">
        <f>CLIENTES!AL248</f>
        <v>8.5000000000000006E-3</v>
      </c>
      <c r="AK153" s="226">
        <f>CLIENTES!AM248</f>
        <v>8.5000000000000006E-3</v>
      </c>
      <c r="AL153" s="226">
        <f>CLIENTES!AN248</f>
        <v>8.5000000000000006E-3</v>
      </c>
      <c r="AM153" s="226">
        <f>CLIENTES!AO248</f>
        <v>8.5000000000000006E-3</v>
      </c>
      <c r="AN153" s="226">
        <f>CLIENTES!AP248</f>
        <v>8.5000000000000006E-3</v>
      </c>
      <c r="AO153" s="226">
        <f>CLIENTES!AQ248</f>
        <v>8.5000000000000006E-3</v>
      </c>
      <c r="AP153" s="226">
        <f>CLIENTES!AR248</f>
        <v>8.5000000000000006E-3</v>
      </c>
      <c r="AQ153" s="226">
        <f>CLIENTES!AS248</f>
        <v>8.5000000000000006E-3</v>
      </c>
      <c r="AR153" s="226">
        <f>CLIENTES!AT248</f>
        <v>8.5000000000000006E-3</v>
      </c>
      <c r="AS153" s="226">
        <f>CLIENTES!AU248</f>
        <v>8.5000000000000006E-3</v>
      </c>
      <c r="AT153" s="226">
        <f>CLIENTES!AV248</f>
        <v>8.5000000000000006E-3</v>
      </c>
      <c r="AU153" s="226">
        <f>CLIENTES!AW248</f>
        <v>8.5000000000000006E-3</v>
      </c>
      <c r="AV153" s="226">
        <f>CLIENTES!AX248</f>
        <v>8.5000000000000006E-3</v>
      </c>
      <c r="AW153" s="226">
        <f>CLIENTES!AY248</f>
        <v>8.5000000000000006E-3</v>
      </c>
      <c r="AX153" s="226">
        <f>CLIENTES!AZ248</f>
        <v>8.5000000000000006E-3</v>
      </c>
      <c r="AY153" s="226">
        <f>CLIENTES!BA248</f>
        <v>8.5000000000000006E-3</v>
      </c>
      <c r="AZ153" s="226">
        <f>CLIENTES!BB248</f>
        <v>8.5000000000000006E-3</v>
      </c>
      <c r="BA153" s="226">
        <f>CLIENTES!BC248</f>
        <v>8.5000000000000006E-3</v>
      </c>
      <c r="BB153" s="226">
        <f>CLIENTES!BD248</f>
        <v>8.5000000000000006E-3</v>
      </c>
      <c r="BC153" s="226">
        <f>CLIENTES!BE248</f>
        <v>8.5000000000000006E-3</v>
      </c>
      <c r="BD153" s="226">
        <f>CLIENTES!BF248</f>
        <v>8.5000000000000006E-3</v>
      </c>
      <c r="BE153" s="226">
        <f>CLIENTES!BG248</f>
        <v>8.5000000000000006E-3</v>
      </c>
      <c r="BF153" s="226">
        <f>CLIENTES!BH248</f>
        <v>8.5000000000000006E-3</v>
      </c>
      <c r="BG153" s="226">
        <f>CLIENTES!BI248</f>
        <v>8.5000000000000006E-3</v>
      </c>
      <c r="BH153" s="226">
        <f>CLIENTES!BJ248</f>
        <v>8.5000000000000006E-3</v>
      </c>
      <c r="BI153" s="226">
        <f>CLIENTES!BK248</f>
        <v>8.5000000000000006E-3</v>
      </c>
      <c r="BJ153" s="226">
        <f>CLIENTES!BL248</f>
        <v>8.5000000000000006E-3</v>
      </c>
      <c r="BK153" s="226">
        <f>CLIENTES!BM248</f>
        <v>8.5000000000000006E-3</v>
      </c>
      <c r="BL153" s="226">
        <f>CLIENTES!BN248</f>
        <v>8.5000000000000006E-3</v>
      </c>
    </row>
    <row r="154" spans="1:84" x14ac:dyDescent="0.2">
      <c r="B154" s="326"/>
      <c r="C154" s="58" t="s">
        <v>23</v>
      </c>
      <c r="D154" s="27">
        <f>SUM(E154:BL154)</f>
        <v>27038.070453000422</v>
      </c>
      <c r="E154" s="139">
        <f>IF((E150+E151-E152)*E153&lt;0,0,(E150+E151-E152)*E153)</f>
        <v>13494.009819039482</v>
      </c>
      <c r="F154" s="139">
        <f t="shared" ref="F154:BL154" si="65">IF((F150+F151-F152)*F153&lt;0,0,(F150+F151-F152)*F153)</f>
        <v>13544.060633960942</v>
      </c>
      <c r="G154" s="139">
        <f t="shared" si="65"/>
        <v>0</v>
      </c>
      <c r="H154" s="139">
        <f t="shared" si="65"/>
        <v>0</v>
      </c>
      <c r="I154" s="139">
        <f t="shared" si="65"/>
        <v>0</v>
      </c>
      <c r="J154" s="139">
        <f t="shared" si="65"/>
        <v>0</v>
      </c>
      <c r="K154" s="139">
        <f t="shared" si="65"/>
        <v>0</v>
      </c>
      <c r="L154" s="139">
        <f t="shared" si="65"/>
        <v>0</v>
      </c>
      <c r="M154" s="139">
        <f t="shared" si="65"/>
        <v>0</v>
      </c>
      <c r="N154" s="139">
        <f t="shared" si="65"/>
        <v>0</v>
      </c>
      <c r="O154" s="139">
        <f t="shared" si="65"/>
        <v>0</v>
      </c>
      <c r="P154" s="139">
        <f t="shared" si="65"/>
        <v>0</v>
      </c>
      <c r="Q154" s="139">
        <f t="shared" si="65"/>
        <v>0</v>
      </c>
      <c r="R154" s="139">
        <f t="shared" si="65"/>
        <v>0</v>
      </c>
      <c r="S154" s="139">
        <f t="shared" si="65"/>
        <v>0</v>
      </c>
      <c r="T154" s="139">
        <f t="shared" si="65"/>
        <v>0</v>
      </c>
      <c r="U154" s="139">
        <f t="shared" si="65"/>
        <v>0</v>
      </c>
      <c r="V154" s="139">
        <f t="shared" si="65"/>
        <v>0</v>
      </c>
      <c r="W154" s="139">
        <f t="shared" si="65"/>
        <v>0</v>
      </c>
      <c r="X154" s="139">
        <f t="shared" si="65"/>
        <v>0</v>
      </c>
      <c r="Y154" s="139">
        <f t="shared" si="65"/>
        <v>0</v>
      </c>
      <c r="Z154" s="139">
        <f t="shared" si="65"/>
        <v>0</v>
      </c>
      <c r="AA154" s="139">
        <f t="shared" si="65"/>
        <v>0</v>
      </c>
      <c r="AB154" s="139">
        <f t="shared" si="65"/>
        <v>0</v>
      </c>
      <c r="AC154" s="139">
        <f t="shared" si="65"/>
        <v>0</v>
      </c>
      <c r="AD154" s="139">
        <f t="shared" si="65"/>
        <v>0</v>
      </c>
      <c r="AE154" s="139">
        <f t="shared" si="65"/>
        <v>0</v>
      </c>
      <c r="AF154" s="139">
        <f t="shared" si="65"/>
        <v>0</v>
      </c>
      <c r="AG154" s="139">
        <f t="shared" si="65"/>
        <v>0</v>
      </c>
      <c r="AH154" s="139">
        <f t="shared" si="65"/>
        <v>0</v>
      </c>
      <c r="AI154" s="139">
        <f t="shared" si="65"/>
        <v>0</v>
      </c>
      <c r="AJ154" s="139">
        <f t="shared" si="65"/>
        <v>0</v>
      </c>
      <c r="AK154" s="139">
        <f t="shared" si="65"/>
        <v>0</v>
      </c>
      <c r="AL154" s="139">
        <f t="shared" si="65"/>
        <v>0</v>
      </c>
      <c r="AM154" s="139">
        <f t="shared" si="65"/>
        <v>0</v>
      </c>
      <c r="AN154" s="139">
        <f t="shared" si="65"/>
        <v>0</v>
      </c>
      <c r="AO154" s="139">
        <f t="shared" si="65"/>
        <v>0</v>
      </c>
      <c r="AP154" s="139">
        <f t="shared" si="65"/>
        <v>0</v>
      </c>
      <c r="AQ154" s="139">
        <f t="shared" si="65"/>
        <v>0</v>
      </c>
      <c r="AR154" s="139">
        <f t="shared" si="65"/>
        <v>0</v>
      </c>
      <c r="AS154" s="139">
        <f t="shared" si="65"/>
        <v>0</v>
      </c>
      <c r="AT154" s="139">
        <f t="shared" si="65"/>
        <v>0</v>
      </c>
      <c r="AU154" s="139">
        <f t="shared" si="65"/>
        <v>0</v>
      </c>
      <c r="AV154" s="139">
        <f t="shared" si="65"/>
        <v>0</v>
      </c>
      <c r="AW154" s="139">
        <f t="shared" si="65"/>
        <v>0</v>
      </c>
      <c r="AX154" s="139">
        <f t="shared" si="65"/>
        <v>0</v>
      </c>
      <c r="AY154" s="139">
        <f t="shared" si="65"/>
        <v>0</v>
      </c>
      <c r="AZ154" s="139">
        <f t="shared" si="65"/>
        <v>0</v>
      </c>
      <c r="BA154" s="139">
        <f t="shared" si="65"/>
        <v>0</v>
      </c>
      <c r="BB154" s="139">
        <f t="shared" si="65"/>
        <v>0</v>
      </c>
      <c r="BC154" s="139">
        <f t="shared" si="65"/>
        <v>0</v>
      </c>
      <c r="BD154" s="139">
        <f t="shared" si="65"/>
        <v>0</v>
      </c>
      <c r="BE154" s="139">
        <f t="shared" si="65"/>
        <v>0</v>
      </c>
      <c r="BF154" s="139">
        <f t="shared" si="65"/>
        <v>0</v>
      </c>
      <c r="BG154" s="139">
        <f t="shared" si="65"/>
        <v>0</v>
      </c>
      <c r="BH154" s="139">
        <f t="shared" si="65"/>
        <v>0</v>
      </c>
      <c r="BI154" s="139">
        <f t="shared" si="65"/>
        <v>0</v>
      </c>
      <c r="BJ154" s="139">
        <f t="shared" si="65"/>
        <v>0</v>
      </c>
      <c r="BK154" s="139">
        <f t="shared" si="65"/>
        <v>0</v>
      </c>
      <c r="BL154" s="139">
        <f t="shared" si="65"/>
        <v>0</v>
      </c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</row>
    <row r="155" spans="1:84" ht="13.5" thickBot="1" x14ac:dyDescent="0.25">
      <c r="B155" s="327"/>
      <c r="C155" s="25" t="s">
        <v>22</v>
      </c>
      <c r="D155" s="30">
        <f>SUM(E155:BL155)</f>
        <v>3207987.5355118737</v>
      </c>
      <c r="E155" s="146">
        <f>+E150-E152+E151+E154</f>
        <v>1601024.5767648607</v>
      </c>
      <c r="F155" s="146">
        <f t="shared" ref="F155:BL155" si="66">+F150-F152+F151+F154</f>
        <v>1606962.9587470128</v>
      </c>
      <c r="G155" s="146">
        <f t="shared" si="66"/>
        <v>0</v>
      </c>
      <c r="H155" s="146">
        <f t="shared" si="66"/>
        <v>0</v>
      </c>
      <c r="I155" s="146">
        <f t="shared" si="66"/>
        <v>0</v>
      </c>
      <c r="J155" s="146">
        <f t="shared" si="66"/>
        <v>0</v>
      </c>
      <c r="K155" s="146">
        <f t="shared" si="66"/>
        <v>0</v>
      </c>
      <c r="L155" s="146">
        <f t="shared" si="66"/>
        <v>0</v>
      </c>
      <c r="M155" s="146">
        <f t="shared" si="66"/>
        <v>0</v>
      </c>
      <c r="N155" s="146">
        <f t="shared" si="66"/>
        <v>0</v>
      </c>
      <c r="O155" s="146">
        <f t="shared" si="66"/>
        <v>0</v>
      </c>
      <c r="P155" s="146">
        <f t="shared" si="66"/>
        <v>0</v>
      </c>
      <c r="Q155" s="146">
        <f t="shared" si="66"/>
        <v>0</v>
      </c>
      <c r="R155" s="146">
        <f t="shared" si="66"/>
        <v>0</v>
      </c>
      <c r="S155" s="146">
        <f t="shared" si="66"/>
        <v>0</v>
      </c>
      <c r="T155" s="146">
        <f t="shared" si="66"/>
        <v>0</v>
      </c>
      <c r="U155" s="146">
        <f t="shared" si="66"/>
        <v>0</v>
      </c>
      <c r="V155" s="146">
        <f t="shared" si="66"/>
        <v>0</v>
      </c>
      <c r="W155" s="146">
        <f t="shared" si="66"/>
        <v>0</v>
      </c>
      <c r="X155" s="146">
        <f t="shared" si="66"/>
        <v>0</v>
      </c>
      <c r="Y155" s="146">
        <f t="shared" si="66"/>
        <v>0</v>
      </c>
      <c r="Z155" s="146">
        <f t="shared" si="66"/>
        <v>0</v>
      </c>
      <c r="AA155" s="146">
        <f t="shared" si="66"/>
        <v>0</v>
      </c>
      <c r="AB155" s="146">
        <f t="shared" si="66"/>
        <v>0</v>
      </c>
      <c r="AC155" s="146">
        <f t="shared" si="66"/>
        <v>0</v>
      </c>
      <c r="AD155" s="146">
        <f t="shared" si="66"/>
        <v>0</v>
      </c>
      <c r="AE155" s="146">
        <f t="shared" si="66"/>
        <v>0</v>
      </c>
      <c r="AF155" s="146">
        <f t="shared" si="66"/>
        <v>0</v>
      </c>
      <c r="AG155" s="146">
        <f t="shared" si="66"/>
        <v>0</v>
      </c>
      <c r="AH155" s="146">
        <f t="shared" si="66"/>
        <v>0</v>
      </c>
      <c r="AI155" s="146">
        <f t="shared" si="66"/>
        <v>0</v>
      </c>
      <c r="AJ155" s="146">
        <f t="shared" si="66"/>
        <v>0</v>
      </c>
      <c r="AK155" s="146">
        <f t="shared" si="66"/>
        <v>0</v>
      </c>
      <c r="AL155" s="146">
        <f t="shared" si="66"/>
        <v>0</v>
      </c>
      <c r="AM155" s="146">
        <f t="shared" si="66"/>
        <v>0</v>
      </c>
      <c r="AN155" s="146">
        <f t="shared" si="66"/>
        <v>0</v>
      </c>
      <c r="AO155" s="146">
        <f t="shared" si="66"/>
        <v>0</v>
      </c>
      <c r="AP155" s="146">
        <f t="shared" si="66"/>
        <v>0</v>
      </c>
      <c r="AQ155" s="146">
        <f t="shared" si="66"/>
        <v>0</v>
      </c>
      <c r="AR155" s="146">
        <f t="shared" si="66"/>
        <v>0</v>
      </c>
      <c r="AS155" s="146">
        <f t="shared" si="66"/>
        <v>0</v>
      </c>
      <c r="AT155" s="146">
        <f t="shared" si="66"/>
        <v>0</v>
      </c>
      <c r="AU155" s="146">
        <f t="shared" si="66"/>
        <v>0</v>
      </c>
      <c r="AV155" s="146">
        <f t="shared" si="66"/>
        <v>0</v>
      </c>
      <c r="AW155" s="146">
        <f t="shared" si="66"/>
        <v>0</v>
      </c>
      <c r="AX155" s="146">
        <f t="shared" si="66"/>
        <v>0</v>
      </c>
      <c r="AY155" s="146">
        <f t="shared" si="66"/>
        <v>0</v>
      </c>
      <c r="AZ155" s="146">
        <f t="shared" si="66"/>
        <v>0</v>
      </c>
      <c r="BA155" s="146">
        <f t="shared" si="66"/>
        <v>0</v>
      </c>
      <c r="BB155" s="146">
        <f t="shared" si="66"/>
        <v>0</v>
      </c>
      <c r="BC155" s="146">
        <f t="shared" si="66"/>
        <v>0</v>
      </c>
      <c r="BD155" s="146">
        <f t="shared" si="66"/>
        <v>0</v>
      </c>
      <c r="BE155" s="146">
        <f t="shared" si="66"/>
        <v>0</v>
      </c>
      <c r="BF155" s="146">
        <f t="shared" si="66"/>
        <v>0</v>
      </c>
      <c r="BG155" s="146">
        <f t="shared" si="66"/>
        <v>0</v>
      </c>
      <c r="BH155" s="146">
        <f t="shared" si="66"/>
        <v>0</v>
      </c>
      <c r="BI155" s="146">
        <f t="shared" si="66"/>
        <v>0</v>
      </c>
      <c r="BJ155" s="146">
        <f t="shared" si="66"/>
        <v>0</v>
      </c>
      <c r="BK155" s="146">
        <f t="shared" si="66"/>
        <v>0</v>
      </c>
      <c r="BL155" s="146">
        <f t="shared" si="66"/>
        <v>0</v>
      </c>
    </row>
    <row r="156" spans="1:84" x14ac:dyDescent="0.2">
      <c r="A156" s="171"/>
      <c r="B156" s="325">
        <v>44470</v>
      </c>
      <c r="C156" s="62" t="s">
        <v>6</v>
      </c>
      <c r="D156" s="240">
        <f>SUM(E156:BL156)</f>
        <v>50000</v>
      </c>
      <c r="E156" s="241">
        <f>CLIENTES!F253</f>
        <v>0</v>
      </c>
      <c r="F156" s="241">
        <f>CLIENTES!H253</f>
        <v>50000</v>
      </c>
      <c r="G156" s="241">
        <f>CLIENTES!I253</f>
        <v>0</v>
      </c>
      <c r="H156" s="241">
        <f>CLIENTES!J253</f>
        <v>0</v>
      </c>
      <c r="I156" s="241">
        <f>CLIENTES!K253</f>
        <v>0</v>
      </c>
      <c r="J156" s="241">
        <f>CLIENTES!L253</f>
        <v>0</v>
      </c>
      <c r="K156" s="241">
        <f>CLIENTES!M253</f>
        <v>0</v>
      </c>
      <c r="L156" s="241">
        <f>CLIENTES!N253</f>
        <v>0</v>
      </c>
      <c r="M156" s="241">
        <f>CLIENTES!O253</f>
        <v>0</v>
      </c>
      <c r="N156" s="241">
        <f>CLIENTES!P253</f>
        <v>0</v>
      </c>
      <c r="O156" s="241">
        <f>CLIENTES!Q253</f>
        <v>0</v>
      </c>
      <c r="P156" s="241">
        <f>CLIENTES!R253</f>
        <v>0</v>
      </c>
      <c r="Q156" s="241">
        <f>CLIENTES!S253</f>
        <v>0</v>
      </c>
      <c r="R156" s="241">
        <f>CLIENTES!T253</f>
        <v>0</v>
      </c>
      <c r="S156" s="241">
        <f>CLIENTES!U253</f>
        <v>0</v>
      </c>
      <c r="T156" s="241">
        <f>CLIENTES!V253</f>
        <v>0</v>
      </c>
      <c r="U156" s="241">
        <f>CLIENTES!W253</f>
        <v>0</v>
      </c>
      <c r="V156" s="241">
        <f>CLIENTES!X253</f>
        <v>0</v>
      </c>
      <c r="W156" s="241">
        <f>CLIENTES!Y253</f>
        <v>0</v>
      </c>
      <c r="X156" s="241">
        <f>CLIENTES!Z253</f>
        <v>0</v>
      </c>
      <c r="Y156" s="241">
        <f>CLIENTES!AA253</f>
        <v>0</v>
      </c>
      <c r="Z156" s="241">
        <f>CLIENTES!AB253</f>
        <v>0</v>
      </c>
      <c r="AA156" s="241">
        <f>CLIENTES!AC253</f>
        <v>0</v>
      </c>
      <c r="AB156" s="241">
        <f>CLIENTES!AD253</f>
        <v>0</v>
      </c>
      <c r="AC156" s="241">
        <f>CLIENTES!AE253</f>
        <v>0</v>
      </c>
      <c r="AD156" s="241">
        <f>CLIENTES!AF253</f>
        <v>0</v>
      </c>
      <c r="AE156" s="241">
        <f>CLIENTES!AG253</f>
        <v>0</v>
      </c>
      <c r="AF156" s="241">
        <f>CLIENTES!AH253</f>
        <v>0</v>
      </c>
      <c r="AG156" s="241">
        <f>CLIENTES!AI253</f>
        <v>0</v>
      </c>
      <c r="AH156" s="241">
        <f>CLIENTES!AJ253</f>
        <v>0</v>
      </c>
      <c r="AI156" s="241">
        <f>CLIENTES!AK253</f>
        <v>0</v>
      </c>
      <c r="AJ156" s="241">
        <f>CLIENTES!AL253</f>
        <v>0</v>
      </c>
      <c r="AK156" s="241">
        <f>CLIENTES!AM253</f>
        <v>0</v>
      </c>
      <c r="AL156" s="241">
        <f>CLIENTES!AN253</f>
        <v>0</v>
      </c>
      <c r="AM156" s="241">
        <f>CLIENTES!AO253</f>
        <v>0</v>
      </c>
      <c r="AN156" s="241">
        <f>CLIENTES!AP253</f>
        <v>0</v>
      </c>
      <c r="AO156" s="241">
        <f>CLIENTES!AQ253</f>
        <v>0</v>
      </c>
      <c r="AP156" s="241">
        <f>CLIENTES!AR253</f>
        <v>0</v>
      </c>
      <c r="AQ156" s="241">
        <f>CLIENTES!AS253</f>
        <v>0</v>
      </c>
      <c r="AR156" s="241">
        <f>CLIENTES!AT253</f>
        <v>0</v>
      </c>
      <c r="AS156" s="241">
        <f>CLIENTES!AU253</f>
        <v>0</v>
      </c>
      <c r="AT156" s="241">
        <f>CLIENTES!AV253</f>
        <v>0</v>
      </c>
      <c r="AU156" s="241">
        <f>CLIENTES!AW253</f>
        <v>0</v>
      </c>
      <c r="AV156" s="241">
        <f>CLIENTES!AX253</f>
        <v>0</v>
      </c>
      <c r="AW156" s="241">
        <f>CLIENTES!AY253</f>
        <v>0</v>
      </c>
      <c r="AX156" s="241">
        <f>CLIENTES!AZ253</f>
        <v>0</v>
      </c>
      <c r="AY156" s="241">
        <f>CLIENTES!BA253</f>
        <v>0</v>
      </c>
      <c r="AZ156" s="243">
        <f>CLIENTES!BB253</f>
        <v>0</v>
      </c>
      <c r="BA156" s="241">
        <f>CLIENTES!BC253</f>
        <v>0</v>
      </c>
      <c r="BB156" s="241">
        <f>CLIENTES!BD253</f>
        <v>0</v>
      </c>
      <c r="BC156" s="241">
        <f>CLIENTES!BE253</f>
        <v>0</v>
      </c>
      <c r="BD156" s="241">
        <f>CLIENTES!BF253</f>
        <v>0</v>
      </c>
      <c r="BE156" s="241">
        <f>CLIENTES!BG253</f>
        <v>0</v>
      </c>
      <c r="BF156" s="241">
        <f>CLIENTES!BH253</f>
        <v>0</v>
      </c>
      <c r="BG156" s="241">
        <f>CLIENTES!BI253</f>
        <v>0</v>
      </c>
      <c r="BH156" s="241">
        <f>CLIENTES!BJ253</f>
        <v>0</v>
      </c>
      <c r="BI156" s="241">
        <f>CLIENTES!BK253</f>
        <v>0</v>
      </c>
      <c r="BJ156" s="241">
        <f>CLIENTES!BL253</f>
        <v>0</v>
      </c>
      <c r="BK156" s="241">
        <f>CLIENTES!BM253</f>
        <v>0</v>
      </c>
      <c r="BL156" s="241">
        <f>CLIENTES!BN253</f>
        <v>0</v>
      </c>
    </row>
    <row r="157" spans="1:84" x14ac:dyDescent="0.2">
      <c r="A157" s="171"/>
      <c r="B157" s="326"/>
      <c r="C157" s="23" t="s">
        <v>9</v>
      </c>
      <c r="D157" s="27">
        <f>SUM(E157:BL157)</f>
        <v>0</v>
      </c>
      <c r="E157" s="132">
        <f>CLIENTES!F254</f>
        <v>0</v>
      </c>
      <c r="F157" s="132">
        <f>CLIENTES!H254</f>
        <v>0</v>
      </c>
      <c r="G157" s="132">
        <f>CLIENTES!I254</f>
        <v>0</v>
      </c>
      <c r="H157" s="132">
        <f>CLIENTES!J254</f>
        <v>0</v>
      </c>
      <c r="I157" s="132">
        <f>CLIENTES!K254</f>
        <v>0</v>
      </c>
      <c r="J157" s="132">
        <f>CLIENTES!L254</f>
        <v>0</v>
      </c>
      <c r="K157" s="132">
        <f>CLIENTES!M254</f>
        <v>0</v>
      </c>
      <c r="L157" s="132">
        <f>CLIENTES!N254</f>
        <v>0</v>
      </c>
      <c r="M157" s="132">
        <f>CLIENTES!O254</f>
        <v>0</v>
      </c>
      <c r="N157" s="132">
        <f>CLIENTES!P254</f>
        <v>0</v>
      </c>
      <c r="O157" s="132">
        <f>CLIENTES!Q254</f>
        <v>0</v>
      </c>
      <c r="P157" s="132">
        <f>CLIENTES!R254</f>
        <v>0</v>
      </c>
      <c r="Q157" s="132">
        <f>CLIENTES!S254</f>
        <v>0</v>
      </c>
      <c r="R157" s="132">
        <f>CLIENTES!T254</f>
        <v>0</v>
      </c>
      <c r="S157" s="132">
        <f>CLIENTES!U254</f>
        <v>0</v>
      </c>
      <c r="T157" s="132">
        <f>CLIENTES!V254</f>
        <v>0</v>
      </c>
      <c r="U157" s="132">
        <f>CLIENTES!W254</f>
        <v>0</v>
      </c>
      <c r="V157" s="132">
        <f>CLIENTES!X254</f>
        <v>0</v>
      </c>
      <c r="W157" s="132">
        <f>CLIENTES!Y254</f>
        <v>0</v>
      </c>
      <c r="X157" s="132">
        <f>CLIENTES!Z254</f>
        <v>0</v>
      </c>
      <c r="Y157" s="132">
        <f>CLIENTES!AA254</f>
        <v>0</v>
      </c>
      <c r="Z157" s="132">
        <f>CLIENTES!AB254</f>
        <v>0</v>
      </c>
      <c r="AA157" s="132">
        <f>CLIENTES!AC254</f>
        <v>0</v>
      </c>
      <c r="AB157" s="132">
        <f>CLIENTES!AD254</f>
        <v>0</v>
      </c>
      <c r="AC157" s="132">
        <f>CLIENTES!AE254</f>
        <v>0</v>
      </c>
      <c r="AD157" s="132">
        <f>CLIENTES!AF254</f>
        <v>0</v>
      </c>
      <c r="AE157" s="132">
        <f>CLIENTES!AG254</f>
        <v>0</v>
      </c>
      <c r="AF157" s="132">
        <f>CLIENTES!AH254</f>
        <v>0</v>
      </c>
      <c r="AG157" s="132">
        <f>CLIENTES!AI254</f>
        <v>0</v>
      </c>
      <c r="AH157" s="132">
        <f>CLIENTES!AJ254</f>
        <v>0</v>
      </c>
      <c r="AI157" s="132">
        <f>CLIENTES!AK254</f>
        <v>0</v>
      </c>
      <c r="AJ157" s="132">
        <f>CLIENTES!AL254</f>
        <v>0</v>
      </c>
      <c r="AK157" s="132">
        <f>CLIENTES!AM254</f>
        <v>0</v>
      </c>
      <c r="AL157" s="132">
        <f>CLIENTES!AN254</f>
        <v>0</v>
      </c>
      <c r="AM157" s="132">
        <f>CLIENTES!AO254</f>
        <v>0</v>
      </c>
      <c r="AN157" s="132">
        <f>CLIENTES!AP254</f>
        <v>0</v>
      </c>
      <c r="AO157" s="132">
        <f>CLIENTES!AQ254</f>
        <v>0</v>
      </c>
      <c r="AP157" s="132">
        <f>CLIENTES!AR254</f>
        <v>0</v>
      </c>
      <c r="AQ157" s="132">
        <f>CLIENTES!AS254</f>
        <v>0</v>
      </c>
      <c r="AR157" s="132">
        <f>CLIENTES!AT254</f>
        <v>0</v>
      </c>
      <c r="AS157" s="132">
        <f>CLIENTES!AU254</f>
        <v>0</v>
      </c>
      <c r="AT157" s="132">
        <f>CLIENTES!AV254</f>
        <v>0</v>
      </c>
      <c r="AU157" s="132">
        <f>CLIENTES!AW254</f>
        <v>0</v>
      </c>
      <c r="AV157" s="132">
        <f>CLIENTES!AX254</f>
        <v>0</v>
      </c>
      <c r="AW157" s="132">
        <f>CLIENTES!AY254</f>
        <v>0</v>
      </c>
      <c r="AX157" s="132">
        <f>CLIENTES!AZ254</f>
        <v>0</v>
      </c>
      <c r="AY157" s="132">
        <f>CLIENTES!BA254</f>
        <v>0</v>
      </c>
      <c r="AZ157" s="139">
        <f>CLIENTES!BB254</f>
        <v>0</v>
      </c>
      <c r="BA157" s="132">
        <f>CLIENTES!BC254</f>
        <v>0</v>
      </c>
      <c r="BB157" s="132">
        <f>CLIENTES!BD254</f>
        <v>0</v>
      </c>
      <c r="BC157" s="132">
        <f>CLIENTES!BE254</f>
        <v>0</v>
      </c>
      <c r="BD157" s="132">
        <f>CLIENTES!BF254</f>
        <v>0</v>
      </c>
      <c r="BE157" s="132">
        <f>CLIENTES!BG254</f>
        <v>0</v>
      </c>
      <c r="BF157" s="132">
        <f>CLIENTES!BH254</f>
        <v>0</v>
      </c>
      <c r="BG157" s="132">
        <f>CLIENTES!BI254</f>
        <v>0</v>
      </c>
      <c r="BH157" s="132">
        <f>CLIENTES!BJ254</f>
        <v>0</v>
      </c>
      <c r="BI157" s="132">
        <f>CLIENTES!BK254</f>
        <v>0</v>
      </c>
      <c r="BJ157" s="132">
        <f>CLIENTES!BL254</f>
        <v>0</v>
      </c>
      <c r="BK157" s="132">
        <f>CLIENTES!BM254</f>
        <v>0</v>
      </c>
      <c r="BL157" s="132">
        <f>CLIENTES!BN254</f>
        <v>0</v>
      </c>
    </row>
    <row r="158" spans="1:84" x14ac:dyDescent="0.2">
      <c r="B158" s="326"/>
      <c r="C158" s="23" t="s">
        <v>10</v>
      </c>
      <c r="D158" s="72">
        <v>4.5999999999999999E-3</v>
      </c>
      <c r="E158" s="226">
        <f>D$158</f>
        <v>4.5999999999999999E-3</v>
      </c>
      <c r="F158" s="226">
        <f t="shared" ref="F158:BL158" si="67">E$158</f>
        <v>4.5999999999999999E-3</v>
      </c>
      <c r="G158" s="226">
        <f t="shared" si="67"/>
        <v>4.5999999999999999E-3</v>
      </c>
      <c r="H158" s="226">
        <f t="shared" si="67"/>
        <v>4.5999999999999999E-3</v>
      </c>
      <c r="I158" s="226">
        <f t="shared" si="67"/>
        <v>4.5999999999999999E-3</v>
      </c>
      <c r="J158" s="226">
        <f t="shared" si="67"/>
        <v>4.5999999999999999E-3</v>
      </c>
      <c r="K158" s="226">
        <f t="shared" si="67"/>
        <v>4.5999999999999999E-3</v>
      </c>
      <c r="L158" s="226">
        <f t="shared" si="67"/>
        <v>4.5999999999999999E-3</v>
      </c>
      <c r="M158" s="226">
        <f t="shared" si="67"/>
        <v>4.5999999999999999E-3</v>
      </c>
      <c r="N158" s="226">
        <f t="shared" si="67"/>
        <v>4.5999999999999999E-3</v>
      </c>
      <c r="O158" s="226">
        <f t="shared" si="67"/>
        <v>4.5999999999999999E-3</v>
      </c>
      <c r="P158" s="226">
        <f t="shared" si="67"/>
        <v>4.5999999999999999E-3</v>
      </c>
      <c r="Q158" s="226">
        <f t="shared" si="67"/>
        <v>4.5999999999999999E-3</v>
      </c>
      <c r="R158" s="226">
        <f t="shared" si="67"/>
        <v>4.5999999999999999E-3</v>
      </c>
      <c r="S158" s="226">
        <f t="shared" si="67"/>
        <v>4.5999999999999999E-3</v>
      </c>
      <c r="T158" s="226">
        <f t="shared" si="67"/>
        <v>4.5999999999999999E-3</v>
      </c>
      <c r="U158" s="226">
        <f t="shared" si="67"/>
        <v>4.5999999999999999E-3</v>
      </c>
      <c r="V158" s="226">
        <f t="shared" si="67"/>
        <v>4.5999999999999999E-3</v>
      </c>
      <c r="W158" s="226">
        <f t="shared" si="67"/>
        <v>4.5999999999999999E-3</v>
      </c>
      <c r="X158" s="226">
        <f t="shared" si="67"/>
        <v>4.5999999999999999E-3</v>
      </c>
      <c r="Y158" s="226">
        <f t="shared" si="67"/>
        <v>4.5999999999999999E-3</v>
      </c>
      <c r="Z158" s="226">
        <f t="shared" si="67"/>
        <v>4.5999999999999999E-3</v>
      </c>
      <c r="AA158" s="226">
        <f t="shared" si="67"/>
        <v>4.5999999999999999E-3</v>
      </c>
      <c r="AB158" s="226">
        <f t="shared" si="67"/>
        <v>4.5999999999999999E-3</v>
      </c>
      <c r="AC158" s="226">
        <f t="shared" si="67"/>
        <v>4.5999999999999999E-3</v>
      </c>
      <c r="AD158" s="226">
        <f t="shared" si="67"/>
        <v>4.5999999999999999E-3</v>
      </c>
      <c r="AE158" s="226">
        <f t="shared" si="67"/>
        <v>4.5999999999999999E-3</v>
      </c>
      <c r="AF158" s="226">
        <f t="shared" si="67"/>
        <v>4.5999999999999999E-3</v>
      </c>
      <c r="AG158" s="226">
        <f t="shared" si="67"/>
        <v>4.5999999999999999E-3</v>
      </c>
      <c r="AH158" s="226">
        <f t="shared" si="67"/>
        <v>4.5999999999999999E-3</v>
      </c>
      <c r="AI158" s="226">
        <f t="shared" si="67"/>
        <v>4.5999999999999999E-3</v>
      </c>
      <c r="AJ158" s="226">
        <f t="shared" si="67"/>
        <v>4.5999999999999999E-3</v>
      </c>
      <c r="AK158" s="226">
        <f t="shared" si="67"/>
        <v>4.5999999999999999E-3</v>
      </c>
      <c r="AL158" s="226">
        <f t="shared" si="67"/>
        <v>4.5999999999999999E-3</v>
      </c>
      <c r="AM158" s="226">
        <f t="shared" si="67"/>
        <v>4.5999999999999999E-3</v>
      </c>
      <c r="AN158" s="226">
        <f t="shared" si="67"/>
        <v>4.5999999999999999E-3</v>
      </c>
      <c r="AO158" s="226">
        <f t="shared" si="67"/>
        <v>4.5999999999999999E-3</v>
      </c>
      <c r="AP158" s="226">
        <f t="shared" si="67"/>
        <v>4.5999999999999999E-3</v>
      </c>
      <c r="AQ158" s="226">
        <f t="shared" si="67"/>
        <v>4.5999999999999999E-3</v>
      </c>
      <c r="AR158" s="226">
        <f t="shared" si="67"/>
        <v>4.5999999999999999E-3</v>
      </c>
      <c r="AS158" s="226">
        <f t="shared" si="67"/>
        <v>4.5999999999999999E-3</v>
      </c>
      <c r="AT158" s="226">
        <f t="shared" si="67"/>
        <v>4.5999999999999999E-3</v>
      </c>
      <c r="AU158" s="226">
        <f t="shared" si="67"/>
        <v>4.5999999999999999E-3</v>
      </c>
      <c r="AV158" s="226">
        <f t="shared" si="67"/>
        <v>4.5999999999999999E-3</v>
      </c>
      <c r="AW158" s="226">
        <f t="shared" si="67"/>
        <v>4.5999999999999999E-3</v>
      </c>
      <c r="AX158" s="226">
        <f t="shared" si="67"/>
        <v>4.5999999999999999E-3</v>
      </c>
      <c r="AY158" s="226">
        <f t="shared" si="67"/>
        <v>4.5999999999999999E-3</v>
      </c>
      <c r="AZ158" s="226">
        <f t="shared" si="67"/>
        <v>4.5999999999999999E-3</v>
      </c>
      <c r="BA158" s="226">
        <f t="shared" si="67"/>
        <v>4.5999999999999999E-3</v>
      </c>
      <c r="BB158" s="226">
        <f t="shared" si="67"/>
        <v>4.5999999999999999E-3</v>
      </c>
      <c r="BC158" s="226">
        <f t="shared" si="67"/>
        <v>4.5999999999999999E-3</v>
      </c>
      <c r="BD158" s="226">
        <f t="shared" si="67"/>
        <v>4.5999999999999999E-3</v>
      </c>
      <c r="BE158" s="226">
        <f t="shared" si="67"/>
        <v>4.5999999999999999E-3</v>
      </c>
      <c r="BF158" s="226">
        <f t="shared" si="67"/>
        <v>4.5999999999999999E-3</v>
      </c>
      <c r="BG158" s="226">
        <f t="shared" si="67"/>
        <v>4.5999999999999999E-3</v>
      </c>
      <c r="BH158" s="226">
        <f t="shared" si="67"/>
        <v>4.5999999999999999E-3</v>
      </c>
      <c r="BI158" s="226">
        <f t="shared" si="67"/>
        <v>4.5999999999999999E-3</v>
      </c>
      <c r="BJ158" s="226">
        <f t="shared" si="67"/>
        <v>4.5999999999999999E-3</v>
      </c>
      <c r="BK158" s="226">
        <f t="shared" si="67"/>
        <v>4.5999999999999999E-3</v>
      </c>
      <c r="BL158" s="226">
        <f t="shared" si="67"/>
        <v>4.5999999999999999E-3</v>
      </c>
    </row>
    <row r="159" spans="1:84" x14ac:dyDescent="0.2">
      <c r="B159" s="326"/>
      <c r="C159" s="58" t="s">
        <v>23</v>
      </c>
      <c r="D159" s="27">
        <f>SUM(E159:BL159)</f>
        <v>14986.742663354618</v>
      </c>
      <c r="E159" s="139">
        <f>IF((E155+E156-E157)*E158&lt;0,0,(E155+E156-E157)*E158)</f>
        <v>7364.7130531183593</v>
      </c>
      <c r="F159" s="139">
        <f t="shared" ref="F159:BL159" si="68">IF((F155+F156-F157)*F158&lt;0,0,(F155+F156-F157)*F158)</f>
        <v>7622.029610236259</v>
      </c>
      <c r="G159" s="139">
        <f t="shared" si="68"/>
        <v>0</v>
      </c>
      <c r="H159" s="139">
        <f t="shared" si="68"/>
        <v>0</v>
      </c>
      <c r="I159" s="139">
        <f t="shared" si="68"/>
        <v>0</v>
      </c>
      <c r="J159" s="139">
        <f t="shared" si="68"/>
        <v>0</v>
      </c>
      <c r="K159" s="139">
        <f t="shared" si="68"/>
        <v>0</v>
      </c>
      <c r="L159" s="139">
        <f t="shared" si="68"/>
        <v>0</v>
      </c>
      <c r="M159" s="139">
        <f t="shared" si="68"/>
        <v>0</v>
      </c>
      <c r="N159" s="139">
        <f t="shared" si="68"/>
        <v>0</v>
      </c>
      <c r="O159" s="139">
        <f t="shared" si="68"/>
        <v>0</v>
      </c>
      <c r="P159" s="139">
        <f t="shared" si="68"/>
        <v>0</v>
      </c>
      <c r="Q159" s="139">
        <f t="shared" si="68"/>
        <v>0</v>
      </c>
      <c r="R159" s="139">
        <f t="shared" si="68"/>
        <v>0</v>
      </c>
      <c r="S159" s="139">
        <f t="shared" si="68"/>
        <v>0</v>
      </c>
      <c r="T159" s="139">
        <f t="shared" si="68"/>
        <v>0</v>
      </c>
      <c r="U159" s="139">
        <f t="shared" si="68"/>
        <v>0</v>
      </c>
      <c r="V159" s="139">
        <f t="shared" si="68"/>
        <v>0</v>
      </c>
      <c r="W159" s="139">
        <f t="shared" si="68"/>
        <v>0</v>
      </c>
      <c r="X159" s="139">
        <f t="shared" si="68"/>
        <v>0</v>
      </c>
      <c r="Y159" s="139">
        <f t="shared" si="68"/>
        <v>0</v>
      </c>
      <c r="Z159" s="139">
        <f t="shared" si="68"/>
        <v>0</v>
      </c>
      <c r="AA159" s="139">
        <f t="shared" si="68"/>
        <v>0</v>
      </c>
      <c r="AB159" s="139">
        <f t="shared" si="68"/>
        <v>0</v>
      </c>
      <c r="AC159" s="139">
        <f t="shared" si="68"/>
        <v>0</v>
      </c>
      <c r="AD159" s="139">
        <f t="shared" si="68"/>
        <v>0</v>
      </c>
      <c r="AE159" s="139">
        <f t="shared" si="68"/>
        <v>0</v>
      </c>
      <c r="AF159" s="139">
        <f t="shared" si="68"/>
        <v>0</v>
      </c>
      <c r="AG159" s="139">
        <f t="shared" si="68"/>
        <v>0</v>
      </c>
      <c r="AH159" s="139">
        <f t="shared" si="68"/>
        <v>0</v>
      </c>
      <c r="AI159" s="139">
        <f t="shared" si="68"/>
        <v>0</v>
      </c>
      <c r="AJ159" s="139">
        <f t="shared" si="68"/>
        <v>0</v>
      </c>
      <c r="AK159" s="139">
        <f t="shared" si="68"/>
        <v>0</v>
      </c>
      <c r="AL159" s="139">
        <f t="shared" si="68"/>
        <v>0</v>
      </c>
      <c r="AM159" s="139">
        <f t="shared" si="68"/>
        <v>0</v>
      </c>
      <c r="AN159" s="139">
        <f t="shared" si="68"/>
        <v>0</v>
      </c>
      <c r="AO159" s="139">
        <f t="shared" si="68"/>
        <v>0</v>
      </c>
      <c r="AP159" s="139">
        <f t="shared" si="68"/>
        <v>0</v>
      </c>
      <c r="AQ159" s="139">
        <f t="shared" si="68"/>
        <v>0</v>
      </c>
      <c r="AR159" s="139">
        <f t="shared" si="68"/>
        <v>0</v>
      </c>
      <c r="AS159" s="139">
        <f t="shared" si="68"/>
        <v>0</v>
      </c>
      <c r="AT159" s="139">
        <f t="shared" si="68"/>
        <v>0</v>
      </c>
      <c r="AU159" s="139">
        <f t="shared" si="68"/>
        <v>0</v>
      </c>
      <c r="AV159" s="139">
        <f t="shared" si="68"/>
        <v>0</v>
      </c>
      <c r="AW159" s="139">
        <f t="shared" si="68"/>
        <v>0</v>
      </c>
      <c r="AX159" s="139">
        <f t="shared" si="68"/>
        <v>0</v>
      </c>
      <c r="AY159" s="139">
        <f t="shared" si="68"/>
        <v>0</v>
      </c>
      <c r="AZ159" s="139">
        <f t="shared" si="68"/>
        <v>0</v>
      </c>
      <c r="BA159" s="139">
        <f t="shared" si="68"/>
        <v>0</v>
      </c>
      <c r="BB159" s="139">
        <f t="shared" si="68"/>
        <v>0</v>
      </c>
      <c r="BC159" s="139">
        <f t="shared" si="68"/>
        <v>0</v>
      </c>
      <c r="BD159" s="139">
        <f t="shared" si="68"/>
        <v>0</v>
      </c>
      <c r="BE159" s="139">
        <f t="shared" si="68"/>
        <v>0</v>
      </c>
      <c r="BF159" s="139">
        <f t="shared" si="68"/>
        <v>0</v>
      </c>
      <c r="BG159" s="139">
        <f t="shared" si="68"/>
        <v>0</v>
      </c>
      <c r="BH159" s="139">
        <f t="shared" si="68"/>
        <v>0</v>
      </c>
      <c r="BI159" s="139">
        <f t="shared" si="68"/>
        <v>0</v>
      </c>
      <c r="BJ159" s="139">
        <f t="shared" si="68"/>
        <v>0</v>
      </c>
      <c r="BK159" s="139">
        <f t="shared" si="68"/>
        <v>0</v>
      </c>
      <c r="BL159" s="139">
        <f t="shared" si="68"/>
        <v>0</v>
      </c>
      <c r="BM159" s="65"/>
      <c r="BN159" s="65"/>
      <c r="BO159" s="65"/>
      <c r="BP159" s="65"/>
      <c r="BQ159" s="65"/>
      <c r="BR159" s="65"/>
      <c r="BS159" s="65"/>
      <c r="BT159" s="65"/>
      <c r="BU159" s="65"/>
      <c r="BV159" s="65"/>
      <c r="BW159" s="65"/>
      <c r="BX159" s="65"/>
      <c r="BY159" s="65"/>
      <c r="BZ159" s="65"/>
      <c r="CA159" s="65"/>
      <c r="CB159" s="65"/>
      <c r="CC159" s="65"/>
      <c r="CD159" s="65"/>
      <c r="CE159" s="65"/>
      <c r="CF159" s="65"/>
    </row>
    <row r="160" spans="1:84" ht="13.5" thickBot="1" x14ac:dyDescent="0.25">
      <c r="B160" s="327"/>
      <c r="C160" s="25" t="s">
        <v>22</v>
      </c>
      <c r="D160" s="30">
        <f>SUM(E160:BL160)</f>
        <v>3272974.2781752283</v>
      </c>
      <c r="E160" s="146">
        <f>+E155-E157+E156+E159</f>
        <v>1608389.2898179791</v>
      </c>
      <c r="F160" s="146">
        <f t="shared" ref="F160:BL160" si="69">+F155-F157+F156+F159</f>
        <v>1664584.9883572489</v>
      </c>
      <c r="G160" s="146">
        <f t="shared" si="69"/>
        <v>0</v>
      </c>
      <c r="H160" s="146">
        <f t="shared" si="69"/>
        <v>0</v>
      </c>
      <c r="I160" s="146">
        <f t="shared" si="69"/>
        <v>0</v>
      </c>
      <c r="J160" s="146">
        <f t="shared" si="69"/>
        <v>0</v>
      </c>
      <c r="K160" s="146">
        <f t="shared" si="69"/>
        <v>0</v>
      </c>
      <c r="L160" s="146">
        <f t="shared" si="69"/>
        <v>0</v>
      </c>
      <c r="M160" s="146">
        <f t="shared" si="69"/>
        <v>0</v>
      </c>
      <c r="N160" s="146">
        <f t="shared" si="69"/>
        <v>0</v>
      </c>
      <c r="O160" s="146">
        <f t="shared" si="69"/>
        <v>0</v>
      </c>
      <c r="P160" s="146">
        <f>+P155-P157+P156+P159</f>
        <v>0</v>
      </c>
      <c r="Q160" s="146">
        <f t="shared" si="69"/>
        <v>0</v>
      </c>
      <c r="R160" s="146">
        <f t="shared" si="69"/>
        <v>0</v>
      </c>
      <c r="S160" s="146">
        <f t="shared" si="69"/>
        <v>0</v>
      </c>
      <c r="T160" s="146">
        <f t="shared" si="69"/>
        <v>0</v>
      </c>
      <c r="U160" s="146">
        <f t="shared" si="69"/>
        <v>0</v>
      </c>
      <c r="V160" s="146">
        <f t="shared" si="69"/>
        <v>0</v>
      </c>
      <c r="W160" s="146">
        <f t="shared" si="69"/>
        <v>0</v>
      </c>
      <c r="X160" s="146">
        <f t="shared" si="69"/>
        <v>0</v>
      </c>
      <c r="Y160" s="146">
        <f t="shared" si="69"/>
        <v>0</v>
      </c>
      <c r="Z160" s="146">
        <f t="shared" si="69"/>
        <v>0</v>
      </c>
      <c r="AA160" s="146">
        <f t="shared" si="69"/>
        <v>0</v>
      </c>
      <c r="AB160" s="146">
        <f t="shared" si="69"/>
        <v>0</v>
      </c>
      <c r="AC160" s="146">
        <f t="shared" si="69"/>
        <v>0</v>
      </c>
      <c r="AD160" s="146">
        <f t="shared" si="69"/>
        <v>0</v>
      </c>
      <c r="AE160" s="146">
        <f t="shared" si="69"/>
        <v>0</v>
      </c>
      <c r="AF160" s="146">
        <f t="shared" si="69"/>
        <v>0</v>
      </c>
      <c r="AG160" s="146">
        <f>+AG155-AG157+AG156+AG159</f>
        <v>0</v>
      </c>
      <c r="AH160" s="146">
        <f t="shared" si="69"/>
        <v>0</v>
      </c>
      <c r="AI160" s="146">
        <f t="shared" si="69"/>
        <v>0</v>
      </c>
      <c r="AJ160" s="146">
        <f t="shared" si="69"/>
        <v>0</v>
      </c>
      <c r="AK160" s="146">
        <f t="shared" si="69"/>
        <v>0</v>
      </c>
      <c r="AL160" s="146">
        <f t="shared" si="69"/>
        <v>0</v>
      </c>
      <c r="AM160" s="146">
        <f t="shared" si="69"/>
        <v>0</v>
      </c>
      <c r="AN160" s="146">
        <f t="shared" si="69"/>
        <v>0</v>
      </c>
      <c r="AO160" s="146">
        <f t="shared" si="69"/>
        <v>0</v>
      </c>
      <c r="AP160" s="146">
        <f t="shared" si="69"/>
        <v>0</v>
      </c>
      <c r="AQ160" s="146">
        <f t="shared" si="69"/>
        <v>0</v>
      </c>
      <c r="AR160" s="146">
        <f t="shared" si="69"/>
        <v>0</v>
      </c>
      <c r="AS160" s="146">
        <f t="shared" si="69"/>
        <v>0</v>
      </c>
      <c r="AT160" s="146">
        <f t="shared" si="69"/>
        <v>0</v>
      </c>
      <c r="AU160" s="146">
        <f t="shared" si="69"/>
        <v>0</v>
      </c>
      <c r="AV160" s="146">
        <f t="shared" si="69"/>
        <v>0</v>
      </c>
      <c r="AW160" s="146">
        <f t="shared" si="69"/>
        <v>0</v>
      </c>
      <c r="AX160" s="146">
        <f t="shared" si="69"/>
        <v>0</v>
      </c>
      <c r="AY160" s="146">
        <f t="shared" si="69"/>
        <v>0</v>
      </c>
      <c r="AZ160" s="146">
        <f t="shared" si="69"/>
        <v>0</v>
      </c>
      <c r="BA160" s="146">
        <f t="shared" si="69"/>
        <v>0</v>
      </c>
      <c r="BB160" s="146">
        <f t="shared" si="69"/>
        <v>0</v>
      </c>
      <c r="BC160" s="146">
        <f t="shared" si="69"/>
        <v>0</v>
      </c>
      <c r="BD160" s="146">
        <f t="shared" si="69"/>
        <v>0</v>
      </c>
      <c r="BE160" s="146">
        <f t="shared" si="69"/>
        <v>0</v>
      </c>
      <c r="BF160" s="146">
        <f t="shared" si="69"/>
        <v>0</v>
      </c>
      <c r="BG160" s="146">
        <f t="shared" si="69"/>
        <v>0</v>
      </c>
      <c r="BH160" s="146">
        <f t="shared" si="69"/>
        <v>0</v>
      </c>
      <c r="BI160" s="146">
        <f t="shared" si="69"/>
        <v>0</v>
      </c>
      <c r="BJ160" s="146">
        <f t="shared" si="69"/>
        <v>0</v>
      </c>
      <c r="BK160" s="146">
        <f t="shared" si="69"/>
        <v>0</v>
      </c>
      <c r="BL160" s="146">
        <f t="shared" si="69"/>
        <v>0</v>
      </c>
    </row>
    <row r="161" spans="1:84" x14ac:dyDescent="0.2">
      <c r="A161" s="171"/>
      <c r="B161" s="325">
        <v>44501</v>
      </c>
      <c r="C161" s="62" t="s">
        <v>6</v>
      </c>
      <c r="D161" s="240">
        <f>SUM(E161:BL161)</f>
        <v>50000</v>
      </c>
      <c r="E161" s="241">
        <f>CLIENTES!F261</f>
        <v>0</v>
      </c>
      <c r="F161" s="241">
        <f>CLIENTES!H261</f>
        <v>50000</v>
      </c>
      <c r="G161" s="241">
        <f>CLIENTES!I261</f>
        <v>0</v>
      </c>
      <c r="H161" s="241">
        <f>CLIENTES!J261</f>
        <v>0</v>
      </c>
      <c r="I161" s="241">
        <f>CLIENTES!K261</f>
        <v>0</v>
      </c>
      <c r="J161" s="241">
        <f>CLIENTES!L261</f>
        <v>0</v>
      </c>
      <c r="K161" s="241">
        <f>CLIENTES!M261</f>
        <v>0</v>
      </c>
      <c r="L161" s="241">
        <f>CLIENTES!N261</f>
        <v>0</v>
      </c>
      <c r="M161" s="241">
        <f>CLIENTES!O261</f>
        <v>0</v>
      </c>
      <c r="N161" s="241">
        <f>CLIENTES!P261</f>
        <v>0</v>
      </c>
      <c r="O161" s="241">
        <f>CLIENTES!Q261</f>
        <v>0</v>
      </c>
      <c r="P161" s="241">
        <f>CLIENTES!R261</f>
        <v>0</v>
      </c>
      <c r="Q161" s="241">
        <f>CLIENTES!S261</f>
        <v>0</v>
      </c>
      <c r="R161" s="241">
        <f>CLIENTES!T261</f>
        <v>0</v>
      </c>
      <c r="S161" s="241">
        <f>CLIENTES!U261</f>
        <v>0</v>
      </c>
      <c r="T161" s="241">
        <f>CLIENTES!V261</f>
        <v>0</v>
      </c>
      <c r="U161" s="241">
        <f>CLIENTES!W261</f>
        <v>0</v>
      </c>
      <c r="V161" s="241">
        <f>CLIENTES!X261</f>
        <v>0</v>
      </c>
      <c r="W161" s="241">
        <f>CLIENTES!Y261</f>
        <v>0</v>
      </c>
      <c r="X161" s="241">
        <f>CLIENTES!Z261</f>
        <v>0</v>
      </c>
      <c r="Y161" s="241">
        <f>CLIENTES!AA261</f>
        <v>0</v>
      </c>
      <c r="Z161" s="241">
        <f>CLIENTES!AB261</f>
        <v>0</v>
      </c>
      <c r="AA161" s="241">
        <f>CLIENTES!AC261</f>
        <v>0</v>
      </c>
      <c r="AB161" s="241">
        <f>CLIENTES!AD261</f>
        <v>0</v>
      </c>
      <c r="AC161" s="241">
        <f>CLIENTES!AE261</f>
        <v>0</v>
      </c>
      <c r="AD161" s="241">
        <f>CLIENTES!AF261</f>
        <v>0</v>
      </c>
      <c r="AE161" s="241">
        <f>CLIENTES!AG261</f>
        <v>0</v>
      </c>
      <c r="AF161" s="241">
        <f>CLIENTES!AH261</f>
        <v>0</v>
      </c>
      <c r="AG161" s="241">
        <f>CLIENTES!AI261</f>
        <v>0</v>
      </c>
      <c r="AH161" s="241">
        <f>CLIENTES!AJ261</f>
        <v>0</v>
      </c>
      <c r="AI161" s="241">
        <f>CLIENTES!AK261</f>
        <v>0</v>
      </c>
      <c r="AJ161" s="241">
        <f>CLIENTES!AL261</f>
        <v>0</v>
      </c>
      <c r="AK161" s="241">
        <f>CLIENTES!AM261</f>
        <v>0</v>
      </c>
      <c r="AL161" s="241">
        <f>CLIENTES!AN261</f>
        <v>0</v>
      </c>
      <c r="AM161" s="241">
        <f>CLIENTES!AO261</f>
        <v>0</v>
      </c>
      <c r="AN161" s="241">
        <f>CLIENTES!AP261</f>
        <v>0</v>
      </c>
      <c r="AO161" s="241">
        <f>CLIENTES!AQ261</f>
        <v>0</v>
      </c>
      <c r="AP161" s="241">
        <f>CLIENTES!AR261</f>
        <v>0</v>
      </c>
      <c r="AQ161" s="241">
        <f>CLIENTES!AS261</f>
        <v>0</v>
      </c>
      <c r="AR161" s="241">
        <f>CLIENTES!AT261</f>
        <v>0</v>
      </c>
      <c r="AS161" s="241">
        <f>CLIENTES!AU261</f>
        <v>0</v>
      </c>
      <c r="AT161" s="241">
        <f>CLIENTES!AV261</f>
        <v>0</v>
      </c>
      <c r="AU161" s="241">
        <f>CLIENTES!AW261</f>
        <v>0</v>
      </c>
      <c r="AV161" s="241">
        <f>CLIENTES!AX261</f>
        <v>0</v>
      </c>
      <c r="AW161" s="241">
        <f>CLIENTES!AY261</f>
        <v>0</v>
      </c>
      <c r="AX161" s="241">
        <f>CLIENTES!AZ261</f>
        <v>0</v>
      </c>
      <c r="AY161" s="241">
        <f>CLIENTES!BA261</f>
        <v>0</v>
      </c>
      <c r="AZ161" s="241">
        <f>CLIENTES!BB261</f>
        <v>0</v>
      </c>
      <c r="BA161" s="241">
        <f>CLIENTES!BC261</f>
        <v>0</v>
      </c>
      <c r="BB161" s="241">
        <f>CLIENTES!BD261</f>
        <v>0</v>
      </c>
      <c r="BC161" s="241">
        <f>CLIENTES!BE261</f>
        <v>0</v>
      </c>
      <c r="BD161" s="241">
        <f>CLIENTES!BF261</f>
        <v>0</v>
      </c>
      <c r="BE161" s="241">
        <f>CLIENTES!BG261</f>
        <v>0</v>
      </c>
      <c r="BF161" s="241">
        <f>CLIENTES!BH261</f>
        <v>0</v>
      </c>
      <c r="BG161" s="241">
        <f>CLIENTES!BI261</f>
        <v>0</v>
      </c>
      <c r="BH161" s="241">
        <f>CLIENTES!BJ261</f>
        <v>0</v>
      </c>
      <c r="BI161" s="241">
        <f>CLIENTES!BK261</f>
        <v>0</v>
      </c>
      <c r="BJ161" s="241">
        <f>CLIENTES!BL261</f>
        <v>0</v>
      </c>
      <c r="BK161" s="241">
        <f>CLIENTES!BM261</f>
        <v>0</v>
      </c>
      <c r="BL161" s="241">
        <f>CLIENTES!BN261</f>
        <v>0</v>
      </c>
    </row>
    <row r="162" spans="1:84" x14ac:dyDescent="0.2">
      <c r="A162" s="171"/>
      <c r="B162" s="326"/>
      <c r="C162" s="23" t="s">
        <v>9</v>
      </c>
      <c r="D162" s="27">
        <f>SUM(E162:BL162)</f>
        <v>0</v>
      </c>
      <c r="E162" s="132">
        <f>CLIENTES!F262</f>
        <v>0</v>
      </c>
      <c r="F162" s="132">
        <f>CLIENTES!H262</f>
        <v>0</v>
      </c>
      <c r="G162" s="132">
        <f>CLIENTES!I262</f>
        <v>0</v>
      </c>
      <c r="H162" s="132">
        <f>CLIENTES!J262</f>
        <v>0</v>
      </c>
      <c r="I162" s="132">
        <f>CLIENTES!K262</f>
        <v>0</v>
      </c>
      <c r="J162" s="132">
        <f>CLIENTES!L262</f>
        <v>0</v>
      </c>
      <c r="K162" s="132">
        <f>CLIENTES!M262</f>
        <v>0</v>
      </c>
      <c r="L162" s="132">
        <f>CLIENTES!N262</f>
        <v>0</v>
      </c>
      <c r="M162" s="132">
        <f>CLIENTES!O262</f>
        <v>0</v>
      </c>
      <c r="N162" s="132">
        <f>CLIENTES!P262</f>
        <v>0</v>
      </c>
      <c r="O162" s="132">
        <f>CLIENTES!Q262</f>
        <v>0</v>
      </c>
      <c r="P162" s="132">
        <f>CLIENTES!R262</f>
        <v>0</v>
      </c>
      <c r="Q162" s="132">
        <f>CLIENTES!S262</f>
        <v>0</v>
      </c>
      <c r="R162" s="132">
        <f>CLIENTES!T262</f>
        <v>0</v>
      </c>
      <c r="S162" s="132">
        <f>CLIENTES!U262</f>
        <v>0</v>
      </c>
      <c r="T162" s="132">
        <f>CLIENTES!V262</f>
        <v>0</v>
      </c>
      <c r="U162" s="132">
        <f>CLIENTES!W262</f>
        <v>0</v>
      </c>
      <c r="V162" s="132">
        <f>CLIENTES!X262</f>
        <v>0</v>
      </c>
      <c r="W162" s="132">
        <f>CLIENTES!Y262</f>
        <v>0</v>
      </c>
      <c r="X162" s="132">
        <f>CLIENTES!Z262</f>
        <v>0</v>
      </c>
      <c r="Y162" s="132">
        <f>CLIENTES!AA262</f>
        <v>0</v>
      </c>
      <c r="Z162" s="132">
        <f>CLIENTES!AB262</f>
        <v>0</v>
      </c>
      <c r="AA162" s="132">
        <f>CLIENTES!AC262</f>
        <v>0</v>
      </c>
      <c r="AB162" s="132">
        <f>CLIENTES!AD262</f>
        <v>0</v>
      </c>
      <c r="AC162" s="132">
        <f>CLIENTES!AE262</f>
        <v>0</v>
      </c>
      <c r="AD162" s="132">
        <f>CLIENTES!AF262</f>
        <v>0</v>
      </c>
      <c r="AE162" s="132">
        <f>CLIENTES!AG262</f>
        <v>0</v>
      </c>
      <c r="AF162" s="132">
        <f>CLIENTES!AH262</f>
        <v>0</v>
      </c>
      <c r="AG162" s="132">
        <f>CLIENTES!AI262</f>
        <v>0</v>
      </c>
      <c r="AH162" s="132">
        <f>CLIENTES!AJ262</f>
        <v>0</v>
      </c>
      <c r="AI162" s="132">
        <f>CLIENTES!AK262</f>
        <v>0</v>
      </c>
      <c r="AJ162" s="132">
        <f>CLIENTES!AL262</f>
        <v>0</v>
      </c>
      <c r="AK162" s="132">
        <f>CLIENTES!AM262</f>
        <v>0</v>
      </c>
      <c r="AL162" s="132">
        <f>CLIENTES!AN262</f>
        <v>0</v>
      </c>
      <c r="AM162" s="132">
        <f>CLIENTES!AO262</f>
        <v>0</v>
      </c>
      <c r="AN162" s="132">
        <f>CLIENTES!AP262</f>
        <v>0</v>
      </c>
      <c r="AO162" s="132">
        <f>CLIENTES!AQ262</f>
        <v>0</v>
      </c>
      <c r="AP162" s="132">
        <f>CLIENTES!AR262</f>
        <v>0</v>
      </c>
      <c r="AQ162" s="132">
        <f>CLIENTES!AS262</f>
        <v>0</v>
      </c>
      <c r="AR162" s="132">
        <f>CLIENTES!AT262</f>
        <v>0</v>
      </c>
      <c r="AS162" s="132">
        <f>CLIENTES!AU262</f>
        <v>0</v>
      </c>
      <c r="AT162" s="132">
        <f>CLIENTES!AV262</f>
        <v>0</v>
      </c>
      <c r="AU162" s="132">
        <f>CLIENTES!AW262</f>
        <v>0</v>
      </c>
      <c r="AV162" s="132">
        <f>CLIENTES!AX262</f>
        <v>0</v>
      </c>
      <c r="AW162" s="132">
        <f>CLIENTES!AY262</f>
        <v>0</v>
      </c>
      <c r="AX162" s="132">
        <f>CLIENTES!AZ262</f>
        <v>0</v>
      </c>
      <c r="AY162" s="132">
        <f>CLIENTES!BA262</f>
        <v>0</v>
      </c>
      <c r="AZ162" s="132">
        <f>CLIENTES!BB262</f>
        <v>0</v>
      </c>
      <c r="BA162" s="132">
        <f>CLIENTES!BC262</f>
        <v>0</v>
      </c>
      <c r="BB162" s="132">
        <f>CLIENTES!BD262</f>
        <v>0</v>
      </c>
      <c r="BC162" s="132">
        <f>CLIENTES!BE262</f>
        <v>0</v>
      </c>
      <c r="BD162" s="132">
        <f>CLIENTES!BF262</f>
        <v>0</v>
      </c>
      <c r="BE162" s="132">
        <f>CLIENTES!BG262</f>
        <v>0</v>
      </c>
      <c r="BF162" s="132">
        <f>CLIENTES!BH262</f>
        <v>0</v>
      </c>
      <c r="BG162" s="132">
        <f>CLIENTES!BI262</f>
        <v>0</v>
      </c>
      <c r="BH162" s="132">
        <f>CLIENTES!BJ262</f>
        <v>0</v>
      </c>
      <c r="BI162" s="132">
        <f>CLIENTES!BK262</f>
        <v>0</v>
      </c>
      <c r="BJ162" s="132">
        <f>CLIENTES!BL262</f>
        <v>0</v>
      </c>
      <c r="BK162" s="132">
        <f>CLIENTES!BM262</f>
        <v>0</v>
      </c>
      <c r="BL162" s="132">
        <f>CLIENTES!BN262</f>
        <v>0</v>
      </c>
    </row>
    <row r="163" spans="1:84" x14ac:dyDescent="0.2">
      <c r="B163" s="326"/>
      <c r="C163" s="23" t="s">
        <v>10</v>
      </c>
      <c r="D163" s="72">
        <v>5.1000000000000004E-3</v>
      </c>
      <c r="E163" s="226">
        <f>D163</f>
        <v>5.1000000000000004E-3</v>
      </c>
      <c r="F163" s="226">
        <f t="shared" ref="F163:BL163" si="70">E163</f>
        <v>5.1000000000000004E-3</v>
      </c>
      <c r="G163" s="226">
        <f t="shared" si="70"/>
        <v>5.1000000000000004E-3</v>
      </c>
      <c r="H163" s="226">
        <f t="shared" si="70"/>
        <v>5.1000000000000004E-3</v>
      </c>
      <c r="I163" s="226">
        <f t="shared" si="70"/>
        <v>5.1000000000000004E-3</v>
      </c>
      <c r="J163" s="226">
        <f t="shared" si="70"/>
        <v>5.1000000000000004E-3</v>
      </c>
      <c r="K163" s="226">
        <f t="shared" si="70"/>
        <v>5.1000000000000004E-3</v>
      </c>
      <c r="L163" s="226">
        <f t="shared" si="70"/>
        <v>5.1000000000000004E-3</v>
      </c>
      <c r="M163" s="226">
        <f t="shared" si="70"/>
        <v>5.1000000000000004E-3</v>
      </c>
      <c r="N163" s="226">
        <f t="shared" si="70"/>
        <v>5.1000000000000004E-3</v>
      </c>
      <c r="O163" s="226">
        <f t="shared" si="70"/>
        <v>5.1000000000000004E-3</v>
      </c>
      <c r="P163" s="226">
        <f t="shared" si="70"/>
        <v>5.1000000000000004E-3</v>
      </c>
      <c r="Q163" s="226">
        <f t="shared" si="70"/>
        <v>5.1000000000000004E-3</v>
      </c>
      <c r="R163" s="226">
        <f t="shared" si="70"/>
        <v>5.1000000000000004E-3</v>
      </c>
      <c r="S163" s="226">
        <f t="shared" si="70"/>
        <v>5.1000000000000004E-3</v>
      </c>
      <c r="T163" s="226">
        <f t="shared" si="70"/>
        <v>5.1000000000000004E-3</v>
      </c>
      <c r="U163" s="226">
        <f t="shared" si="70"/>
        <v>5.1000000000000004E-3</v>
      </c>
      <c r="V163" s="226">
        <f t="shared" si="70"/>
        <v>5.1000000000000004E-3</v>
      </c>
      <c r="W163" s="226">
        <f t="shared" si="70"/>
        <v>5.1000000000000004E-3</v>
      </c>
      <c r="X163" s="226">
        <f t="shared" si="70"/>
        <v>5.1000000000000004E-3</v>
      </c>
      <c r="Y163" s="226">
        <f t="shared" si="70"/>
        <v>5.1000000000000004E-3</v>
      </c>
      <c r="Z163" s="226">
        <f t="shared" si="70"/>
        <v>5.1000000000000004E-3</v>
      </c>
      <c r="AA163" s="226">
        <f t="shared" si="70"/>
        <v>5.1000000000000004E-3</v>
      </c>
      <c r="AB163" s="226">
        <f t="shared" si="70"/>
        <v>5.1000000000000004E-3</v>
      </c>
      <c r="AC163" s="226">
        <f t="shared" si="70"/>
        <v>5.1000000000000004E-3</v>
      </c>
      <c r="AD163" s="226">
        <f t="shared" si="70"/>
        <v>5.1000000000000004E-3</v>
      </c>
      <c r="AE163" s="226">
        <f t="shared" si="70"/>
        <v>5.1000000000000004E-3</v>
      </c>
      <c r="AF163" s="226">
        <f t="shared" si="70"/>
        <v>5.1000000000000004E-3</v>
      </c>
      <c r="AG163" s="226">
        <f t="shared" si="70"/>
        <v>5.1000000000000004E-3</v>
      </c>
      <c r="AH163" s="226">
        <f t="shared" si="70"/>
        <v>5.1000000000000004E-3</v>
      </c>
      <c r="AI163" s="226">
        <f t="shared" si="70"/>
        <v>5.1000000000000004E-3</v>
      </c>
      <c r="AJ163" s="226">
        <f t="shared" si="70"/>
        <v>5.1000000000000004E-3</v>
      </c>
      <c r="AK163" s="226">
        <f t="shared" si="70"/>
        <v>5.1000000000000004E-3</v>
      </c>
      <c r="AL163" s="226">
        <f t="shared" si="70"/>
        <v>5.1000000000000004E-3</v>
      </c>
      <c r="AM163" s="226">
        <f t="shared" si="70"/>
        <v>5.1000000000000004E-3</v>
      </c>
      <c r="AN163" s="226">
        <f t="shared" si="70"/>
        <v>5.1000000000000004E-3</v>
      </c>
      <c r="AO163" s="226">
        <f t="shared" si="70"/>
        <v>5.1000000000000004E-3</v>
      </c>
      <c r="AP163" s="226">
        <f t="shared" si="70"/>
        <v>5.1000000000000004E-3</v>
      </c>
      <c r="AQ163" s="226">
        <f t="shared" si="70"/>
        <v>5.1000000000000004E-3</v>
      </c>
      <c r="AR163" s="226">
        <f t="shared" si="70"/>
        <v>5.1000000000000004E-3</v>
      </c>
      <c r="AS163" s="226">
        <f t="shared" si="70"/>
        <v>5.1000000000000004E-3</v>
      </c>
      <c r="AT163" s="226">
        <f t="shared" si="70"/>
        <v>5.1000000000000004E-3</v>
      </c>
      <c r="AU163" s="226">
        <f t="shared" si="70"/>
        <v>5.1000000000000004E-3</v>
      </c>
      <c r="AV163" s="226">
        <f t="shared" si="70"/>
        <v>5.1000000000000004E-3</v>
      </c>
      <c r="AW163" s="226">
        <f t="shared" si="70"/>
        <v>5.1000000000000004E-3</v>
      </c>
      <c r="AX163" s="226">
        <f t="shared" si="70"/>
        <v>5.1000000000000004E-3</v>
      </c>
      <c r="AY163" s="226">
        <f t="shared" si="70"/>
        <v>5.1000000000000004E-3</v>
      </c>
      <c r="AZ163" s="226">
        <f t="shared" si="70"/>
        <v>5.1000000000000004E-3</v>
      </c>
      <c r="BA163" s="226">
        <f t="shared" si="70"/>
        <v>5.1000000000000004E-3</v>
      </c>
      <c r="BB163" s="226">
        <f t="shared" si="70"/>
        <v>5.1000000000000004E-3</v>
      </c>
      <c r="BC163" s="226">
        <f t="shared" si="70"/>
        <v>5.1000000000000004E-3</v>
      </c>
      <c r="BD163" s="226">
        <f t="shared" si="70"/>
        <v>5.1000000000000004E-3</v>
      </c>
      <c r="BE163" s="226">
        <f t="shared" si="70"/>
        <v>5.1000000000000004E-3</v>
      </c>
      <c r="BF163" s="226">
        <f t="shared" si="70"/>
        <v>5.1000000000000004E-3</v>
      </c>
      <c r="BG163" s="226">
        <f t="shared" si="70"/>
        <v>5.1000000000000004E-3</v>
      </c>
      <c r="BH163" s="226">
        <f t="shared" si="70"/>
        <v>5.1000000000000004E-3</v>
      </c>
      <c r="BI163" s="226">
        <f t="shared" si="70"/>
        <v>5.1000000000000004E-3</v>
      </c>
      <c r="BJ163" s="226">
        <f t="shared" si="70"/>
        <v>5.1000000000000004E-3</v>
      </c>
      <c r="BK163" s="226">
        <f t="shared" si="70"/>
        <v>5.1000000000000004E-3</v>
      </c>
      <c r="BL163" s="226">
        <f t="shared" si="70"/>
        <v>5.1000000000000004E-3</v>
      </c>
    </row>
    <row r="164" spans="1:84" x14ac:dyDescent="0.2">
      <c r="B164" s="326"/>
      <c r="C164" s="58" t="s">
        <v>23</v>
      </c>
      <c r="D164" s="27">
        <f>SUM(E164:BL164)</f>
        <v>16947.168818693666</v>
      </c>
      <c r="E164" s="139">
        <f>IF((E160+E161-E162)*E163&lt;0,0,(E160+E161-E162)*E163)</f>
        <v>8202.7853780716941</v>
      </c>
      <c r="F164" s="139">
        <f t="shared" ref="F164:BL164" si="71">IF((F160+F161-F162)*F163&lt;0,0,(F160+F161-F162)*F163)</f>
        <v>8744.3834406219703</v>
      </c>
      <c r="G164" s="139">
        <f t="shared" si="71"/>
        <v>0</v>
      </c>
      <c r="H164" s="139">
        <f t="shared" si="71"/>
        <v>0</v>
      </c>
      <c r="I164" s="139">
        <f t="shared" si="71"/>
        <v>0</v>
      </c>
      <c r="J164" s="139">
        <f t="shared" si="71"/>
        <v>0</v>
      </c>
      <c r="K164" s="139">
        <f t="shared" si="71"/>
        <v>0</v>
      </c>
      <c r="L164" s="139">
        <f t="shared" si="71"/>
        <v>0</v>
      </c>
      <c r="M164" s="139">
        <f t="shared" si="71"/>
        <v>0</v>
      </c>
      <c r="N164" s="139">
        <f t="shared" si="71"/>
        <v>0</v>
      </c>
      <c r="O164" s="139">
        <f t="shared" si="71"/>
        <v>0</v>
      </c>
      <c r="P164" s="139">
        <f t="shared" si="71"/>
        <v>0</v>
      </c>
      <c r="Q164" s="139">
        <f t="shared" si="71"/>
        <v>0</v>
      </c>
      <c r="R164" s="139">
        <f t="shared" si="71"/>
        <v>0</v>
      </c>
      <c r="S164" s="139">
        <f t="shared" si="71"/>
        <v>0</v>
      </c>
      <c r="T164" s="139">
        <f t="shared" si="71"/>
        <v>0</v>
      </c>
      <c r="U164" s="139">
        <f t="shared" si="71"/>
        <v>0</v>
      </c>
      <c r="V164" s="139">
        <f t="shared" si="71"/>
        <v>0</v>
      </c>
      <c r="W164" s="139">
        <f t="shared" si="71"/>
        <v>0</v>
      </c>
      <c r="X164" s="139">
        <f t="shared" si="71"/>
        <v>0</v>
      </c>
      <c r="Y164" s="139">
        <f t="shared" si="71"/>
        <v>0</v>
      </c>
      <c r="Z164" s="139">
        <f t="shared" si="71"/>
        <v>0</v>
      </c>
      <c r="AA164" s="139">
        <f t="shared" si="71"/>
        <v>0</v>
      </c>
      <c r="AB164" s="139">
        <f t="shared" si="71"/>
        <v>0</v>
      </c>
      <c r="AC164" s="139">
        <f t="shared" si="71"/>
        <v>0</v>
      </c>
      <c r="AD164" s="139">
        <f t="shared" si="71"/>
        <v>0</v>
      </c>
      <c r="AE164" s="139">
        <f t="shared" si="71"/>
        <v>0</v>
      </c>
      <c r="AF164" s="139">
        <f t="shared" si="71"/>
        <v>0</v>
      </c>
      <c r="AG164" s="139">
        <f t="shared" si="71"/>
        <v>0</v>
      </c>
      <c r="AH164" s="139">
        <f t="shared" si="71"/>
        <v>0</v>
      </c>
      <c r="AI164" s="139">
        <f t="shared" si="71"/>
        <v>0</v>
      </c>
      <c r="AJ164" s="139">
        <f t="shared" si="71"/>
        <v>0</v>
      </c>
      <c r="AK164" s="139">
        <f t="shared" si="71"/>
        <v>0</v>
      </c>
      <c r="AL164" s="139">
        <f t="shared" si="71"/>
        <v>0</v>
      </c>
      <c r="AM164" s="139">
        <f t="shared" si="71"/>
        <v>0</v>
      </c>
      <c r="AN164" s="139">
        <f t="shared" si="71"/>
        <v>0</v>
      </c>
      <c r="AO164" s="139">
        <f t="shared" si="71"/>
        <v>0</v>
      </c>
      <c r="AP164" s="139">
        <f t="shared" si="71"/>
        <v>0</v>
      </c>
      <c r="AQ164" s="139">
        <f t="shared" si="71"/>
        <v>0</v>
      </c>
      <c r="AR164" s="139">
        <f t="shared" si="71"/>
        <v>0</v>
      </c>
      <c r="AS164" s="139">
        <f t="shared" si="71"/>
        <v>0</v>
      </c>
      <c r="AT164" s="139">
        <f t="shared" si="71"/>
        <v>0</v>
      </c>
      <c r="AU164" s="139">
        <f t="shared" si="71"/>
        <v>0</v>
      </c>
      <c r="AV164" s="139">
        <f t="shared" si="71"/>
        <v>0</v>
      </c>
      <c r="AW164" s="139">
        <f t="shared" si="71"/>
        <v>0</v>
      </c>
      <c r="AX164" s="139">
        <f t="shared" si="71"/>
        <v>0</v>
      </c>
      <c r="AY164" s="139">
        <f>IF((AY160+AY161-AY162)*AY163&lt;0,0,(AY160+AY161-AY162)*AY163)</f>
        <v>0</v>
      </c>
      <c r="AZ164" s="139">
        <f>IF((AZ160+AZ161-AZ162)*AZ163&lt;0,0,(AZ160+AZ161-AZ162)*AZ163)</f>
        <v>0</v>
      </c>
      <c r="BA164" s="139">
        <f t="shared" si="71"/>
        <v>0</v>
      </c>
      <c r="BB164" s="139">
        <f t="shared" si="71"/>
        <v>0</v>
      </c>
      <c r="BC164" s="139">
        <f t="shared" si="71"/>
        <v>0</v>
      </c>
      <c r="BD164" s="139">
        <f t="shared" si="71"/>
        <v>0</v>
      </c>
      <c r="BE164" s="139">
        <f t="shared" si="71"/>
        <v>0</v>
      </c>
      <c r="BF164" s="139">
        <f t="shared" si="71"/>
        <v>0</v>
      </c>
      <c r="BG164" s="139">
        <f t="shared" si="71"/>
        <v>0</v>
      </c>
      <c r="BH164" s="139">
        <f t="shared" si="71"/>
        <v>0</v>
      </c>
      <c r="BI164" s="139">
        <f t="shared" si="71"/>
        <v>0</v>
      </c>
      <c r="BJ164" s="139">
        <f>IF((BJ160+BJ161-BJ162)*BJ163&lt;0,0,(BJ160+BJ161-BJ162)*BJ163)</f>
        <v>0</v>
      </c>
      <c r="BK164" s="139">
        <f t="shared" si="71"/>
        <v>0</v>
      </c>
      <c r="BL164" s="139">
        <f t="shared" si="71"/>
        <v>0</v>
      </c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</row>
    <row r="165" spans="1:84" ht="13.5" thickBot="1" x14ac:dyDescent="0.25">
      <c r="B165" s="327"/>
      <c r="C165" s="144" t="s">
        <v>22</v>
      </c>
      <c r="D165" s="239">
        <f>SUM(E165:BL165)</f>
        <v>1723329.3717978708</v>
      </c>
      <c r="E165" s="242"/>
      <c r="F165" s="242">
        <f>+F160-F162+F161+F164</f>
        <v>1723329.3717978708</v>
      </c>
      <c r="G165" s="242">
        <f>+G160-G162+G161+G164</f>
        <v>0</v>
      </c>
      <c r="H165" s="242">
        <f>+H160-H162+H161+H164</f>
        <v>0</v>
      </c>
      <c r="I165" s="242">
        <f>+I160-I162+I161+I164</f>
        <v>0</v>
      </c>
      <c r="J165" s="242">
        <f t="shared" ref="J165:N165" si="72">+J160-J162+J161+J164</f>
        <v>0</v>
      </c>
      <c r="K165" s="242">
        <f t="shared" si="72"/>
        <v>0</v>
      </c>
      <c r="L165" s="242">
        <f t="shared" si="72"/>
        <v>0</v>
      </c>
      <c r="M165" s="242">
        <f t="shared" si="72"/>
        <v>0</v>
      </c>
      <c r="N165" s="242">
        <f t="shared" si="72"/>
        <v>0</v>
      </c>
      <c r="O165" s="242">
        <v>0</v>
      </c>
      <c r="P165" s="242">
        <f>+P160-P162+P161+P164</f>
        <v>0</v>
      </c>
      <c r="Q165" s="242">
        <f t="shared" ref="Q165:BL165" si="73">+Q160-Q162+Q161+Q164</f>
        <v>0</v>
      </c>
      <c r="R165" s="242">
        <f t="shared" si="73"/>
        <v>0</v>
      </c>
      <c r="S165" s="242">
        <f t="shared" si="73"/>
        <v>0</v>
      </c>
      <c r="T165" s="242">
        <f t="shared" si="73"/>
        <v>0</v>
      </c>
      <c r="U165" s="242">
        <f t="shared" si="73"/>
        <v>0</v>
      </c>
      <c r="V165" s="242">
        <f t="shared" si="73"/>
        <v>0</v>
      </c>
      <c r="W165" s="242">
        <f t="shared" si="73"/>
        <v>0</v>
      </c>
      <c r="X165" s="242">
        <f t="shared" si="73"/>
        <v>0</v>
      </c>
      <c r="Y165" s="242">
        <f t="shared" si="73"/>
        <v>0</v>
      </c>
      <c r="Z165" s="242">
        <f t="shared" si="73"/>
        <v>0</v>
      </c>
      <c r="AA165" s="242">
        <f t="shared" si="73"/>
        <v>0</v>
      </c>
      <c r="AB165" s="242">
        <f t="shared" si="73"/>
        <v>0</v>
      </c>
      <c r="AC165" s="242">
        <f t="shared" si="73"/>
        <v>0</v>
      </c>
      <c r="AD165" s="242">
        <f t="shared" si="73"/>
        <v>0</v>
      </c>
      <c r="AE165" s="242">
        <f t="shared" si="73"/>
        <v>0</v>
      </c>
      <c r="AF165" s="242">
        <f t="shared" si="73"/>
        <v>0</v>
      </c>
      <c r="AG165" s="242">
        <f>+AG160-AG162+AG161+AG164</f>
        <v>0</v>
      </c>
      <c r="AH165" s="242">
        <f t="shared" si="73"/>
        <v>0</v>
      </c>
      <c r="AI165" s="242">
        <f t="shared" si="73"/>
        <v>0</v>
      </c>
      <c r="AJ165" s="242">
        <f t="shared" si="73"/>
        <v>0</v>
      </c>
      <c r="AK165" s="242">
        <f t="shared" si="73"/>
        <v>0</v>
      </c>
      <c r="AL165" s="242">
        <f t="shared" si="73"/>
        <v>0</v>
      </c>
      <c r="AM165" s="242">
        <f t="shared" si="73"/>
        <v>0</v>
      </c>
      <c r="AN165" s="242">
        <f t="shared" si="73"/>
        <v>0</v>
      </c>
      <c r="AO165" s="242">
        <f t="shared" si="73"/>
        <v>0</v>
      </c>
      <c r="AP165" s="242">
        <f>+AP160-AP162+AP161+AP164</f>
        <v>0</v>
      </c>
      <c r="AQ165" s="242">
        <f t="shared" si="73"/>
        <v>0</v>
      </c>
      <c r="AR165" s="242">
        <f t="shared" si="73"/>
        <v>0</v>
      </c>
      <c r="AS165" s="242">
        <f t="shared" si="73"/>
        <v>0</v>
      </c>
      <c r="AT165" s="242">
        <f t="shared" si="73"/>
        <v>0</v>
      </c>
      <c r="AU165" s="242">
        <f t="shared" si="73"/>
        <v>0</v>
      </c>
      <c r="AV165" s="242">
        <f t="shared" si="73"/>
        <v>0</v>
      </c>
      <c r="AW165" s="242">
        <f t="shared" si="73"/>
        <v>0</v>
      </c>
      <c r="AX165" s="242">
        <f t="shared" si="73"/>
        <v>0</v>
      </c>
      <c r="AY165" s="242">
        <f t="shared" si="73"/>
        <v>0</v>
      </c>
      <c r="AZ165" s="242">
        <f t="shared" si="73"/>
        <v>0</v>
      </c>
      <c r="BA165" s="242">
        <f t="shared" si="73"/>
        <v>0</v>
      </c>
      <c r="BB165" s="242">
        <f t="shared" si="73"/>
        <v>0</v>
      </c>
      <c r="BC165" s="242">
        <f t="shared" si="73"/>
        <v>0</v>
      </c>
      <c r="BD165" s="242">
        <f t="shared" si="73"/>
        <v>0</v>
      </c>
      <c r="BE165" s="242">
        <f t="shared" si="73"/>
        <v>0</v>
      </c>
      <c r="BF165" s="242">
        <f t="shared" si="73"/>
        <v>0</v>
      </c>
      <c r="BG165" s="242">
        <f t="shared" si="73"/>
        <v>0</v>
      </c>
      <c r="BH165" s="242">
        <f t="shared" si="73"/>
        <v>0</v>
      </c>
      <c r="BI165" s="242">
        <f t="shared" si="73"/>
        <v>0</v>
      </c>
      <c r="BJ165" s="242">
        <f t="shared" si="73"/>
        <v>0</v>
      </c>
      <c r="BK165" s="242">
        <f t="shared" si="73"/>
        <v>0</v>
      </c>
      <c r="BL165" s="242">
        <f t="shared" si="73"/>
        <v>0</v>
      </c>
    </row>
    <row r="166" spans="1:84" x14ac:dyDescent="0.2">
      <c r="A166" s="171"/>
      <c r="B166" s="325">
        <v>44531</v>
      </c>
      <c r="C166" s="62" t="s">
        <v>6</v>
      </c>
      <c r="D166" s="240">
        <f>SUM(E166:BL166)</f>
        <v>50000</v>
      </c>
      <c r="E166" s="241">
        <f>CLIENTES!F269</f>
        <v>0</v>
      </c>
      <c r="F166" s="241">
        <f>CLIENTES!H269</f>
        <v>50000</v>
      </c>
      <c r="G166" s="241">
        <f>CLIENTES!I269</f>
        <v>0</v>
      </c>
      <c r="H166" s="241">
        <f>CLIENTES!J269</f>
        <v>0</v>
      </c>
      <c r="I166" s="241">
        <f>CLIENTES!K269</f>
        <v>0</v>
      </c>
      <c r="J166" s="241">
        <f>CLIENTES!L269</f>
        <v>0</v>
      </c>
      <c r="K166" s="241">
        <f>CLIENTES!M269</f>
        <v>0</v>
      </c>
      <c r="L166" s="241">
        <f>CLIENTES!N269</f>
        <v>0</v>
      </c>
      <c r="M166" s="241">
        <f>CLIENTES!O269</f>
        <v>0</v>
      </c>
      <c r="N166" s="241">
        <f>CLIENTES!P269</f>
        <v>0</v>
      </c>
      <c r="O166" s="241">
        <v>0</v>
      </c>
      <c r="P166" s="241">
        <f>CLIENTES!R269</f>
        <v>0</v>
      </c>
      <c r="Q166" s="241">
        <f>CLIENTES!S269</f>
        <v>0</v>
      </c>
      <c r="R166" s="241">
        <f>CLIENTES!T269</f>
        <v>0</v>
      </c>
      <c r="S166" s="241">
        <f>CLIENTES!U269</f>
        <v>0</v>
      </c>
      <c r="T166" s="241">
        <f>CLIENTES!V269</f>
        <v>0</v>
      </c>
      <c r="U166" s="241">
        <f>CLIENTES!W269</f>
        <v>0</v>
      </c>
      <c r="V166" s="241">
        <f>CLIENTES!X269</f>
        <v>0</v>
      </c>
      <c r="W166" s="241">
        <f>CLIENTES!Y269</f>
        <v>0</v>
      </c>
      <c r="X166" s="241">
        <f>CLIENTES!Z269</f>
        <v>0</v>
      </c>
      <c r="Y166" s="241">
        <f>CLIENTES!AA269</f>
        <v>0</v>
      </c>
      <c r="Z166" s="241">
        <f>CLIENTES!AB269</f>
        <v>0</v>
      </c>
      <c r="AA166" s="241">
        <f>CLIENTES!AC269</f>
        <v>0</v>
      </c>
      <c r="AB166" s="241">
        <f>CLIENTES!AD269</f>
        <v>0</v>
      </c>
      <c r="AC166" s="241">
        <f>CLIENTES!AE269</f>
        <v>0</v>
      </c>
      <c r="AD166" s="241">
        <f>CLIENTES!AF269</f>
        <v>0</v>
      </c>
      <c r="AE166" s="241">
        <f>CLIENTES!AG269</f>
        <v>0</v>
      </c>
      <c r="AF166" s="241">
        <f>CLIENTES!AH269</f>
        <v>0</v>
      </c>
      <c r="AG166" s="241">
        <f>CLIENTES!AI269</f>
        <v>0</v>
      </c>
      <c r="AH166" s="241">
        <f>CLIENTES!AJ269</f>
        <v>0</v>
      </c>
      <c r="AI166" s="241">
        <f>CLIENTES!AK269</f>
        <v>0</v>
      </c>
      <c r="AJ166" s="241">
        <f>CLIENTES!AL269</f>
        <v>0</v>
      </c>
      <c r="AK166" s="241">
        <f>CLIENTES!AM269</f>
        <v>0</v>
      </c>
      <c r="AL166" s="241">
        <f>CLIENTES!AN269</f>
        <v>0</v>
      </c>
      <c r="AM166" s="241">
        <f>CLIENTES!AO269</f>
        <v>0</v>
      </c>
      <c r="AN166" s="241">
        <f>CLIENTES!AP269</f>
        <v>0</v>
      </c>
      <c r="AO166" s="241">
        <f>CLIENTES!AQ269</f>
        <v>0</v>
      </c>
      <c r="AP166" s="241">
        <f>CLIENTES!AR269</f>
        <v>0</v>
      </c>
      <c r="AQ166" s="241">
        <f>CLIENTES!AS269</f>
        <v>0</v>
      </c>
      <c r="AR166" s="241">
        <f>CLIENTES!AT269</f>
        <v>0</v>
      </c>
      <c r="AS166" s="241">
        <f>CLIENTES!AU269</f>
        <v>0</v>
      </c>
      <c r="AT166" s="241">
        <f>CLIENTES!AV269</f>
        <v>0</v>
      </c>
      <c r="AU166" s="241">
        <f>CLIENTES!AW269</f>
        <v>0</v>
      </c>
      <c r="AV166" s="241">
        <f>CLIENTES!AX269</f>
        <v>0</v>
      </c>
      <c r="AW166" s="241">
        <f>CLIENTES!AY269</f>
        <v>0</v>
      </c>
      <c r="AX166" s="241">
        <f>CLIENTES!AZ269</f>
        <v>0</v>
      </c>
      <c r="AY166" s="241">
        <f>CLIENTES!BA269</f>
        <v>0</v>
      </c>
      <c r="AZ166" s="241">
        <f>CLIENTES!BB269</f>
        <v>0</v>
      </c>
      <c r="BA166" s="241">
        <f>CLIENTES!BC269</f>
        <v>0</v>
      </c>
      <c r="BB166" s="241">
        <f>CLIENTES!BD269</f>
        <v>0</v>
      </c>
      <c r="BC166" s="241">
        <f>CLIENTES!BE269</f>
        <v>0</v>
      </c>
      <c r="BD166" s="241">
        <f>CLIENTES!BF269</f>
        <v>0</v>
      </c>
      <c r="BE166" s="241">
        <f>CLIENTES!BG269</f>
        <v>0</v>
      </c>
      <c r="BF166" s="241">
        <f>CLIENTES!BH269</f>
        <v>0</v>
      </c>
      <c r="BG166" s="241">
        <f>CLIENTES!BI269</f>
        <v>0</v>
      </c>
      <c r="BH166" s="241">
        <f>CLIENTES!BJ269</f>
        <v>0</v>
      </c>
      <c r="BI166" s="241">
        <f>CLIENTES!BK269</f>
        <v>0</v>
      </c>
      <c r="BJ166" s="241">
        <f>CLIENTES!BL269</f>
        <v>0</v>
      </c>
      <c r="BK166" s="241">
        <f>CLIENTES!BM269</f>
        <v>0</v>
      </c>
      <c r="BL166" s="241">
        <f>CLIENTES!BN269</f>
        <v>0</v>
      </c>
    </row>
    <row r="167" spans="1:84" x14ac:dyDescent="0.2">
      <c r="A167" s="171"/>
      <c r="B167" s="326"/>
      <c r="C167" s="23" t="s">
        <v>9</v>
      </c>
      <c r="D167" s="27">
        <f>SUM(E167:BL167)</f>
        <v>87922.06</v>
      </c>
      <c r="E167" s="132">
        <f>CLIENTES!F270</f>
        <v>0</v>
      </c>
      <c r="F167" s="132">
        <f>CLIENTES!H270</f>
        <v>0</v>
      </c>
      <c r="G167" s="132">
        <f>CLIENTES!I270</f>
        <v>0</v>
      </c>
      <c r="H167" s="132">
        <f>CLIENTES!J270</f>
        <v>0</v>
      </c>
      <c r="I167" s="132">
        <f>CLIENTES!K270</f>
        <v>0</v>
      </c>
      <c r="J167" s="132">
        <f>CLIENTES!L270</f>
        <v>0</v>
      </c>
      <c r="K167" s="132">
        <f>CLIENTES!M270</f>
        <v>0</v>
      </c>
      <c r="L167" s="132">
        <f>CLIENTES!N270</f>
        <v>0</v>
      </c>
      <c r="M167" s="132">
        <f>CLIENTES!O270</f>
        <v>0</v>
      </c>
      <c r="N167" s="132">
        <f>CLIENTES!P270</f>
        <v>0</v>
      </c>
      <c r="O167" s="132">
        <f>CLIENTES!Q270</f>
        <v>0</v>
      </c>
      <c r="P167" s="132">
        <f>CLIENTES!R270</f>
        <v>0</v>
      </c>
      <c r="Q167" s="132">
        <f>CLIENTES!S270</f>
        <v>0</v>
      </c>
      <c r="R167" s="132">
        <f>CLIENTES!T270</f>
        <v>0</v>
      </c>
      <c r="S167" s="132">
        <f>CLIENTES!U270</f>
        <v>0</v>
      </c>
      <c r="T167" s="132">
        <f>CLIENTES!V270</f>
        <v>0</v>
      </c>
      <c r="U167" s="132">
        <f>CLIENTES!W270</f>
        <v>0</v>
      </c>
      <c r="V167" s="132">
        <f>CLIENTES!X270</f>
        <v>0</v>
      </c>
      <c r="W167" s="132">
        <f>CLIENTES!Y270</f>
        <v>0</v>
      </c>
      <c r="X167" s="132">
        <f>CLIENTES!Z270</f>
        <v>0</v>
      </c>
      <c r="Y167" s="132">
        <f>CLIENTES!AA270</f>
        <v>0</v>
      </c>
      <c r="Z167" s="132">
        <f>CLIENTES!AB270</f>
        <v>0</v>
      </c>
      <c r="AA167" s="132">
        <f>CLIENTES!AC270</f>
        <v>0</v>
      </c>
      <c r="AB167" s="132">
        <f>CLIENTES!AD270</f>
        <v>0</v>
      </c>
      <c r="AC167" s="132">
        <f>CLIENTES!AE270</f>
        <v>0</v>
      </c>
      <c r="AD167" s="132">
        <f>CLIENTES!AF270</f>
        <v>0</v>
      </c>
      <c r="AE167" s="132">
        <f>CLIENTES!AG270</f>
        <v>0</v>
      </c>
      <c r="AF167" s="132">
        <f>CLIENTES!AH270</f>
        <v>0</v>
      </c>
      <c r="AG167" s="132">
        <f>CLIENTES!AI270</f>
        <v>0</v>
      </c>
      <c r="AH167" s="132">
        <v>87922.06</v>
      </c>
      <c r="AI167" s="132">
        <f>CLIENTES!AK270</f>
        <v>0</v>
      </c>
      <c r="AJ167" s="132">
        <f>CLIENTES!AL270</f>
        <v>0</v>
      </c>
      <c r="AK167" s="132">
        <f>CLIENTES!AM270</f>
        <v>0</v>
      </c>
      <c r="AL167" s="132">
        <f>CLIENTES!AN270</f>
        <v>0</v>
      </c>
      <c r="AM167" s="132">
        <f>CLIENTES!AO270</f>
        <v>0</v>
      </c>
      <c r="AN167" s="132">
        <f>CLIENTES!AP270</f>
        <v>0</v>
      </c>
      <c r="AO167" s="132">
        <f>CLIENTES!AQ270</f>
        <v>0</v>
      </c>
      <c r="AP167" s="132">
        <f>CLIENTES!AR270</f>
        <v>0</v>
      </c>
      <c r="AQ167" s="132">
        <f>CLIENTES!AS270</f>
        <v>0</v>
      </c>
      <c r="AR167" s="132">
        <f>CLIENTES!AT270</f>
        <v>0</v>
      </c>
      <c r="AS167" s="132">
        <f>CLIENTES!AU270</f>
        <v>0</v>
      </c>
      <c r="AT167" s="132">
        <f>CLIENTES!AV270</f>
        <v>0</v>
      </c>
      <c r="AU167" s="132">
        <f>CLIENTES!AW270</f>
        <v>0</v>
      </c>
      <c r="AV167" s="132">
        <f>CLIENTES!AX270</f>
        <v>0</v>
      </c>
      <c r="AW167" s="132">
        <f>CLIENTES!AY270</f>
        <v>0</v>
      </c>
      <c r="AX167" s="132">
        <f>CLIENTES!AZ270</f>
        <v>0</v>
      </c>
      <c r="AY167" s="132">
        <f>CLIENTES!BA270</f>
        <v>0</v>
      </c>
      <c r="AZ167" s="132">
        <f>CLIENTES!BB270</f>
        <v>0</v>
      </c>
      <c r="BA167" s="132">
        <f>CLIENTES!BC270</f>
        <v>0</v>
      </c>
      <c r="BB167" s="132">
        <f>CLIENTES!BD270</f>
        <v>0</v>
      </c>
      <c r="BC167" s="132">
        <f>CLIENTES!BE270</f>
        <v>0</v>
      </c>
      <c r="BD167" s="132">
        <f>CLIENTES!BF270</f>
        <v>0</v>
      </c>
      <c r="BE167" s="132">
        <f>CLIENTES!BG270</f>
        <v>0</v>
      </c>
      <c r="BF167" s="132">
        <f>CLIENTES!BH270</f>
        <v>0</v>
      </c>
      <c r="BG167" s="132">
        <f>CLIENTES!BI270</f>
        <v>0</v>
      </c>
      <c r="BH167" s="132">
        <f>CLIENTES!BJ270</f>
        <v>0</v>
      </c>
      <c r="BI167" s="132">
        <f>CLIENTES!BK270</f>
        <v>0</v>
      </c>
      <c r="BJ167" s="132">
        <f>CLIENTES!BL270</f>
        <v>0</v>
      </c>
      <c r="BK167" s="132">
        <f>CLIENTES!BM270</f>
        <v>0</v>
      </c>
      <c r="BL167" s="132">
        <f>CLIENTES!BN270</f>
        <v>0</v>
      </c>
    </row>
    <row r="168" spans="1:84" x14ac:dyDescent="0.2">
      <c r="B168" s="326"/>
      <c r="C168" s="23" t="s">
        <v>10</v>
      </c>
      <c r="D168" s="72">
        <v>8.6E-3</v>
      </c>
      <c r="E168" s="226">
        <f>D168</f>
        <v>8.6E-3</v>
      </c>
      <c r="F168" s="226">
        <f t="shared" ref="F168" si="74">E168</f>
        <v>8.6E-3</v>
      </c>
      <c r="G168" s="226">
        <f t="shared" ref="G168" si="75">F168</f>
        <v>8.6E-3</v>
      </c>
      <c r="H168" s="226">
        <f t="shared" ref="H168" si="76">G168</f>
        <v>8.6E-3</v>
      </c>
      <c r="I168" s="226">
        <f t="shared" ref="I168" si="77">H168</f>
        <v>8.6E-3</v>
      </c>
      <c r="J168" s="226">
        <f t="shared" ref="J168" si="78">I168</f>
        <v>8.6E-3</v>
      </c>
      <c r="K168" s="226">
        <f t="shared" ref="K168" si="79">J168</f>
        <v>8.6E-3</v>
      </c>
      <c r="L168" s="226">
        <f t="shared" ref="L168" si="80">K168</f>
        <v>8.6E-3</v>
      </c>
      <c r="M168" s="226">
        <f t="shared" ref="M168" si="81">L168</f>
        <v>8.6E-3</v>
      </c>
      <c r="N168" s="226">
        <f t="shared" ref="N168" si="82">M168</f>
        <v>8.6E-3</v>
      </c>
      <c r="O168" s="226">
        <f t="shared" ref="O168" si="83">N168</f>
        <v>8.6E-3</v>
      </c>
      <c r="P168" s="226">
        <f t="shared" ref="P168" si="84">O168</f>
        <v>8.6E-3</v>
      </c>
      <c r="Q168" s="226">
        <f t="shared" ref="Q168" si="85">P168</f>
        <v>8.6E-3</v>
      </c>
      <c r="R168" s="226">
        <f t="shared" ref="R168" si="86">Q168</f>
        <v>8.6E-3</v>
      </c>
      <c r="S168" s="226">
        <f t="shared" ref="S168" si="87">R168</f>
        <v>8.6E-3</v>
      </c>
      <c r="T168" s="226">
        <f t="shared" ref="T168" si="88">S168</f>
        <v>8.6E-3</v>
      </c>
      <c r="U168" s="226">
        <f t="shared" ref="U168" si="89">T168</f>
        <v>8.6E-3</v>
      </c>
      <c r="V168" s="226">
        <f t="shared" ref="V168" si="90">U168</f>
        <v>8.6E-3</v>
      </c>
      <c r="W168" s="226">
        <f t="shared" ref="W168" si="91">V168</f>
        <v>8.6E-3</v>
      </c>
      <c r="X168" s="226">
        <f t="shared" ref="X168" si="92">W168</f>
        <v>8.6E-3</v>
      </c>
      <c r="Y168" s="226">
        <f t="shared" ref="Y168" si="93">X168</f>
        <v>8.6E-3</v>
      </c>
      <c r="Z168" s="226">
        <f t="shared" ref="Z168" si="94">Y168</f>
        <v>8.6E-3</v>
      </c>
      <c r="AA168" s="226">
        <f t="shared" ref="AA168" si="95">Z168</f>
        <v>8.6E-3</v>
      </c>
      <c r="AB168" s="226">
        <f t="shared" ref="AB168" si="96">AA168</f>
        <v>8.6E-3</v>
      </c>
      <c r="AC168" s="226">
        <f t="shared" ref="AC168" si="97">AB168</f>
        <v>8.6E-3</v>
      </c>
      <c r="AD168" s="226">
        <f t="shared" ref="AD168" si="98">AC168</f>
        <v>8.6E-3</v>
      </c>
      <c r="AE168" s="226">
        <f t="shared" ref="AE168" si="99">AD168</f>
        <v>8.6E-3</v>
      </c>
      <c r="AF168" s="226">
        <f t="shared" ref="AF168" si="100">AE168</f>
        <v>8.6E-3</v>
      </c>
      <c r="AG168" s="226">
        <f t="shared" ref="AG168" si="101">AF168</f>
        <v>8.6E-3</v>
      </c>
      <c r="AH168" s="226">
        <f t="shared" ref="AH168" si="102">AG168</f>
        <v>8.6E-3</v>
      </c>
      <c r="AI168" s="226">
        <f t="shared" ref="AI168" si="103">AH168</f>
        <v>8.6E-3</v>
      </c>
      <c r="AJ168" s="226">
        <f t="shared" ref="AJ168" si="104">AI168</f>
        <v>8.6E-3</v>
      </c>
      <c r="AK168" s="226">
        <f t="shared" ref="AK168" si="105">AJ168</f>
        <v>8.6E-3</v>
      </c>
      <c r="AL168" s="226">
        <f t="shared" ref="AL168" si="106">AK168</f>
        <v>8.6E-3</v>
      </c>
      <c r="AM168" s="226">
        <f t="shared" ref="AM168" si="107">AL168</f>
        <v>8.6E-3</v>
      </c>
      <c r="AN168" s="226">
        <f t="shared" ref="AN168" si="108">AM168</f>
        <v>8.6E-3</v>
      </c>
      <c r="AO168" s="226">
        <f t="shared" ref="AO168" si="109">AN168</f>
        <v>8.6E-3</v>
      </c>
      <c r="AP168" s="226">
        <f t="shared" ref="AP168" si="110">AO168</f>
        <v>8.6E-3</v>
      </c>
      <c r="AQ168" s="226">
        <f t="shared" ref="AQ168" si="111">AP168</f>
        <v>8.6E-3</v>
      </c>
      <c r="AR168" s="226">
        <f t="shared" ref="AR168" si="112">AQ168</f>
        <v>8.6E-3</v>
      </c>
      <c r="AS168" s="226">
        <f t="shared" ref="AS168" si="113">AR168</f>
        <v>8.6E-3</v>
      </c>
      <c r="AT168" s="226">
        <f t="shared" ref="AT168" si="114">AS168</f>
        <v>8.6E-3</v>
      </c>
      <c r="AU168" s="226">
        <f t="shared" ref="AU168" si="115">AT168</f>
        <v>8.6E-3</v>
      </c>
      <c r="AV168" s="226">
        <f t="shared" ref="AV168" si="116">AU168</f>
        <v>8.6E-3</v>
      </c>
      <c r="AW168" s="226">
        <f t="shared" ref="AW168" si="117">AV168</f>
        <v>8.6E-3</v>
      </c>
      <c r="AX168" s="226">
        <f t="shared" ref="AX168" si="118">AW168</f>
        <v>8.6E-3</v>
      </c>
      <c r="AY168" s="226">
        <f t="shared" ref="AY168" si="119">AX168</f>
        <v>8.6E-3</v>
      </c>
      <c r="AZ168" s="226">
        <f t="shared" ref="AZ168" si="120">AY168</f>
        <v>8.6E-3</v>
      </c>
      <c r="BA168" s="226">
        <f t="shared" ref="BA168" si="121">AZ168</f>
        <v>8.6E-3</v>
      </c>
      <c r="BB168" s="226">
        <f t="shared" ref="BB168" si="122">BA168</f>
        <v>8.6E-3</v>
      </c>
      <c r="BC168" s="226">
        <f t="shared" ref="BC168" si="123">BB168</f>
        <v>8.6E-3</v>
      </c>
      <c r="BD168" s="226">
        <f t="shared" ref="BD168" si="124">BC168</f>
        <v>8.6E-3</v>
      </c>
      <c r="BE168" s="226">
        <f t="shared" ref="BE168" si="125">BD168</f>
        <v>8.6E-3</v>
      </c>
      <c r="BF168" s="226">
        <f t="shared" ref="BF168" si="126">BE168</f>
        <v>8.6E-3</v>
      </c>
      <c r="BG168" s="226">
        <f t="shared" ref="BG168" si="127">BF168</f>
        <v>8.6E-3</v>
      </c>
      <c r="BH168" s="226">
        <f t="shared" ref="BH168" si="128">BG168</f>
        <v>8.6E-3</v>
      </c>
      <c r="BI168" s="226">
        <f t="shared" ref="BI168" si="129">BH168</f>
        <v>8.6E-3</v>
      </c>
      <c r="BJ168" s="226">
        <f t="shared" ref="BJ168" si="130">BI168</f>
        <v>8.6E-3</v>
      </c>
      <c r="BK168" s="226">
        <f t="shared" ref="BK168" si="131">BJ168</f>
        <v>8.6E-3</v>
      </c>
      <c r="BL168" s="226">
        <f t="shared" ref="BL168" si="132">BK168</f>
        <v>8.6E-3</v>
      </c>
    </row>
    <row r="169" spans="1:84" x14ac:dyDescent="0.2">
      <c r="B169" s="326"/>
      <c r="C169" s="58" t="s">
        <v>23</v>
      </c>
      <c r="D169" s="27">
        <f>SUM(E169:BL169)</f>
        <v>15250.632597461688</v>
      </c>
      <c r="E169" s="139">
        <f>IF((E165+E166-E167)*E168&lt;0,0,(E165+E166-E167)*E168)</f>
        <v>0</v>
      </c>
      <c r="F169" s="139">
        <f t="shared" ref="F169:BI169" si="133">IF((F165+F166-F167)*F168&lt;0,0,(F165+F166-F167)*F168)</f>
        <v>15250.632597461688</v>
      </c>
      <c r="G169" s="139">
        <f t="shared" si="133"/>
        <v>0</v>
      </c>
      <c r="H169" s="139">
        <f t="shared" si="133"/>
        <v>0</v>
      </c>
      <c r="I169" s="139">
        <f t="shared" si="133"/>
        <v>0</v>
      </c>
      <c r="J169" s="139">
        <f t="shared" si="133"/>
        <v>0</v>
      </c>
      <c r="K169" s="139">
        <f t="shared" si="133"/>
        <v>0</v>
      </c>
      <c r="L169" s="139">
        <f t="shared" si="133"/>
        <v>0</v>
      </c>
      <c r="M169" s="139">
        <f t="shared" si="133"/>
        <v>0</v>
      </c>
      <c r="N169" s="139">
        <f t="shared" si="133"/>
        <v>0</v>
      </c>
      <c r="O169" s="139">
        <f t="shared" si="133"/>
        <v>0</v>
      </c>
      <c r="P169" s="139">
        <f t="shared" si="133"/>
        <v>0</v>
      </c>
      <c r="Q169" s="139">
        <f t="shared" si="133"/>
        <v>0</v>
      </c>
      <c r="R169" s="139">
        <f t="shared" si="133"/>
        <v>0</v>
      </c>
      <c r="S169" s="139">
        <f t="shared" si="133"/>
        <v>0</v>
      </c>
      <c r="T169" s="139">
        <f t="shared" si="133"/>
        <v>0</v>
      </c>
      <c r="U169" s="139">
        <f t="shared" si="133"/>
        <v>0</v>
      </c>
      <c r="V169" s="139">
        <f t="shared" si="133"/>
        <v>0</v>
      </c>
      <c r="W169" s="139">
        <f t="shared" si="133"/>
        <v>0</v>
      </c>
      <c r="X169" s="139">
        <f t="shared" si="133"/>
        <v>0</v>
      </c>
      <c r="Y169" s="139">
        <f t="shared" si="133"/>
        <v>0</v>
      </c>
      <c r="Z169" s="139">
        <f t="shared" si="133"/>
        <v>0</v>
      </c>
      <c r="AA169" s="139">
        <f t="shared" si="133"/>
        <v>0</v>
      </c>
      <c r="AB169" s="139">
        <f t="shared" si="133"/>
        <v>0</v>
      </c>
      <c r="AC169" s="139">
        <f t="shared" si="133"/>
        <v>0</v>
      </c>
      <c r="AD169" s="139">
        <f t="shared" si="133"/>
        <v>0</v>
      </c>
      <c r="AE169" s="139">
        <f t="shared" si="133"/>
        <v>0</v>
      </c>
      <c r="AF169" s="139">
        <f t="shared" si="133"/>
        <v>0</v>
      </c>
      <c r="AG169" s="139">
        <f t="shared" si="133"/>
        <v>0</v>
      </c>
      <c r="AH169" s="139">
        <f t="shared" si="133"/>
        <v>0</v>
      </c>
      <c r="AI169" s="139">
        <f t="shared" si="133"/>
        <v>0</v>
      </c>
      <c r="AJ169" s="139">
        <f t="shared" si="133"/>
        <v>0</v>
      </c>
      <c r="AK169" s="139">
        <f t="shared" si="133"/>
        <v>0</v>
      </c>
      <c r="AL169" s="139">
        <f t="shared" si="133"/>
        <v>0</v>
      </c>
      <c r="AM169" s="139">
        <f t="shared" si="133"/>
        <v>0</v>
      </c>
      <c r="AN169" s="139">
        <f t="shared" si="133"/>
        <v>0</v>
      </c>
      <c r="AO169" s="139">
        <f t="shared" si="133"/>
        <v>0</v>
      </c>
      <c r="AP169" s="139">
        <f>IF((AP165+AP166-AP167)*AP168&lt;0,0,(AP165+AP166-AP167)*AP168)</f>
        <v>0</v>
      </c>
      <c r="AQ169" s="139">
        <f t="shared" si="133"/>
        <v>0</v>
      </c>
      <c r="AR169" s="139">
        <f t="shared" si="133"/>
        <v>0</v>
      </c>
      <c r="AS169" s="139">
        <f t="shared" si="133"/>
        <v>0</v>
      </c>
      <c r="AT169" s="139">
        <f t="shared" si="133"/>
        <v>0</v>
      </c>
      <c r="AU169" s="139">
        <f t="shared" si="133"/>
        <v>0</v>
      </c>
      <c r="AV169" s="139">
        <f t="shared" si="133"/>
        <v>0</v>
      </c>
      <c r="AW169" s="139">
        <f t="shared" si="133"/>
        <v>0</v>
      </c>
      <c r="AX169" s="139">
        <f t="shared" si="133"/>
        <v>0</v>
      </c>
      <c r="AY169" s="139">
        <f t="shared" si="133"/>
        <v>0</v>
      </c>
      <c r="AZ169" s="139">
        <f t="shared" si="133"/>
        <v>0</v>
      </c>
      <c r="BA169" s="139">
        <f t="shared" si="133"/>
        <v>0</v>
      </c>
      <c r="BB169" s="139">
        <f t="shared" si="133"/>
        <v>0</v>
      </c>
      <c r="BC169" s="139">
        <f t="shared" si="133"/>
        <v>0</v>
      </c>
      <c r="BD169" s="139">
        <f t="shared" si="133"/>
        <v>0</v>
      </c>
      <c r="BE169" s="139">
        <f t="shared" si="133"/>
        <v>0</v>
      </c>
      <c r="BF169" s="139">
        <f t="shared" si="133"/>
        <v>0</v>
      </c>
      <c r="BG169" s="139">
        <f t="shared" si="133"/>
        <v>0</v>
      </c>
      <c r="BH169" s="139">
        <f t="shared" si="133"/>
        <v>0</v>
      </c>
      <c r="BI169" s="139">
        <f t="shared" si="133"/>
        <v>0</v>
      </c>
      <c r="BJ169" s="139">
        <f>IF((BJ165+BJ166-BJ167)*BJ168&lt;0,0,(BJ165+BJ166-BJ167)*BJ168)</f>
        <v>0</v>
      </c>
      <c r="BK169" s="139">
        <f t="shared" ref="BK169:BL169" si="134">IF((BK165+BK166-BK167)*BK168&lt;0,0,(BK165+BK166-BK167)*BK168)</f>
        <v>0</v>
      </c>
      <c r="BL169" s="139">
        <f t="shared" si="134"/>
        <v>0</v>
      </c>
      <c r="BM169" s="65"/>
      <c r="BN169" s="65"/>
      <c r="BO169" s="65"/>
      <c r="BP169" s="65"/>
      <c r="BQ169" s="65"/>
      <c r="BR169" s="65"/>
      <c r="BS169" s="65"/>
      <c r="BT169" s="65"/>
      <c r="BU169" s="65"/>
      <c r="BV169" s="65"/>
      <c r="BW169" s="65"/>
      <c r="BX169" s="65"/>
      <c r="BY169" s="65"/>
      <c r="BZ169" s="65"/>
      <c r="CA169" s="65"/>
      <c r="CB169" s="65"/>
      <c r="CC169" s="65"/>
      <c r="CD169" s="65"/>
      <c r="CE169" s="65"/>
      <c r="CF169" s="65"/>
    </row>
    <row r="170" spans="1:84" ht="13.5" thickBot="1" x14ac:dyDescent="0.25">
      <c r="B170" s="327"/>
      <c r="C170" s="144" t="s">
        <v>22</v>
      </c>
      <c r="D170" s="239">
        <f>SUM(E170:BL170)</f>
        <v>1700657.9443953324</v>
      </c>
      <c r="E170" s="242">
        <f>+E165-E167+E166+E169</f>
        <v>0</v>
      </c>
      <c r="F170" s="242">
        <f>+F165-F167+F166+F169</f>
        <v>1788580.0043953324</v>
      </c>
      <c r="G170" s="242">
        <f>+G165-G167+G166+G169</f>
        <v>0</v>
      </c>
      <c r="H170" s="242">
        <f>+H165-H167+H166+H169</f>
        <v>0</v>
      </c>
      <c r="I170" s="242">
        <f>+I165-I167+I166+I169</f>
        <v>0</v>
      </c>
      <c r="J170" s="242">
        <f t="shared" ref="J170:O170" si="135">+J165-J167+J166+J169</f>
        <v>0</v>
      </c>
      <c r="K170" s="242">
        <f t="shared" si="135"/>
        <v>0</v>
      </c>
      <c r="L170" s="242">
        <f t="shared" si="135"/>
        <v>0</v>
      </c>
      <c r="M170" s="242">
        <f t="shared" si="135"/>
        <v>0</v>
      </c>
      <c r="N170" s="242">
        <f t="shared" si="135"/>
        <v>0</v>
      </c>
      <c r="O170" s="242">
        <f t="shared" si="135"/>
        <v>0</v>
      </c>
      <c r="P170" s="242">
        <f>+P165-P167+P166+P169</f>
        <v>0</v>
      </c>
      <c r="Q170" s="242">
        <f t="shared" ref="Q170:AF170" si="136">+Q165-Q167+Q166+Q169</f>
        <v>0</v>
      </c>
      <c r="R170" s="242">
        <f t="shared" si="136"/>
        <v>0</v>
      </c>
      <c r="S170" s="242">
        <f t="shared" si="136"/>
        <v>0</v>
      </c>
      <c r="T170" s="242">
        <f t="shared" si="136"/>
        <v>0</v>
      </c>
      <c r="U170" s="242">
        <f t="shared" si="136"/>
        <v>0</v>
      </c>
      <c r="V170" s="242">
        <f t="shared" si="136"/>
        <v>0</v>
      </c>
      <c r="W170" s="242">
        <f t="shared" si="136"/>
        <v>0</v>
      </c>
      <c r="X170" s="242">
        <f t="shared" si="136"/>
        <v>0</v>
      </c>
      <c r="Y170" s="242">
        <f t="shared" si="136"/>
        <v>0</v>
      </c>
      <c r="Z170" s="242">
        <f t="shared" si="136"/>
        <v>0</v>
      </c>
      <c r="AA170" s="242">
        <f t="shared" si="136"/>
        <v>0</v>
      </c>
      <c r="AB170" s="242">
        <f t="shared" si="136"/>
        <v>0</v>
      </c>
      <c r="AC170" s="242">
        <f t="shared" si="136"/>
        <v>0</v>
      </c>
      <c r="AD170" s="242">
        <f t="shared" si="136"/>
        <v>0</v>
      </c>
      <c r="AE170" s="242">
        <f t="shared" si="136"/>
        <v>0</v>
      </c>
      <c r="AF170" s="242">
        <f t="shared" si="136"/>
        <v>0</v>
      </c>
      <c r="AG170" s="242">
        <f>+AG165-AG167+AG166+AG169</f>
        <v>0</v>
      </c>
      <c r="AH170" s="242">
        <f t="shared" ref="AH170:BJ170" si="137">+AH165-AH167+AH166+AH169</f>
        <v>-87922.06</v>
      </c>
      <c r="AI170" s="242">
        <f t="shared" si="137"/>
        <v>0</v>
      </c>
      <c r="AJ170" s="242">
        <f t="shared" si="137"/>
        <v>0</v>
      </c>
      <c r="AK170" s="242">
        <f t="shared" si="137"/>
        <v>0</v>
      </c>
      <c r="AL170" s="242">
        <f t="shared" si="137"/>
        <v>0</v>
      </c>
      <c r="AM170" s="242">
        <f t="shared" si="137"/>
        <v>0</v>
      </c>
      <c r="AN170" s="242">
        <f t="shared" si="137"/>
        <v>0</v>
      </c>
      <c r="AO170" s="242">
        <f t="shared" si="137"/>
        <v>0</v>
      </c>
      <c r="AP170" s="242">
        <f t="shared" si="137"/>
        <v>0</v>
      </c>
      <c r="AQ170" s="242">
        <f t="shared" si="137"/>
        <v>0</v>
      </c>
      <c r="AR170" s="242">
        <f t="shared" si="137"/>
        <v>0</v>
      </c>
      <c r="AS170" s="242">
        <f t="shared" si="137"/>
        <v>0</v>
      </c>
      <c r="AT170" s="242">
        <f t="shared" si="137"/>
        <v>0</v>
      </c>
      <c r="AU170" s="242">
        <f t="shared" si="137"/>
        <v>0</v>
      </c>
      <c r="AV170" s="242">
        <f t="shared" si="137"/>
        <v>0</v>
      </c>
      <c r="AW170" s="242">
        <f t="shared" si="137"/>
        <v>0</v>
      </c>
      <c r="AX170" s="242">
        <f t="shared" si="137"/>
        <v>0</v>
      </c>
      <c r="AY170" s="242">
        <f t="shared" si="137"/>
        <v>0</v>
      </c>
      <c r="AZ170" s="242">
        <f t="shared" si="137"/>
        <v>0</v>
      </c>
      <c r="BA170" s="242">
        <f t="shared" si="137"/>
        <v>0</v>
      </c>
      <c r="BB170" s="242">
        <f t="shared" si="137"/>
        <v>0</v>
      </c>
      <c r="BC170" s="242">
        <f t="shared" si="137"/>
        <v>0</v>
      </c>
      <c r="BD170" s="242">
        <f t="shared" si="137"/>
        <v>0</v>
      </c>
      <c r="BE170" s="242">
        <f t="shared" si="137"/>
        <v>0</v>
      </c>
      <c r="BF170" s="242">
        <f t="shared" si="137"/>
        <v>0</v>
      </c>
      <c r="BG170" s="242">
        <f t="shared" si="137"/>
        <v>0</v>
      </c>
      <c r="BH170" s="242">
        <f>+BH165-BH167+BH166+BH169</f>
        <v>0</v>
      </c>
      <c r="BI170" s="242">
        <f t="shared" si="137"/>
        <v>0</v>
      </c>
      <c r="BJ170" s="242">
        <f t="shared" si="137"/>
        <v>0</v>
      </c>
      <c r="BK170" s="242">
        <f>+BK165-BK167+BK166+BK169</f>
        <v>0</v>
      </c>
      <c r="BL170" s="242">
        <f>+BL165-BL167+BL166+BL169</f>
        <v>0</v>
      </c>
    </row>
    <row r="171" spans="1:84" hidden="1" x14ac:dyDescent="0.2">
      <c r="B171" s="194"/>
      <c r="C171" s="231"/>
      <c r="D171" s="197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U171" s="198"/>
      <c r="AV171" s="198"/>
      <c r="AW171" s="198"/>
      <c r="AX171" s="198"/>
      <c r="AY171" s="198"/>
      <c r="AZ171" s="198"/>
      <c r="BA171" s="198"/>
      <c r="BB171" s="198"/>
      <c r="BC171" s="198"/>
      <c r="BD171" s="198"/>
      <c r="BE171" s="198"/>
      <c r="BF171" s="198"/>
      <c r="BG171" s="198"/>
      <c r="BH171" s="198"/>
      <c r="BI171" s="198"/>
      <c r="BJ171" s="198"/>
      <c r="BK171" s="198"/>
      <c r="BL171" s="198"/>
    </row>
    <row r="172" spans="1:84" hidden="1" x14ac:dyDescent="0.2">
      <c r="B172" s="194"/>
      <c r="C172" s="195"/>
      <c r="D172" s="197"/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196"/>
      <c r="P172" s="196"/>
      <c r="Q172" s="196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8"/>
      <c r="AC172" s="196"/>
      <c r="AD172" s="196"/>
      <c r="AE172" s="196"/>
      <c r="AF172" s="198"/>
      <c r="AG172" s="196"/>
      <c r="AH172" s="196"/>
      <c r="AI172" s="196"/>
      <c r="AJ172" s="196"/>
      <c r="AK172" s="196"/>
      <c r="AL172" s="196"/>
      <c r="AM172" s="196"/>
      <c r="AN172" s="196"/>
      <c r="AO172" s="196"/>
      <c r="AP172" s="196"/>
      <c r="AQ172" s="196"/>
      <c r="AR172" s="196"/>
      <c r="AS172" s="196"/>
      <c r="AT172" s="196"/>
      <c r="AU172" s="196"/>
      <c r="AV172" s="196"/>
      <c r="AW172" s="196"/>
      <c r="AX172" s="196"/>
      <c r="AY172" s="196"/>
      <c r="AZ172" s="196"/>
      <c r="BA172" s="196"/>
      <c r="BB172" s="196"/>
      <c r="BC172" s="196"/>
      <c r="BD172" s="196"/>
      <c r="BE172" s="196"/>
      <c r="BF172" s="196"/>
      <c r="BG172" s="196"/>
      <c r="BH172" s="196"/>
      <c r="BI172" s="196"/>
      <c r="BJ172" s="196"/>
      <c r="BK172" s="196"/>
      <c r="BL172" s="198"/>
    </row>
    <row r="173" spans="1:84" hidden="1" x14ac:dyDescent="0.2">
      <c r="B173" s="194"/>
      <c r="C173" s="197" t="s">
        <v>165</v>
      </c>
      <c r="D173" s="190">
        <f>SUM(E173:BL173)</f>
        <v>7693969.0200000005</v>
      </c>
      <c r="E173" s="196">
        <f>18029.09/2</f>
        <v>9014.5450000000001</v>
      </c>
      <c r="F173" s="196">
        <v>202763.74</v>
      </c>
      <c r="G173" s="196">
        <v>85292.47</v>
      </c>
      <c r="H173" s="196">
        <v>254326.38</v>
      </c>
      <c r="I173" s="196">
        <v>8858.8799999999992</v>
      </c>
      <c r="J173" s="196">
        <v>8858.8799999999992</v>
      </c>
      <c r="K173" s="196">
        <v>112167.16</v>
      </c>
      <c r="L173" s="196"/>
      <c r="M173" s="196">
        <v>8858.8799999999992</v>
      </c>
      <c r="N173" s="196">
        <v>304457.46000000002</v>
      </c>
      <c r="O173" s="196">
        <v>322771.68</v>
      </c>
      <c r="P173" s="196">
        <v>7219.07</v>
      </c>
      <c r="Q173" s="196">
        <f>18029.09/2</f>
        <v>9014.5450000000001</v>
      </c>
      <c r="R173" s="196">
        <v>7807.31</v>
      </c>
      <c r="S173" s="196">
        <v>9199.6</v>
      </c>
      <c r="T173" s="196">
        <v>9199.6</v>
      </c>
      <c r="U173" s="196">
        <v>233528.04</v>
      </c>
      <c r="V173" s="196">
        <f>28620.99/3</f>
        <v>9540.33</v>
      </c>
      <c r="W173" s="196">
        <v>274109.8</v>
      </c>
      <c r="X173" s="196">
        <v>229635.68</v>
      </c>
      <c r="Y173" s="196">
        <v>259099.51</v>
      </c>
      <c r="Z173" s="196">
        <f t="shared" ref="Z173:AD173" si="138">28620.99/3</f>
        <v>9540.33</v>
      </c>
      <c r="AA173" s="196">
        <f t="shared" si="138"/>
        <v>9540.33</v>
      </c>
      <c r="AB173" s="196">
        <f t="shared" si="138"/>
        <v>9540.33</v>
      </c>
      <c r="AC173" s="196">
        <f t="shared" si="138"/>
        <v>9540.33</v>
      </c>
      <c r="AD173" s="196">
        <f t="shared" si="138"/>
        <v>9540.33</v>
      </c>
      <c r="AE173" s="196">
        <v>-5655.24</v>
      </c>
      <c r="AF173" s="198">
        <v>-12879.13</v>
      </c>
      <c r="AG173" s="196">
        <v>266436.92</v>
      </c>
      <c r="AH173" s="196">
        <v>218311.39</v>
      </c>
      <c r="AI173" s="196"/>
      <c r="AJ173" s="196">
        <v>278770.33</v>
      </c>
      <c r="AK173" s="196">
        <v>24865.31</v>
      </c>
      <c r="AL173" s="196">
        <v>-9016.0300000000007</v>
      </c>
      <c r="AM173" s="196">
        <v>109359.14</v>
      </c>
      <c r="AN173" s="196">
        <v>202145.1</v>
      </c>
      <c r="AO173" s="196">
        <v>266252.76</v>
      </c>
      <c r="AP173" s="196">
        <v>273251.03999999998</v>
      </c>
      <c r="AQ173" s="196">
        <v>102062.53</v>
      </c>
      <c r="AR173" s="196">
        <v>8132.43</v>
      </c>
      <c r="AS173" s="196">
        <v>133118.04</v>
      </c>
      <c r="AT173" s="196">
        <v>9540.33</v>
      </c>
      <c r="AU173" s="196">
        <v>263535.88</v>
      </c>
      <c r="AV173" s="196">
        <v>209876.87</v>
      </c>
      <c r="AW173" s="196">
        <v>2970.27</v>
      </c>
      <c r="AX173" s="196">
        <v>280762.45</v>
      </c>
      <c r="AY173" s="196">
        <v>95686.52</v>
      </c>
      <c r="AZ173" s="196">
        <v>279766.53999999998</v>
      </c>
      <c r="BA173" s="196">
        <v>311097.34999999998</v>
      </c>
      <c r="BB173" s="196">
        <v>177891.47</v>
      </c>
      <c r="BC173" s="196">
        <v>568589.67000000004</v>
      </c>
      <c r="BD173" s="196">
        <v>310753.65000000002</v>
      </c>
      <c r="BE173" s="196">
        <v>9540.33</v>
      </c>
      <c r="BF173" s="196">
        <v>9540.33</v>
      </c>
      <c r="BG173" s="196"/>
      <c r="BH173" s="196">
        <v>145252.68</v>
      </c>
      <c r="BI173" s="196">
        <v>310103.26</v>
      </c>
      <c r="BJ173" s="196">
        <v>322583.5</v>
      </c>
      <c r="BK173" s="196">
        <v>9334.84</v>
      </c>
      <c r="BL173" s="198">
        <f>87830.43+20732.85</f>
        <v>108563.28</v>
      </c>
    </row>
    <row r="174" spans="1:84" hidden="1" x14ac:dyDescent="0.2">
      <c r="B174" s="194"/>
      <c r="C174" s="197" t="s">
        <v>162</v>
      </c>
      <c r="D174" s="190">
        <f>SUM(E174:BL174)</f>
        <v>-4679218.1732313307</v>
      </c>
      <c r="E174" s="196">
        <f t="shared" ref="E174:K174" si="139">E145-E173</f>
        <v>1544950.3795750013</v>
      </c>
      <c r="F174" s="196">
        <f t="shared" si="139"/>
        <v>1258022.1821936686</v>
      </c>
      <c r="G174" s="196">
        <f t="shared" si="139"/>
        <v>-85292.47</v>
      </c>
      <c r="H174" s="196">
        <f t="shared" si="139"/>
        <v>-254326.38</v>
      </c>
      <c r="I174" s="196">
        <f t="shared" si="139"/>
        <v>-8858.8799999999992</v>
      </c>
      <c r="J174" s="196">
        <f t="shared" si="139"/>
        <v>-8858.8799999999992</v>
      </c>
      <c r="K174" s="196">
        <f t="shared" si="139"/>
        <v>-112167.16</v>
      </c>
      <c r="L174" s="196"/>
      <c r="M174" s="196">
        <f t="shared" ref="M174:AH174" si="140">M145-M173</f>
        <v>-8858.8799999999992</v>
      </c>
      <c r="N174" s="196">
        <f t="shared" si="140"/>
        <v>-304457.46000000002</v>
      </c>
      <c r="O174" s="196">
        <f t="shared" si="140"/>
        <v>-322771.68</v>
      </c>
      <c r="P174" s="196">
        <f t="shared" si="140"/>
        <v>-7219.07</v>
      </c>
      <c r="Q174" s="196">
        <f t="shared" si="140"/>
        <v>-9014.5450000000001</v>
      </c>
      <c r="R174" s="196">
        <f t="shared" si="140"/>
        <v>-7807.31</v>
      </c>
      <c r="S174" s="196">
        <f t="shared" si="140"/>
        <v>-9199.6</v>
      </c>
      <c r="T174" s="196">
        <f t="shared" si="140"/>
        <v>-9199.6</v>
      </c>
      <c r="U174" s="196">
        <f t="shared" si="140"/>
        <v>-233528.04</v>
      </c>
      <c r="V174" s="196">
        <f t="shared" si="140"/>
        <v>-9540.33</v>
      </c>
      <c r="W174" s="196">
        <f t="shared" si="140"/>
        <v>-274109.8</v>
      </c>
      <c r="X174" s="196">
        <f t="shared" si="140"/>
        <v>-229635.68</v>
      </c>
      <c r="Y174" s="196">
        <f t="shared" si="140"/>
        <v>-259099.51</v>
      </c>
      <c r="Z174" s="196">
        <f t="shared" si="140"/>
        <v>-9540.33</v>
      </c>
      <c r="AA174" s="196">
        <f t="shared" si="140"/>
        <v>-9540.33</v>
      </c>
      <c r="AB174" s="198">
        <f t="shared" si="140"/>
        <v>-9540.33</v>
      </c>
      <c r="AC174" s="196">
        <f t="shared" si="140"/>
        <v>-9540.33</v>
      </c>
      <c r="AD174" s="196">
        <f t="shared" si="140"/>
        <v>-9540.33</v>
      </c>
      <c r="AE174" s="196">
        <f t="shared" si="140"/>
        <v>5655.24</v>
      </c>
      <c r="AF174" s="198">
        <f t="shared" si="140"/>
        <v>12879.13</v>
      </c>
      <c r="AG174" s="196">
        <f t="shared" si="140"/>
        <v>-266436.92</v>
      </c>
      <c r="AH174" s="196">
        <f t="shared" si="140"/>
        <v>-218311.39</v>
      </c>
      <c r="AI174" s="196"/>
      <c r="AJ174" s="196">
        <f t="shared" ref="AJ174:BL174" si="141">AJ145-AJ173</f>
        <v>-278770.33</v>
      </c>
      <c r="AK174" s="196">
        <f t="shared" si="141"/>
        <v>-24865.31</v>
      </c>
      <c r="AL174" s="196">
        <f t="shared" si="141"/>
        <v>9016.0300000000007</v>
      </c>
      <c r="AM174" s="196">
        <f t="shared" si="141"/>
        <v>-109359.14</v>
      </c>
      <c r="AN174" s="196">
        <f t="shared" si="141"/>
        <v>-202145.1</v>
      </c>
      <c r="AO174" s="196">
        <f t="shared" si="141"/>
        <v>-266252.76</v>
      </c>
      <c r="AP174" s="196">
        <f t="shared" si="141"/>
        <v>-273251.03999999998</v>
      </c>
      <c r="AQ174" s="196">
        <f t="shared" si="141"/>
        <v>-102062.53</v>
      </c>
      <c r="AR174" s="196">
        <f t="shared" si="141"/>
        <v>-8132.43</v>
      </c>
      <c r="AS174" s="196">
        <f t="shared" si="141"/>
        <v>-133118.04</v>
      </c>
      <c r="AT174" s="196">
        <f t="shared" si="141"/>
        <v>-9540.33</v>
      </c>
      <c r="AU174" s="196">
        <f t="shared" si="141"/>
        <v>-263535.88</v>
      </c>
      <c r="AV174" s="196">
        <f t="shared" si="141"/>
        <v>-209876.87</v>
      </c>
      <c r="AW174" s="196">
        <f t="shared" si="141"/>
        <v>-2970.27</v>
      </c>
      <c r="AX174" s="196">
        <f t="shared" si="141"/>
        <v>-280762.45</v>
      </c>
      <c r="AY174" s="196">
        <f t="shared" si="141"/>
        <v>-95686.52</v>
      </c>
      <c r="AZ174" s="196">
        <f t="shared" si="141"/>
        <v>-279766.53999999998</v>
      </c>
      <c r="BA174" s="196">
        <f t="shared" si="141"/>
        <v>-311097.34999999998</v>
      </c>
      <c r="BB174" s="196">
        <f t="shared" si="141"/>
        <v>-177891.47</v>
      </c>
      <c r="BC174" s="196">
        <f t="shared" si="141"/>
        <v>-568589.67000000004</v>
      </c>
      <c r="BD174" s="196">
        <f t="shared" si="141"/>
        <v>-310753.65000000002</v>
      </c>
      <c r="BE174" s="196">
        <f t="shared" si="141"/>
        <v>-9540.33</v>
      </c>
      <c r="BF174" s="196">
        <f t="shared" si="141"/>
        <v>-9540.33</v>
      </c>
      <c r="BG174" s="196">
        <f t="shared" si="141"/>
        <v>0</v>
      </c>
      <c r="BH174" s="196">
        <f t="shared" si="141"/>
        <v>-145252.68</v>
      </c>
      <c r="BI174" s="196">
        <f t="shared" si="141"/>
        <v>-310103.26</v>
      </c>
      <c r="BJ174" s="196">
        <f t="shared" si="141"/>
        <v>-322583.5</v>
      </c>
      <c r="BK174" s="196">
        <f t="shared" si="141"/>
        <v>-9334.84</v>
      </c>
      <c r="BL174" s="198">
        <f t="shared" si="141"/>
        <v>-108563.28</v>
      </c>
    </row>
    <row r="175" spans="1:84" hidden="1" x14ac:dyDescent="0.2"/>
    <row r="176" spans="1:84" hidden="1" x14ac:dyDescent="0.2">
      <c r="A176" s="328" t="s">
        <v>161</v>
      </c>
      <c r="B176" s="329"/>
      <c r="C176" s="174" t="s">
        <v>158</v>
      </c>
      <c r="D176" s="175" t="e">
        <f>SUM(E176:BL176)</f>
        <v>#REF!</v>
      </c>
      <c r="E176" s="175" t="e">
        <f>#REF!+E11+E6+E21+E26+E31+E36+E41+E46+E51+E56+E61+E66+E71+E76+E81+E86+E91+E96+E101+E106+E111+E116+E121+E126+E131+E136</f>
        <v>#REF!</v>
      </c>
      <c r="F176" s="175">
        <f t="shared" ref="F176:K176" si="142">F6+F11+F16+F21+F26+F31+F36+F41+F46+F51+F56+F61+F66+F71+F76+F81+F86+F91+F96+F101+F106+F111+F116+F121+F126+F131+F136</f>
        <v>1350000</v>
      </c>
      <c r="G176" s="175">
        <f t="shared" si="142"/>
        <v>0</v>
      </c>
      <c r="H176" s="175">
        <f t="shared" si="142"/>
        <v>0</v>
      </c>
      <c r="I176" s="175">
        <f t="shared" si="142"/>
        <v>0</v>
      </c>
      <c r="J176" s="175">
        <f t="shared" si="142"/>
        <v>0</v>
      </c>
      <c r="K176" s="175">
        <f t="shared" si="142"/>
        <v>0</v>
      </c>
      <c r="L176" s="175"/>
      <c r="M176" s="175">
        <f t="shared" ref="M176:Y176" si="143">M6+M11+M16+M21+M26+M31+M36+M41+M46+M51+M56+M61+M66+M71+M76+M81+M86+M91+M96+M101+M106+M111+M116+M121+M126+M131+M136</f>
        <v>0</v>
      </c>
      <c r="N176" s="175">
        <f t="shared" si="143"/>
        <v>0</v>
      </c>
      <c r="O176" s="175">
        <f t="shared" si="143"/>
        <v>0</v>
      </c>
      <c r="P176" s="175">
        <f t="shared" si="143"/>
        <v>0</v>
      </c>
      <c r="Q176" s="175">
        <f t="shared" si="143"/>
        <v>0</v>
      </c>
      <c r="R176" s="175">
        <f t="shared" si="143"/>
        <v>0</v>
      </c>
      <c r="S176" s="175">
        <f t="shared" si="143"/>
        <v>0</v>
      </c>
      <c r="T176" s="175">
        <f t="shared" si="143"/>
        <v>0</v>
      </c>
      <c r="U176" s="175">
        <f t="shared" si="143"/>
        <v>0</v>
      </c>
      <c r="V176" s="175">
        <f t="shared" si="143"/>
        <v>0</v>
      </c>
      <c r="W176" s="175">
        <f t="shared" si="143"/>
        <v>0</v>
      </c>
      <c r="X176" s="175">
        <f t="shared" si="143"/>
        <v>0</v>
      </c>
      <c r="Y176" s="175">
        <f t="shared" si="143"/>
        <v>0</v>
      </c>
      <c r="Z176" s="175">
        <f>Z106+Z111+Z116+Z121+Z126+Z131+Z136</f>
        <v>0</v>
      </c>
      <c r="AA176" s="175">
        <f>AA6+AA11+AA16+AA21+AA26+AA31+AA36+AA41+AA46+AA51+AA56+AA61+AA66+AA71+AA76+AA81+AA86+AA91+AA96+AA101+AA106+AA111+AA116+AA121+AA126+AA131+AA136</f>
        <v>0</v>
      </c>
      <c r="AB176" s="175">
        <f>AB6+AB11+AB16+AB21+AB26+AB31+AB36+AB41+AB46+AB51+AB56+AB61+AB66+AB71+AB76+AB81+AB86+AB91+AB96+AB101+AB106+AB111+AB116+AB121+AB126+AB131+AB136</f>
        <v>0</v>
      </c>
      <c r="AC176" s="175">
        <f>AC106+AC111+AC116+AC121+AC126+AC131+AC136</f>
        <v>0</v>
      </c>
      <c r="AD176" s="175">
        <f>AD6+AD11+AD16+AD21+AD26+AD31+AD36+AD41+AD46+AD51+AD56+AD61+AD66+AD71+AD76+AD81+AD86+AD91+AD96+AD101+AD106+AD111+AD116+AD121+AD126+AD131+AD136</f>
        <v>0</v>
      </c>
      <c r="AE176" s="175">
        <f>AE6+AE11+AE16+AE21+AE26+AE31+AE36+AE41+AE46+AE51+AE56+AE61+AE66+AE71+AE76+AE81+AE86+AE91+AE96+AE101+AE106+AE111+AE116+AE121+AE126+AE131+AE136</f>
        <v>0</v>
      </c>
      <c r="AF176" s="175">
        <f>AF6+AF11+AF16+AF21+AF26+AF31+AF36+AF41+AF46+AF51+AF56+AF61+AF66+AF71+AF76+AF81+AF86+AF91+AF96+AF101+AF106+AF111+AF116+AF121+AF126+AF131+AF136</f>
        <v>0</v>
      </c>
      <c r="AG176" s="175">
        <f>AG6+AG11+AG16+AG21+AG26+AG31+AG36+AG41+AG46+AG51+AG56+AG61+AG66+AG71+AG76+AG81+AG86+AG91+AG96+AG101+AG106+AG111+AG116+AG121+AG126+AG131+AG136</f>
        <v>0</v>
      </c>
      <c r="AH176" s="175">
        <f>AH6+AH11+AH16+AH21+AH26+AH31+AH36+AH41+AH46+AH51+AH56+AH61+AH66+AH71+AH76+AH81+AH86+AH91+AH96+AH101+AH106+AH111+AH116+AH121+AH126+AH131+AH136</f>
        <v>0</v>
      </c>
      <c r="AI176" s="175"/>
      <c r="AJ176" s="175">
        <f t="shared" ref="AJ176:BA176" si="144">AJ6+AJ11+AJ16+AJ21+AJ26+AJ31+AJ36+AJ41+AJ46+AJ51+AJ56+AJ61+AJ66+AJ71+AJ76+AJ81+AJ86+AJ91+AJ96+AJ101+AJ106+AJ111+AJ116+AJ121+AJ126+AJ131+AJ136</f>
        <v>0</v>
      </c>
      <c r="AK176" s="175">
        <f t="shared" si="144"/>
        <v>0</v>
      </c>
      <c r="AL176" s="175">
        <f t="shared" si="144"/>
        <v>0</v>
      </c>
      <c r="AM176" s="175">
        <f t="shared" si="144"/>
        <v>0</v>
      </c>
      <c r="AN176" s="175">
        <f t="shared" si="144"/>
        <v>0</v>
      </c>
      <c r="AO176" s="175">
        <f t="shared" si="144"/>
        <v>0</v>
      </c>
      <c r="AP176" s="175">
        <f t="shared" si="144"/>
        <v>0</v>
      </c>
      <c r="AQ176" s="175">
        <f t="shared" si="144"/>
        <v>0</v>
      </c>
      <c r="AR176" s="175">
        <f t="shared" si="144"/>
        <v>0</v>
      </c>
      <c r="AS176" s="175">
        <f t="shared" si="144"/>
        <v>0</v>
      </c>
      <c r="AT176" s="175">
        <f t="shared" si="144"/>
        <v>0</v>
      </c>
      <c r="AU176" s="175">
        <f t="shared" si="144"/>
        <v>0</v>
      </c>
      <c r="AV176" s="175">
        <f t="shared" si="144"/>
        <v>0</v>
      </c>
      <c r="AW176" s="175">
        <f t="shared" si="144"/>
        <v>0</v>
      </c>
      <c r="AX176" s="175">
        <f t="shared" si="144"/>
        <v>0</v>
      </c>
      <c r="AY176" s="175">
        <f t="shared" si="144"/>
        <v>0</v>
      </c>
      <c r="AZ176" s="217">
        <f t="shared" si="144"/>
        <v>0</v>
      </c>
      <c r="BA176" s="175">
        <f t="shared" si="144"/>
        <v>0</v>
      </c>
      <c r="BB176" s="175">
        <f>BB76+BB81+BB86+BB91+BB96+BB101+BB106+BB111+BB116+BB121+BB126+BB131+BB136</f>
        <v>0</v>
      </c>
      <c r="BC176" s="175">
        <f t="shared" ref="BC176:BK176" si="145">BC6+BC11+BC16+BC21+BC26+BC31+BC36+BC41+BC46+BC51+BC56+BC61+BC66+BC71+BC76+BC81+BC86+BC91+BC96+BC101+BC106+BC111+BC116+BC121+BC126+BC131+BC136</f>
        <v>0</v>
      </c>
      <c r="BD176" s="175">
        <f t="shared" si="145"/>
        <v>0</v>
      </c>
      <c r="BE176" s="175">
        <f t="shared" si="145"/>
        <v>0</v>
      </c>
      <c r="BF176" s="175">
        <f t="shared" si="145"/>
        <v>0</v>
      </c>
      <c r="BG176" s="175">
        <f t="shared" si="145"/>
        <v>0</v>
      </c>
      <c r="BH176" s="175">
        <f t="shared" si="145"/>
        <v>0</v>
      </c>
      <c r="BI176" s="175">
        <f t="shared" si="145"/>
        <v>0</v>
      </c>
      <c r="BJ176" s="175">
        <f t="shared" si="145"/>
        <v>0</v>
      </c>
      <c r="BK176" s="175">
        <f t="shared" si="145"/>
        <v>0</v>
      </c>
      <c r="BL176" s="205">
        <f>BL121+BL126+BL131+BL136</f>
        <v>0</v>
      </c>
    </row>
    <row r="177" spans="1:64" hidden="1" x14ac:dyDescent="0.2">
      <c r="A177" s="330"/>
      <c r="B177" s="331"/>
      <c r="BL177" s="206"/>
    </row>
    <row r="178" spans="1:64" hidden="1" x14ac:dyDescent="0.2">
      <c r="A178" s="332"/>
      <c r="B178" s="333"/>
      <c r="C178" s="176" t="s">
        <v>159</v>
      </c>
      <c r="D178" s="177">
        <f>SUM(E178:BL178)</f>
        <v>253992.00825239113</v>
      </c>
      <c r="E178" s="177">
        <f t="shared" ref="E178:K178" si="146">E9+E14+E19+E24+E29+E34+E39+E44+E49+E54+E59+E64+E69+E74+E79+E84+E89+E94+E99+E104+E109+E114+E119+E124+E129+E134+E139</f>
        <v>124931.23522004079</v>
      </c>
      <c r="F178" s="177">
        <f t="shared" si="146"/>
        <v>129060.77303235032</v>
      </c>
      <c r="G178" s="177">
        <f t="shared" si="146"/>
        <v>0</v>
      </c>
      <c r="H178" s="177">
        <f t="shared" si="146"/>
        <v>0</v>
      </c>
      <c r="I178" s="177">
        <f t="shared" si="146"/>
        <v>0</v>
      </c>
      <c r="J178" s="177">
        <f t="shared" si="146"/>
        <v>0</v>
      </c>
      <c r="K178" s="177">
        <f t="shared" si="146"/>
        <v>0</v>
      </c>
      <c r="L178" s="177"/>
      <c r="M178" s="177">
        <f t="shared" ref="M178:AB178" si="147">M9+M14+M19+M24+M29+M34+M39+M44+M49+M54+M59+M64+M69+M74+M79+M84+M89+M94+M99+M104+M109+M114+M119+M124+M129+M134+M139</f>
        <v>0</v>
      </c>
      <c r="N178" s="177">
        <f t="shared" si="147"/>
        <v>0</v>
      </c>
      <c r="O178" s="177">
        <f t="shared" si="147"/>
        <v>0</v>
      </c>
      <c r="P178" s="177">
        <f t="shared" si="147"/>
        <v>0</v>
      </c>
      <c r="Q178" s="177">
        <f t="shared" si="147"/>
        <v>0</v>
      </c>
      <c r="R178" s="177">
        <f t="shared" si="147"/>
        <v>0</v>
      </c>
      <c r="S178" s="177">
        <f t="shared" si="147"/>
        <v>0</v>
      </c>
      <c r="T178" s="177">
        <f t="shared" si="147"/>
        <v>0</v>
      </c>
      <c r="U178" s="177">
        <f t="shared" si="147"/>
        <v>0</v>
      </c>
      <c r="V178" s="177">
        <f t="shared" si="147"/>
        <v>0</v>
      </c>
      <c r="W178" s="177">
        <f t="shared" si="147"/>
        <v>0</v>
      </c>
      <c r="X178" s="177">
        <f t="shared" si="147"/>
        <v>0</v>
      </c>
      <c r="Y178" s="177">
        <f t="shared" si="147"/>
        <v>0</v>
      </c>
      <c r="Z178" s="177">
        <f t="shared" si="147"/>
        <v>0</v>
      </c>
      <c r="AA178" s="177">
        <f t="shared" si="147"/>
        <v>0</v>
      </c>
      <c r="AB178" s="177">
        <f t="shared" si="147"/>
        <v>0</v>
      </c>
      <c r="AC178" s="177">
        <f>AC109+AC114+AC119+AC124+AC129+AC134+AC139</f>
        <v>0</v>
      </c>
      <c r="AD178" s="177">
        <f>AD9+AD14+AD19+AD24+AD29+AD34+AD39+AD44+AD49+AD54+AD59+AD64+AD69+AD74+AD79+AD84+AD89+AD94+AD99+AD104+AD109+AD114+AD119+AD124+AD129+AD134+AD139</f>
        <v>0</v>
      </c>
      <c r="AE178" s="177">
        <f>AE9+AE14+AE19+AE24+AE29+AE34+AE39+AE44+AE49+AE54+AE59+AE64+AE69+AE74+AE79+AE84+AE89+AE94+AE99+AE104+AE109+AE114+AE119+AE124+AE129+AE134+AE139</f>
        <v>0</v>
      </c>
      <c r="AF178" s="177">
        <f>AF9+AF14+AF19+AF24+AF29+AF34+AF39+AF44+AF49+AF54+AF59+AF64+AF69+AF74+AF79+AF84+AF89+AF94+AF99+AF104+AF109+AF114+AF119+AF124+AF129+AF134+AF139</f>
        <v>0</v>
      </c>
      <c r="AG178" s="177">
        <f>AG9+AG14+AG19+AG24+AG29+AG34+AG39+AG44+AG49+AG54+AG59+AG64+AG69+AG74+AG79+AG84+AG89+AG94+AG99+AG104+AG109+AG114+AG119+AG124+AG129+AG134+AG139</f>
        <v>0</v>
      </c>
      <c r="AH178" s="177">
        <f>AH9+AH14+AH19+AH24+AH29+AH34+AH39+AH44+AH49+AH54+AH59+AH64+AH69+AH74+AH79+AH84+AH89+AH94+AH99+AH104+AH109+AH114+AH119+AH124+AH129+AH134+AH139</f>
        <v>0</v>
      </c>
      <c r="AI178" s="177"/>
      <c r="AJ178" s="177">
        <f t="shared" ref="AJ178:BA178" si="148">AJ9+AJ14+AJ19+AJ24+AJ29+AJ34+AJ39+AJ44+AJ49+AJ54+AJ59+AJ64+AJ69+AJ74+AJ79+AJ84+AJ89+AJ94+AJ99+AJ104+AJ109+AJ114+AJ119+AJ124+AJ129+AJ134+AJ139</f>
        <v>0</v>
      </c>
      <c r="AK178" s="177">
        <f t="shared" si="148"/>
        <v>0</v>
      </c>
      <c r="AL178" s="177">
        <f t="shared" si="148"/>
        <v>0</v>
      </c>
      <c r="AM178" s="177">
        <f t="shared" si="148"/>
        <v>0</v>
      </c>
      <c r="AN178" s="177">
        <f t="shared" si="148"/>
        <v>0</v>
      </c>
      <c r="AO178" s="177">
        <f t="shared" si="148"/>
        <v>0</v>
      </c>
      <c r="AP178" s="177">
        <f t="shared" si="148"/>
        <v>0</v>
      </c>
      <c r="AQ178" s="177">
        <f t="shared" si="148"/>
        <v>0</v>
      </c>
      <c r="AR178" s="177">
        <f t="shared" si="148"/>
        <v>0</v>
      </c>
      <c r="AS178" s="177">
        <f t="shared" si="148"/>
        <v>0</v>
      </c>
      <c r="AT178" s="177">
        <f t="shared" si="148"/>
        <v>0</v>
      </c>
      <c r="AU178" s="177">
        <f t="shared" si="148"/>
        <v>0</v>
      </c>
      <c r="AV178" s="177">
        <f t="shared" si="148"/>
        <v>0</v>
      </c>
      <c r="AW178" s="177">
        <f t="shared" si="148"/>
        <v>0</v>
      </c>
      <c r="AX178" s="177">
        <f t="shared" si="148"/>
        <v>0</v>
      </c>
      <c r="AY178" s="177">
        <f t="shared" si="148"/>
        <v>0</v>
      </c>
      <c r="AZ178" s="218">
        <f t="shared" si="148"/>
        <v>0</v>
      </c>
      <c r="BA178" s="177">
        <f t="shared" si="148"/>
        <v>0</v>
      </c>
      <c r="BB178" s="177">
        <f>BB79+BB84+BB89+BB94+BB99+BB104+BB109+BB114+BB119+BB124+BB129+BB134+BB139</f>
        <v>0</v>
      </c>
      <c r="BC178" s="177">
        <f t="shared" ref="BC178:BK178" si="149">BC9+BC14+BC19+BC24+BC29+BC34+BC39+BC44+BC49+BC54+BC59+BC64+BC69+BC74+BC79+BC84+BC89+BC94+BC99+BC104+BC109+BC114+BC119+BC124+BC129+BC134+BC139</f>
        <v>0</v>
      </c>
      <c r="BD178" s="177">
        <f t="shared" si="149"/>
        <v>0</v>
      </c>
      <c r="BE178" s="177">
        <f t="shared" si="149"/>
        <v>0</v>
      </c>
      <c r="BF178" s="177">
        <f t="shared" si="149"/>
        <v>0</v>
      </c>
      <c r="BG178" s="177">
        <f t="shared" si="149"/>
        <v>0</v>
      </c>
      <c r="BH178" s="177">
        <f t="shared" si="149"/>
        <v>0</v>
      </c>
      <c r="BI178" s="177">
        <f t="shared" si="149"/>
        <v>0</v>
      </c>
      <c r="BJ178" s="177">
        <f t="shared" si="149"/>
        <v>0</v>
      </c>
      <c r="BK178" s="177">
        <f t="shared" si="149"/>
        <v>0</v>
      </c>
      <c r="BL178" s="207">
        <f>BL124+BL129+BL134+BL139</f>
        <v>0</v>
      </c>
    </row>
    <row r="179" spans="1:64" hidden="1" x14ac:dyDescent="0.2"/>
    <row r="180" spans="1:64" hidden="1" x14ac:dyDescent="0.2">
      <c r="A180" s="328" t="s">
        <v>160</v>
      </c>
      <c r="B180" s="329"/>
      <c r="C180" s="178" t="s">
        <v>159</v>
      </c>
      <c r="D180" s="179">
        <v>17933341.465840522</v>
      </c>
      <c r="E180" s="179">
        <v>292193.22143426293</v>
      </c>
      <c r="F180" s="179">
        <v>290245.26662470121</v>
      </c>
      <c r="G180" s="179">
        <v>271155.30949099606</v>
      </c>
      <c r="H180" s="179">
        <v>287323.33441035857</v>
      </c>
      <c r="I180" s="179">
        <v>253234.12524302787</v>
      </c>
      <c r="J180" s="179">
        <v>253234.12524302787</v>
      </c>
      <c r="K180" s="179">
        <v>292193.22143426293</v>
      </c>
      <c r="L180" s="179"/>
      <c r="M180" s="179">
        <v>253234.12524302787</v>
      </c>
      <c r="N180" s="180">
        <v>341866.06907808763</v>
      </c>
      <c r="O180" s="179">
        <v>316036.18830329878</v>
      </c>
      <c r="P180" s="179">
        <v>329204.36281593621</v>
      </c>
      <c r="Q180" s="179">
        <v>289778.75067729084</v>
      </c>
      <c r="R180" s="179">
        <v>289778.75067729084</v>
      </c>
      <c r="S180" s="179">
        <v>262973.89929083671</v>
      </c>
      <c r="T180" s="179">
        <v>262973.89929083671</v>
      </c>
      <c r="U180" s="179">
        <v>316543.04614474683</v>
      </c>
      <c r="V180" s="179">
        <v>272713.67333864537</v>
      </c>
      <c r="W180" s="179">
        <v>300959.01807729085</v>
      </c>
      <c r="X180" s="179">
        <v>287323.33441035851</v>
      </c>
      <c r="Y180" s="179">
        <v>193481.25135458168</v>
      </c>
      <c r="Z180" s="180">
        <v>272713.67333864537</v>
      </c>
      <c r="AA180" s="179">
        <v>299011.16066546954</v>
      </c>
      <c r="AB180" s="202">
        <v>312646.74693466141</v>
      </c>
      <c r="AC180" s="179">
        <v>306233.07642645418</v>
      </c>
      <c r="AD180" s="179">
        <v>272713.67333864537</v>
      </c>
      <c r="AE180" s="179">
        <v>300140.7796595344</v>
      </c>
      <c r="AF180" s="202">
        <v>312646.74693466141</v>
      </c>
      <c r="AG180" s="179">
        <v>316036.18830329878</v>
      </c>
      <c r="AH180" s="179">
        <v>243494.38041454123</v>
      </c>
      <c r="AI180" s="179"/>
      <c r="AJ180" s="179">
        <v>312646.74693466141</v>
      </c>
      <c r="AK180" s="179">
        <v>282453.44738645421</v>
      </c>
      <c r="AL180" s="179">
        <v>304854.92769641435</v>
      </c>
      <c r="AM180" s="179">
        <v>288920.65735419921</v>
      </c>
      <c r="AN180" s="179">
        <v>300140.87705727486</v>
      </c>
      <c r="AO180" s="179">
        <v>316036.18830329878</v>
      </c>
      <c r="AP180" s="179">
        <v>329204.36281593621</v>
      </c>
      <c r="AQ180" s="179">
        <v>292193.22143426293</v>
      </c>
      <c r="AR180" s="179">
        <v>232034.50383124521</v>
      </c>
      <c r="AS180" s="179">
        <v>296283.92653434264</v>
      </c>
      <c r="AT180" s="179">
        <v>272713.67333864543</v>
      </c>
      <c r="AU180" s="179">
        <v>300959.01807729085</v>
      </c>
      <c r="AV180" s="179">
        <v>288920.65735419921</v>
      </c>
      <c r="AW180" s="179">
        <v>359787.25332605577</v>
      </c>
      <c r="AX180" s="179">
        <v>359787.25332605577</v>
      </c>
      <c r="AY180" s="179">
        <v>270765.71852908365</v>
      </c>
      <c r="AZ180" s="219">
        <v>306802.88250597613</v>
      </c>
      <c r="BA180" s="179">
        <v>359787.25332605577</v>
      </c>
      <c r="BB180" s="179">
        <v>281913.80368996016</v>
      </c>
      <c r="BC180" s="179">
        <v>331054.91988501989</v>
      </c>
      <c r="BD180" s="179">
        <v>359787.25332605577</v>
      </c>
      <c r="BE180" s="179">
        <v>272713.67333864537</v>
      </c>
      <c r="BF180" s="179">
        <v>272713.67333864537</v>
      </c>
      <c r="BG180" s="179">
        <v>331054.91988501989</v>
      </c>
      <c r="BH180" s="179">
        <v>330992.25417879631</v>
      </c>
      <c r="BI180" s="179">
        <v>359826.21242224704</v>
      </c>
      <c r="BJ180" s="179">
        <v>359787.25332605577</v>
      </c>
      <c r="BK180" s="179">
        <v>272713.67333864537</v>
      </c>
      <c r="BL180" s="208">
        <v>336022.20464940241</v>
      </c>
    </row>
    <row r="181" spans="1:64" hidden="1" x14ac:dyDescent="0.2">
      <c r="A181" s="330"/>
      <c r="B181" s="331"/>
      <c r="D181" s="181"/>
      <c r="E181" s="181"/>
      <c r="F181" s="181"/>
      <c r="G181" s="181"/>
      <c r="H181" s="181"/>
      <c r="I181" s="181"/>
      <c r="J181" s="181"/>
      <c r="K181" s="181"/>
      <c r="L181" s="181"/>
      <c r="M181" s="181"/>
      <c r="N181" s="182"/>
      <c r="O181" s="181"/>
      <c r="P181" s="181"/>
      <c r="Q181" s="181"/>
      <c r="R181" s="181"/>
      <c r="S181" s="181"/>
      <c r="T181" s="181"/>
      <c r="U181" s="181"/>
      <c r="V181" s="181"/>
      <c r="W181" s="181"/>
      <c r="X181" s="181"/>
      <c r="Y181" s="181"/>
      <c r="Z181" s="182"/>
      <c r="AA181" s="181"/>
      <c r="AB181" s="203"/>
      <c r="AC181" s="181"/>
      <c r="AD181" s="181"/>
      <c r="AE181" s="181"/>
      <c r="AF181" s="203"/>
      <c r="AG181" s="181"/>
      <c r="AH181" s="181"/>
      <c r="AI181" s="181"/>
      <c r="AJ181" s="181"/>
      <c r="AK181" s="181"/>
      <c r="AL181" s="181"/>
      <c r="AM181" s="181"/>
      <c r="AN181" s="181"/>
      <c r="AO181" s="181"/>
      <c r="AP181" s="181"/>
      <c r="AQ181" s="181"/>
      <c r="AR181" s="181"/>
      <c r="AS181" s="181"/>
      <c r="AT181" s="181"/>
      <c r="AU181" s="181"/>
      <c r="AV181" s="181"/>
      <c r="AW181" s="181"/>
      <c r="AX181" s="181"/>
      <c r="AY181" s="181"/>
      <c r="AZ181" s="220"/>
      <c r="BA181" s="181"/>
      <c r="BB181" s="181"/>
      <c r="BC181" s="181"/>
      <c r="BD181" s="181"/>
      <c r="BE181" s="181"/>
      <c r="BF181" s="181"/>
      <c r="BG181" s="181"/>
      <c r="BH181" s="181"/>
      <c r="BI181" s="181"/>
      <c r="BJ181" s="181"/>
      <c r="BK181" s="181"/>
      <c r="BL181" s="209"/>
    </row>
    <row r="182" spans="1:64" hidden="1" x14ac:dyDescent="0.2">
      <c r="A182" s="332"/>
      <c r="B182" s="333"/>
      <c r="C182" s="183" t="s">
        <v>158</v>
      </c>
      <c r="D182" s="184">
        <v>483219.04954748484</v>
      </c>
      <c r="E182" s="184">
        <v>0</v>
      </c>
      <c r="F182" s="184">
        <v>12557.686152245151</v>
      </c>
      <c r="G182" s="184">
        <v>5375.4418293341641</v>
      </c>
      <c r="H182" s="184">
        <v>11460.429708067606</v>
      </c>
      <c r="I182" s="184">
        <v>0</v>
      </c>
      <c r="J182" s="184">
        <v>0</v>
      </c>
      <c r="K182" s="184">
        <v>1596.5826733062154</v>
      </c>
      <c r="L182" s="184"/>
      <c r="M182" s="184">
        <v>0</v>
      </c>
      <c r="N182" s="185">
        <v>18028.617356737559</v>
      </c>
      <c r="O182" s="184">
        <v>17245.19801052293</v>
      </c>
      <c r="P182" s="184">
        <v>1274.7331823907411</v>
      </c>
      <c r="Q182" s="184">
        <v>0</v>
      </c>
      <c r="R182" s="184">
        <v>0</v>
      </c>
      <c r="S182" s="184">
        <v>0</v>
      </c>
      <c r="T182" s="184">
        <v>0</v>
      </c>
      <c r="U182" s="184">
        <v>10590.147726089554</v>
      </c>
      <c r="V182" s="184">
        <v>0</v>
      </c>
      <c r="W182" s="184">
        <v>15735.665713702321</v>
      </c>
      <c r="X182" s="184">
        <v>10243.817178816167</v>
      </c>
      <c r="Y182" s="184">
        <v>11419.256425526788</v>
      </c>
      <c r="Z182" s="185">
        <v>0</v>
      </c>
      <c r="AA182" s="184">
        <v>14518.617087688512</v>
      </c>
      <c r="AB182" s="204">
        <v>16923.435591642366</v>
      </c>
      <c r="AC182" s="184">
        <v>754.05467084882696</v>
      </c>
      <c r="AD182" s="184">
        <v>0</v>
      </c>
      <c r="AE182" s="184">
        <v>4902.6321393186145</v>
      </c>
      <c r="AF182" s="204">
        <v>16240.797038541885</v>
      </c>
      <c r="AG182" s="184">
        <v>15589.650428214782</v>
      </c>
      <c r="AH182" s="184">
        <v>12534.974793250391</v>
      </c>
      <c r="AI182" s="184"/>
      <c r="AJ182" s="184">
        <v>16155.523666989047</v>
      </c>
      <c r="AK182" s="184">
        <v>216.34617047808803</v>
      </c>
      <c r="AL182" s="184">
        <v>87.090118218326509</v>
      </c>
      <c r="AM182" s="184">
        <v>10650.413535234935</v>
      </c>
      <c r="AN182" s="184">
        <v>15542.111983436685</v>
      </c>
      <c r="AO182" s="184">
        <v>16673.252483970748</v>
      </c>
      <c r="AP182" s="184">
        <v>15942.721530263747</v>
      </c>
      <c r="AQ182" s="184">
        <v>3118.6968123952938</v>
      </c>
      <c r="AR182" s="184">
        <v>0</v>
      </c>
      <c r="AS182" s="184">
        <v>4040.1317370523566</v>
      </c>
      <c r="AT182" s="184">
        <v>0</v>
      </c>
      <c r="AU182" s="184">
        <v>14915.799203585721</v>
      </c>
      <c r="AV182" s="184">
        <v>10151.968873038837</v>
      </c>
      <c r="AW182" s="184">
        <v>0</v>
      </c>
      <c r="AX182" s="184">
        <v>20320.950497180886</v>
      </c>
      <c r="AY182" s="184">
        <v>2556.613409306322</v>
      </c>
      <c r="AZ182" s="221">
        <v>17461.008286173299</v>
      </c>
      <c r="BA182" s="184">
        <v>17996.971811875395</v>
      </c>
      <c r="BB182" s="184">
        <v>6037.0029365965293</v>
      </c>
      <c r="BC182" s="184">
        <v>15617.964642708022</v>
      </c>
      <c r="BD182" s="184">
        <v>17010.051626852688</v>
      </c>
      <c r="BE182" s="184">
        <v>0</v>
      </c>
      <c r="BF182" s="184">
        <v>0</v>
      </c>
      <c r="BG182" s="184">
        <v>16726.119805593105</v>
      </c>
      <c r="BH182" s="184">
        <v>3810.8029958206903</v>
      </c>
      <c r="BI182" s="184">
        <v>18097.867952595476</v>
      </c>
      <c r="BJ182" s="184">
        <v>18216.219254366486</v>
      </c>
      <c r="BK182" s="184">
        <v>0</v>
      </c>
      <c r="BL182" s="210">
        <v>1808.2271608551944</v>
      </c>
    </row>
    <row r="183" spans="1:64" hidden="1" x14ac:dyDescent="0.2"/>
    <row r="184" spans="1:64" hidden="1" x14ac:dyDescent="0.2"/>
    <row r="185" spans="1:64" s="172" customFormat="1" hidden="1" x14ac:dyDescent="0.2">
      <c r="A185" s="328" t="s">
        <v>164</v>
      </c>
      <c r="B185" s="329"/>
      <c r="C185" s="186" t="s">
        <v>159</v>
      </c>
      <c r="D185" s="187" t="e">
        <f>SUM(E185:BL185)</f>
        <v>#REF!</v>
      </c>
      <c r="E185" s="187" t="e">
        <f>E180-E176</f>
        <v>#REF!</v>
      </c>
      <c r="F185" s="187">
        <f t="shared" ref="F185:BL185" si="150">F180-F176</f>
        <v>-1059754.7333752988</v>
      </c>
      <c r="G185" s="187">
        <f t="shared" si="150"/>
        <v>271155.30949099606</v>
      </c>
      <c r="H185" s="187">
        <f t="shared" si="150"/>
        <v>287323.33441035857</v>
      </c>
      <c r="I185" s="187">
        <f t="shared" si="150"/>
        <v>253234.12524302787</v>
      </c>
      <c r="J185" s="187">
        <f t="shared" si="150"/>
        <v>253234.12524302787</v>
      </c>
      <c r="K185" s="187">
        <f t="shared" si="150"/>
        <v>292193.22143426293</v>
      </c>
      <c r="L185" s="187"/>
      <c r="M185" s="187">
        <f t="shared" si="150"/>
        <v>253234.12524302787</v>
      </c>
      <c r="N185" s="187">
        <f t="shared" si="150"/>
        <v>341866.06907808763</v>
      </c>
      <c r="O185" s="187">
        <f t="shared" si="150"/>
        <v>316036.18830329878</v>
      </c>
      <c r="P185" s="187">
        <f t="shared" si="150"/>
        <v>329204.36281593621</v>
      </c>
      <c r="Q185" s="187">
        <f t="shared" si="150"/>
        <v>289778.75067729084</v>
      </c>
      <c r="R185" s="187">
        <f t="shared" si="150"/>
        <v>289778.75067729084</v>
      </c>
      <c r="S185" s="187">
        <f t="shared" si="150"/>
        <v>262973.89929083671</v>
      </c>
      <c r="T185" s="187">
        <f t="shared" si="150"/>
        <v>262973.89929083671</v>
      </c>
      <c r="U185" s="187">
        <f t="shared" si="150"/>
        <v>316543.04614474683</v>
      </c>
      <c r="V185" s="187">
        <f t="shared" si="150"/>
        <v>272713.67333864537</v>
      </c>
      <c r="W185" s="187">
        <f t="shared" si="150"/>
        <v>300959.01807729085</v>
      </c>
      <c r="X185" s="187">
        <f t="shared" si="150"/>
        <v>287323.33441035851</v>
      </c>
      <c r="Y185" s="187">
        <f t="shared" si="150"/>
        <v>193481.25135458168</v>
      </c>
      <c r="Z185" s="187">
        <f t="shared" si="150"/>
        <v>272713.67333864537</v>
      </c>
      <c r="AA185" s="187">
        <f t="shared" si="150"/>
        <v>299011.16066546954</v>
      </c>
      <c r="AB185" s="175">
        <f t="shared" si="150"/>
        <v>312646.74693466141</v>
      </c>
      <c r="AC185" s="187">
        <f t="shared" si="150"/>
        <v>306233.07642645418</v>
      </c>
      <c r="AD185" s="187">
        <f t="shared" si="150"/>
        <v>272713.67333864537</v>
      </c>
      <c r="AE185" s="187">
        <f t="shared" si="150"/>
        <v>300140.7796595344</v>
      </c>
      <c r="AF185" s="175">
        <f t="shared" si="150"/>
        <v>312646.74693466141</v>
      </c>
      <c r="AG185" s="187">
        <f t="shared" si="150"/>
        <v>316036.18830329878</v>
      </c>
      <c r="AH185" s="187">
        <f t="shared" si="150"/>
        <v>243494.38041454123</v>
      </c>
      <c r="AI185" s="187"/>
      <c r="AJ185" s="187">
        <f t="shared" si="150"/>
        <v>312646.74693466141</v>
      </c>
      <c r="AK185" s="187">
        <f t="shared" si="150"/>
        <v>282453.44738645421</v>
      </c>
      <c r="AL185" s="187">
        <f t="shared" si="150"/>
        <v>304854.92769641435</v>
      </c>
      <c r="AM185" s="187">
        <f t="shared" si="150"/>
        <v>288920.65735419921</v>
      </c>
      <c r="AN185" s="187">
        <f t="shared" si="150"/>
        <v>300140.87705727486</v>
      </c>
      <c r="AO185" s="187">
        <f t="shared" si="150"/>
        <v>316036.18830329878</v>
      </c>
      <c r="AP185" s="187">
        <f t="shared" si="150"/>
        <v>329204.36281593621</v>
      </c>
      <c r="AQ185" s="187">
        <f t="shared" si="150"/>
        <v>292193.22143426293</v>
      </c>
      <c r="AR185" s="187">
        <f t="shared" si="150"/>
        <v>232034.50383124521</v>
      </c>
      <c r="AS185" s="187">
        <f t="shared" si="150"/>
        <v>296283.92653434264</v>
      </c>
      <c r="AT185" s="187">
        <f t="shared" si="150"/>
        <v>272713.67333864543</v>
      </c>
      <c r="AU185" s="187">
        <f t="shared" si="150"/>
        <v>300959.01807729085</v>
      </c>
      <c r="AV185" s="187">
        <f t="shared" si="150"/>
        <v>288920.65735419921</v>
      </c>
      <c r="AW185" s="187">
        <f t="shared" si="150"/>
        <v>359787.25332605577</v>
      </c>
      <c r="AX185" s="187">
        <f t="shared" si="150"/>
        <v>359787.25332605577</v>
      </c>
      <c r="AY185" s="187">
        <f t="shared" si="150"/>
        <v>270765.71852908365</v>
      </c>
      <c r="AZ185" s="222">
        <f t="shared" si="150"/>
        <v>306802.88250597613</v>
      </c>
      <c r="BA185" s="187">
        <f t="shared" si="150"/>
        <v>359787.25332605577</v>
      </c>
      <c r="BB185" s="187">
        <f t="shared" si="150"/>
        <v>281913.80368996016</v>
      </c>
      <c r="BC185" s="187">
        <f t="shared" si="150"/>
        <v>331054.91988501989</v>
      </c>
      <c r="BD185" s="187">
        <f t="shared" si="150"/>
        <v>359787.25332605577</v>
      </c>
      <c r="BE185" s="187">
        <f t="shared" si="150"/>
        <v>272713.67333864537</v>
      </c>
      <c r="BF185" s="187">
        <f t="shared" si="150"/>
        <v>272713.67333864537</v>
      </c>
      <c r="BG185" s="187">
        <f t="shared" si="150"/>
        <v>331054.91988501989</v>
      </c>
      <c r="BH185" s="187">
        <f t="shared" si="150"/>
        <v>330992.25417879631</v>
      </c>
      <c r="BI185" s="187">
        <f t="shared" si="150"/>
        <v>359826.21242224704</v>
      </c>
      <c r="BJ185" s="187">
        <f t="shared" si="150"/>
        <v>359787.25332605577</v>
      </c>
      <c r="BK185" s="187">
        <f t="shared" si="150"/>
        <v>272713.67333864537</v>
      </c>
      <c r="BL185" s="205">
        <f t="shared" si="150"/>
        <v>336022.20464940241</v>
      </c>
    </row>
    <row r="186" spans="1:64" hidden="1" x14ac:dyDescent="0.2">
      <c r="A186" s="330"/>
      <c r="B186" s="331"/>
      <c r="BL186" s="206"/>
    </row>
    <row r="187" spans="1:64" s="172" customFormat="1" hidden="1" x14ac:dyDescent="0.2">
      <c r="A187" s="332"/>
      <c r="B187" s="333"/>
      <c r="C187" s="188" t="s">
        <v>158</v>
      </c>
      <c r="D187" s="189">
        <f>SUM(E187:BL187)</f>
        <v>206153.58594844129</v>
      </c>
      <c r="E187" s="189">
        <f>E182-E178</f>
        <v>-124931.23522004079</v>
      </c>
      <c r="F187" s="189">
        <f t="shared" ref="F187:BL187" si="151">F182-F178</f>
        <v>-116503.08688010517</v>
      </c>
      <c r="G187" s="189">
        <f t="shared" si="151"/>
        <v>5375.4418293341641</v>
      </c>
      <c r="H187" s="189">
        <f t="shared" si="151"/>
        <v>11460.429708067606</v>
      </c>
      <c r="I187" s="189">
        <f t="shared" si="151"/>
        <v>0</v>
      </c>
      <c r="J187" s="189">
        <f t="shared" si="151"/>
        <v>0</v>
      </c>
      <c r="K187" s="189">
        <f t="shared" si="151"/>
        <v>1596.5826733062154</v>
      </c>
      <c r="L187" s="189"/>
      <c r="M187" s="189">
        <f t="shared" si="151"/>
        <v>0</v>
      </c>
      <c r="N187" s="189">
        <f t="shared" si="151"/>
        <v>18028.617356737559</v>
      </c>
      <c r="O187" s="189">
        <f t="shared" si="151"/>
        <v>17245.19801052293</v>
      </c>
      <c r="P187" s="189">
        <f t="shared" si="151"/>
        <v>1274.7331823907411</v>
      </c>
      <c r="Q187" s="189">
        <f t="shared" si="151"/>
        <v>0</v>
      </c>
      <c r="R187" s="189">
        <f t="shared" si="151"/>
        <v>0</v>
      </c>
      <c r="S187" s="189">
        <f t="shared" si="151"/>
        <v>0</v>
      </c>
      <c r="T187" s="189">
        <f t="shared" si="151"/>
        <v>0</v>
      </c>
      <c r="U187" s="189">
        <f t="shared" si="151"/>
        <v>10590.147726089554</v>
      </c>
      <c r="V187" s="189">
        <f t="shared" si="151"/>
        <v>0</v>
      </c>
      <c r="W187" s="189">
        <f t="shared" si="151"/>
        <v>15735.665713702321</v>
      </c>
      <c r="X187" s="189">
        <f t="shared" si="151"/>
        <v>10243.817178816167</v>
      </c>
      <c r="Y187" s="189">
        <f t="shared" si="151"/>
        <v>11419.256425526788</v>
      </c>
      <c r="Z187" s="189">
        <f t="shared" si="151"/>
        <v>0</v>
      </c>
      <c r="AA187" s="189">
        <f t="shared" si="151"/>
        <v>14518.617087688512</v>
      </c>
      <c r="AB187" s="177">
        <f t="shared" si="151"/>
        <v>16923.435591642366</v>
      </c>
      <c r="AC187" s="189">
        <f t="shared" si="151"/>
        <v>754.05467084882696</v>
      </c>
      <c r="AD187" s="189">
        <f t="shared" si="151"/>
        <v>0</v>
      </c>
      <c r="AE187" s="189">
        <f t="shared" si="151"/>
        <v>4902.6321393186145</v>
      </c>
      <c r="AF187" s="177">
        <f t="shared" si="151"/>
        <v>16240.797038541885</v>
      </c>
      <c r="AG187" s="189">
        <f t="shared" si="151"/>
        <v>15589.650428214782</v>
      </c>
      <c r="AH187" s="189">
        <f t="shared" si="151"/>
        <v>12534.974793250391</v>
      </c>
      <c r="AI187" s="189"/>
      <c r="AJ187" s="189">
        <f t="shared" si="151"/>
        <v>16155.523666989047</v>
      </c>
      <c r="AK187" s="189">
        <f t="shared" si="151"/>
        <v>216.34617047808803</v>
      </c>
      <c r="AL187" s="189">
        <f t="shared" si="151"/>
        <v>87.090118218326509</v>
      </c>
      <c r="AM187" s="189">
        <f t="shared" si="151"/>
        <v>10650.413535234935</v>
      </c>
      <c r="AN187" s="189">
        <f t="shared" si="151"/>
        <v>15542.111983436685</v>
      </c>
      <c r="AO187" s="189">
        <f t="shared" si="151"/>
        <v>16673.252483970748</v>
      </c>
      <c r="AP187" s="189">
        <f t="shared" si="151"/>
        <v>15942.721530263747</v>
      </c>
      <c r="AQ187" s="189">
        <f t="shared" si="151"/>
        <v>3118.6968123952938</v>
      </c>
      <c r="AR187" s="189">
        <f t="shared" si="151"/>
        <v>0</v>
      </c>
      <c r="AS187" s="189">
        <f t="shared" si="151"/>
        <v>4040.1317370523566</v>
      </c>
      <c r="AT187" s="189">
        <f t="shared" si="151"/>
        <v>0</v>
      </c>
      <c r="AU187" s="189">
        <f t="shared" si="151"/>
        <v>14915.799203585721</v>
      </c>
      <c r="AV187" s="189">
        <f t="shared" si="151"/>
        <v>10151.968873038837</v>
      </c>
      <c r="AW187" s="189">
        <f t="shared" si="151"/>
        <v>0</v>
      </c>
      <c r="AX187" s="189">
        <f t="shared" si="151"/>
        <v>20320.950497180886</v>
      </c>
      <c r="AY187" s="189">
        <f t="shared" si="151"/>
        <v>2556.613409306322</v>
      </c>
      <c r="AZ187" s="223">
        <f t="shared" si="151"/>
        <v>17461.008286173299</v>
      </c>
      <c r="BA187" s="189">
        <f t="shared" si="151"/>
        <v>17996.971811875395</v>
      </c>
      <c r="BB187" s="189">
        <f t="shared" si="151"/>
        <v>6037.0029365965293</v>
      </c>
      <c r="BC187" s="189">
        <f t="shared" si="151"/>
        <v>15617.964642708022</v>
      </c>
      <c r="BD187" s="189">
        <f t="shared" si="151"/>
        <v>17010.051626852688</v>
      </c>
      <c r="BE187" s="189">
        <f t="shared" si="151"/>
        <v>0</v>
      </c>
      <c r="BF187" s="189">
        <f t="shared" si="151"/>
        <v>0</v>
      </c>
      <c r="BG187" s="189">
        <f t="shared" si="151"/>
        <v>16726.119805593105</v>
      </c>
      <c r="BH187" s="189">
        <f t="shared" si="151"/>
        <v>3810.8029958206903</v>
      </c>
      <c r="BI187" s="189">
        <f t="shared" si="151"/>
        <v>18097.867952595476</v>
      </c>
      <c r="BJ187" s="189">
        <f t="shared" si="151"/>
        <v>18216.219254366486</v>
      </c>
      <c r="BK187" s="189">
        <f t="shared" si="151"/>
        <v>0</v>
      </c>
      <c r="BL187" s="207">
        <f t="shared" si="151"/>
        <v>1808.2271608551944</v>
      </c>
    </row>
    <row r="188" spans="1:64" hidden="1" x14ac:dyDescent="0.2"/>
    <row r="189" spans="1:64" hidden="1" x14ac:dyDescent="0.2">
      <c r="A189" s="328" t="s">
        <v>159</v>
      </c>
      <c r="B189" s="329"/>
      <c r="C189" s="178" t="s">
        <v>163</v>
      </c>
      <c r="D189" s="190">
        <f>SUM(E189:BL189)</f>
        <v>1081494.5374702681</v>
      </c>
      <c r="E189" s="179">
        <v>18028.564690026953</v>
      </c>
      <c r="F189" s="179">
        <v>17908.374258760108</v>
      </c>
      <c r="G189" s="179">
        <v>16730.508032345013</v>
      </c>
      <c r="H189" s="179">
        <v>17728.088611859839</v>
      </c>
      <c r="I189" s="179">
        <v>15624.756064690027</v>
      </c>
      <c r="J189" s="179">
        <v>15624.756064690027</v>
      </c>
      <c r="K189" s="179">
        <v>18028.564690026953</v>
      </c>
      <c r="L189" s="179"/>
      <c r="M189" s="179">
        <v>15624.756064690027</v>
      </c>
      <c r="N189" s="180">
        <v>21093.420687331538</v>
      </c>
      <c r="O189" s="179">
        <v>19499.695568733154</v>
      </c>
      <c r="P189" s="179">
        <v>20312.182884097037</v>
      </c>
      <c r="Q189" s="179">
        <v>18028.564690026953</v>
      </c>
      <c r="R189" s="179">
        <v>18028.564690026953</v>
      </c>
      <c r="S189" s="179">
        <v>16225.708221024259</v>
      </c>
      <c r="T189" s="179">
        <v>16225.708221024259</v>
      </c>
      <c r="U189" s="179">
        <v>19530.969118948789</v>
      </c>
      <c r="V189" s="179">
        <v>16826.66037735849</v>
      </c>
      <c r="W189" s="179">
        <v>18569.421630727764</v>
      </c>
      <c r="X189" s="179">
        <v>17728.088611859839</v>
      </c>
      <c r="Y189" s="179">
        <v>21033.325471698114</v>
      </c>
      <c r="Z189" s="180">
        <v>16826.66037735849</v>
      </c>
      <c r="AA189" s="179">
        <v>18449.237208982478</v>
      </c>
      <c r="AB189" s="202">
        <v>19290.56421832884</v>
      </c>
      <c r="AC189" s="179">
        <v>20312.182884097037</v>
      </c>
      <c r="AD189" s="179">
        <v>16826.66037735849</v>
      </c>
      <c r="AE189" s="179">
        <v>18518.935640074127</v>
      </c>
      <c r="AF189" s="202">
        <v>19290.56421832884</v>
      </c>
      <c r="AG189" s="179">
        <v>19499.695568733154</v>
      </c>
      <c r="AH189" s="179">
        <v>15023.805711212264</v>
      </c>
      <c r="AI189" s="179"/>
      <c r="AJ189" s="179">
        <v>19290.56421832884</v>
      </c>
      <c r="AK189" s="179">
        <v>17427.612533692722</v>
      </c>
      <c r="AL189" s="179">
        <v>18809.802493261457</v>
      </c>
      <c r="AM189" s="179">
        <v>17826.644765498651</v>
      </c>
      <c r="AN189" s="179">
        <v>18518.941649595687</v>
      </c>
      <c r="AO189" s="179">
        <v>19499.695568733154</v>
      </c>
      <c r="AP189" s="179">
        <v>20312.182884097037</v>
      </c>
      <c r="AQ189" s="179">
        <v>18028.564690026953</v>
      </c>
      <c r="AR189" s="179">
        <v>14316.72179835647</v>
      </c>
      <c r="AS189" s="179">
        <v>18280.964595687332</v>
      </c>
      <c r="AT189" s="179">
        <v>16826.66037735849</v>
      </c>
      <c r="AU189" s="179">
        <v>18569.421630727764</v>
      </c>
      <c r="AV189" s="179">
        <v>17826.644765498651</v>
      </c>
      <c r="AW189" s="179">
        <v>22199.172654986523</v>
      </c>
      <c r="AX189" s="179">
        <v>22199.172654986523</v>
      </c>
      <c r="AY189" s="179">
        <v>16706.469946091645</v>
      </c>
      <c r="AZ189" s="219">
        <v>18929.992924528302</v>
      </c>
      <c r="BA189" s="179">
        <v>22199.172654986523</v>
      </c>
      <c r="BB189" s="179">
        <v>22199.172654986523</v>
      </c>
      <c r="BC189" s="179">
        <v>20426.363793800541</v>
      </c>
      <c r="BD189" s="179">
        <v>22199.172654986523</v>
      </c>
      <c r="BE189" s="179">
        <v>16826.66037735849</v>
      </c>
      <c r="BF189" s="179">
        <v>16826.66037735849</v>
      </c>
      <c r="BG189" s="179">
        <v>20426.363793800541</v>
      </c>
      <c r="BH189" s="179">
        <v>20422.497267626684</v>
      </c>
      <c r="BI189" s="179">
        <v>22201.576463611862</v>
      </c>
      <c r="BJ189" s="179">
        <v>22199.172654986523</v>
      </c>
      <c r="BK189" s="179">
        <v>16826.66037735849</v>
      </c>
      <c r="BL189" s="208">
        <v>20732.849393530996</v>
      </c>
    </row>
    <row r="190" spans="1:64" hidden="1" x14ac:dyDescent="0.2">
      <c r="A190" s="330"/>
      <c r="B190" s="331"/>
      <c r="BL190" s="206"/>
    </row>
    <row r="191" spans="1:64" s="173" customFormat="1" hidden="1" x14ac:dyDescent="0.2">
      <c r="A191" s="332"/>
      <c r="B191" s="333"/>
      <c r="C191" s="191" t="s">
        <v>164</v>
      </c>
      <c r="D191" s="192" t="e">
        <f>SUM(E191:BL191)</f>
        <v>#REF!</v>
      </c>
      <c r="E191" s="192" t="e">
        <f>E185-E189</f>
        <v>#REF!</v>
      </c>
      <c r="F191" s="192">
        <f t="shared" ref="F191:BL191" si="152">F185-F189</f>
        <v>-1077663.1076340589</v>
      </c>
      <c r="G191" s="192">
        <f t="shared" si="152"/>
        <v>254424.80145865105</v>
      </c>
      <c r="H191" s="192">
        <f t="shared" si="152"/>
        <v>269595.24579849874</v>
      </c>
      <c r="I191" s="192">
        <f t="shared" si="152"/>
        <v>237609.36917833783</v>
      </c>
      <c r="J191" s="192">
        <f t="shared" si="152"/>
        <v>237609.36917833783</v>
      </c>
      <c r="K191" s="192">
        <f t="shared" si="152"/>
        <v>274164.65674423595</v>
      </c>
      <c r="L191" s="192"/>
      <c r="M191" s="192">
        <f t="shared" si="152"/>
        <v>237609.36917833783</v>
      </c>
      <c r="N191" s="192">
        <f t="shared" si="152"/>
        <v>320772.64839075611</v>
      </c>
      <c r="O191" s="192">
        <f t="shared" si="152"/>
        <v>296536.49273456563</v>
      </c>
      <c r="P191" s="192">
        <f t="shared" si="152"/>
        <v>308892.17993183917</v>
      </c>
      <c r="Q191" s="192">
        <f t="shared" si="152"/>
        <v>271750.18598726386</v>
      </c>
      <c r="R191" s="192">
        <f t="shared" si="152"/>
        <v>271750.18598726386</v>
      </c>
      <c r="S191" s="192">
        <f t="shared" si="152"/>
        <v>246748.19106981246</v>
      </c>
      <c r="T191" s="192">
        <f t="shared" si="152"/>
        <v>246748.19106981246</v>
      </c>
      <c r="U191" s="192">
        <f t="shared" si="152"/>
        <v>297012.07702579803</v>
      </c>
      <c r="V191" s="192">
        <f t="shared" si="152"/>
        <v>255887.01296128688</v>
      </c>
      <c r="W191" s="192">
        <f t="shared" si="152"/>
        <v>282389.59644656308</v>
      </c>
      <c r="X191" s="192">
        <f t="shared" si="152"/>
        <v>269595.24579849868</v>
      </c>
      <c r="Y191" s="192">
        <f t="shared" si="152"/>
        <v>172447.92588288357</v>
      </c>
      <c r="Z191" s="192">
        <f t="shared" si="152"/>
        <v>255887.01296128688</v>
      </c>
      <c r="AA191" s="192">
        <f t="shared" si="152"/>
        <v>280561.92345648707</v>
      </c>
      <c r="AB191" s="192">
        <f t="shared" si="152"/>
        <v>293356.18271633255</v>
      </c>
      <c r="AC191" s="192">
        <f t="shared" si="152"/>
        <v>285920.89354235714</v>
      </c>
      <c r="AD191" s="192">
        <f t="shared" si="152"/>
        <v>255887.01296128688</v>
      </c>
      <c r="AE191" s="192">
        <f t="shared" si="152"/>
        <v>281621.84401946026</v>
      </c>
      <c r="AF191" s="192">
        <f t="shared" si="152"/>
        <v>293356.18271633255</v>
      </c>
      <c r="AG191" s="192">
        <f t="shared" si="152"/>
        <v>296536.49273456563</v>
      </c>
      <c r="AH191" s="192">
        <f t="shared" si="152"/>
        <v>228470.57470332895</v>
      </c>
      <c r="AI191" s="192"/>
      <c r="AJ191" s="192">
        <f t="shared" si="152"/>
        <v>293356.18271633255</v>
      </c>
      <c r="AK191" s="192">
        <f t="shared" si="152"/>
        <v>265025.83485276147</v>
      </c>
      <c r="AL191" s="192">
        <f t="shared" si="152"/>
        <v>286045.12520315289</v>
      </c>
      <c r="AM191" s="192">
        <f t="shared" si="152"/>
        <v>271094.01258870057</v>
      </c>
      <c r="AN191" s="192">
        <f t="shared" si="152"/>
        <v>281621.93540767918</v>
      </c>
      <c r="AO191" s="192">
        <f t="shared" si="152"/>
        <v>296536.49273456563</v>
      </c>
      <c r="AP191" s="192">
        <f t="shared" si="152"/>
        <v>308892.17993183917</v>
      </c>
      <c r="AQ191" s="192">
        <f t="shared" si="152"/>
        <v>274164.65674423595</v>
      </c>
      <c r="AR191" s="192">
        <f t="shared" si="152"/>
        <v>217717.78203288873</v>
      </c>
      <c r="AS191" s="192">
        <f t="shared" si="152"/>
        <v>278002.96193865529</v>
      </c>
      <c r="AT191" s="192">
        <f t="shared" si="152"/>
        <v>255887.01296128694</v>
      </c>
      <c r="AU191" s="192">
        <f t="shared" si="152"/>
        <v>282389.59644656308</v>
      </c>
      <c r="AV191" s="192">
        <f t="shared" si="152"/>
        <v>271094.01258870057</v>
      </c>
      <c r="AW191" s="192">
        <f t="shared" si="152"/>
        <v>337588.08067106927</v>
      </c>
      <c r="AX191" s="192">
        <f t="shared" si="152"/>
        <v>337588.08067106927</v>
      </c>
      <c r="AY191" s="192">
        <f t="shared" si="152"/>
        <v>254059.248582992</v>
      </c>
      <c r="AZ191" s="224">
        <f t="shared" si="152"/>
        <v>287872.88958144782</v>
      </c>
      <c r="BA191" s="192">
        <f t="shared" si="152"/>
        <v>337588.08067106927</v>
      </c>
      <c r="BB191" s="192">
        <f t="shared" si="152"/>
        <v>259714.63103497363</v>
      </c>
      <c r="BC191" s="192">
        <f t="shared" si="152"/>
        <v>310628.55609121936</v>
      </c>
      <c r="BD191" s="192">
        <f t="shared" si="152"/>
        <v>337588.08067106927</v>
      </c>
      <c r="BE191" s="192">
        <f t="shared" si="152"/>
        <v>255887.01296128688</v>
      </c>
      <c r="BF191" s="192">
        <f t="shared" si="152"/>
        <v>255887.01296128688</v>
      </c>
      <c r="BG191" s="192">
        <f t="shared" si="152"/>
        <v>310628.55609121936</v>
      </c>
      <c r="BH191" s="192">
        <f t="shared" si="152"/>
        <v>310569.75691116962</v>
      </c>
      <c r="BI191" s="192">
        <f t="shared" si="152"/>
        <v>337624.63595863519</v>
      </c>
      <c r="BJ191" s="192">
        <f t="shared" si="152"/>
        <v>337588.08067106927</v>
      </c>
      <c r="BK191" s="192">
        <f t="shared" si="152"/>
        <v>255887.01296128688</v>
      </c>
      <c r="BL191" s="193">
        <f t="shared" si="152"/>
        <v>315289.35525587143</v>
      </c>
    </row>
    <row r="192" spans="1:64" hidden="1" x14ac:dyDescent="0.2"/>
    <row r="193" spans="1:64" hidden="1" x14ac:dyDescent="0.2">
      <c r="A193" s="328" t="s">
        <v>158</v>
      </c>
      <c r="B193" s="329"/>
      <c r="C193" s="178" t="s">
        <v>163</v>
      </c>
      <c r="D193" s="190">
        <f>SUM(E193:BL193)</f>
        <v>96984.814965362559</v>
      </c>
      <c r="E193" s="179">
        <v>0</v>
      </c>
      <c r="F193" s="179">
        <v>2937.5876439795525</v>
      </c>
      <c r="G193" s="179">
        <v>319.6935040678332</v>
      </c>
      <c r="H193" s="179">
        <v>3433.8760286041579</v>
      </c>
      <c r="I193" s="179">
        <v>0</v>
      </c>
      <c r="J193" s="179">
        <v>0</v>
      </c>
      <c r="K193" s="179">
        <v>348.80305384366534</v>
      </c>
      <c r="L193" s="179"/>
      <c r="M193" s="179">
        <v>0</v>
      </c>
      <c r="N193" s="180">
        <v>4089.00960382314</v>
      </c>
      <c r="O193" s="179">
        <v>4696.8211544813385</v>
      </c>
      <c r="P193" s="179">
        <v>0</v>
      </c>
      <c r="Q193" s="179">
        <v>0</v>
      </c>
      <c r="R193" s="179">
        <v>0</v>
      </c>
      <c r="S193" s="179">
        <v>0</v>
      </c>
      <c r="T193" s="179">
        <v>0</v>
      </c>
      <c r="U193" s="179">
        <v>2747.1420381326816</v>
      </c>
      <c r="V193" s="179">
        <v>0</v>
      </c>
      <c r="W193" s="179">
        <v>3710.8863947463005</v>
      </c>
      <c r="X193" s="179">
        <v>2840.429772319691</v>
      </c>
      <c r="Y193" s="179">
        <v>2136.9789234587888</v>
      </c>
      <c r="Z193" s="180">
        <v>0</v>
      </c>
      <c r="AA193" s="179">
        <v>3614.7595743079341</v>
      </c>
      <c r="AB193" s="202">
        <v>4038.4533755464568</v>
      </c>
      <c r="AC193" s="179">
        <v>0</v>
      </c>
      <c r="AD193" s="179">
        <v>0</v>
      </c>
      <c r="AE193" s="179">
        <v>0</v>
      </c>
      <c r="AF193" s="202">
        <v>0</v>
      </c>
      <c r="AG193" s="179">
        <v>3437.3954858764905</v>
      </c>
      <c r="AH193" s="179">
        <v>3007.0912711854571</v>
      </c>
      <c r="AI193" s="179"/>
      <c r="AJ193" s="179">
        <v>3743.6337307223835</v>
      </c>
      <c r="AK193" s="179">
        <v>0</v>
      </c>
      <c r="AL193" s="179">
        <v>0</v>
      </c>
      <c r="AM193" s="179">
        <v>673.71325599871273</v>
      </c>
      <c r="AN193" s="179">
        <v>2961.6371019801018</v>
      </c>
      <c r="AO193" s="179">
        <v>3433.1466328801694</v>
      </c>
      <c r="AP193" s="179">
        <v>3489.7462499788503</v>
      </c>
      <c r="AQ193" s="179">
        <v>108.40403649890186</v>
      </c>
      <c r="AR193" s="179">
        <v>0</v>
      </c>
      <c r="AS193" s="179">
        <v>648.33268760063606</v>
      </c>
      <c r="AT193" s="179">
        <v>0</v>
      </c>
      <c r="AU193" s="179">
        <v>3491.7576491693635</v>
      </c>
      <c r="AV193" s="179">
        <v>2384.4352047136231</v>
      </c>
      <c r="AW193" s="179">
        <v>0</v>
      </c>
      <c r="AX193" s="179">
        <v>4319.7387327485203</v>
      </c>
      <c r="AY193" s="179">
        <v>177.32082253367707</v>
      </c>
      <c r="AZ193" s="219">
        <v>3761.6980300930118</v>
      </c>
      <c r="BA193" s="179">
        <v>4027.0129942890526</v>
      </c>
      <c r="BB193" s="179">
        <v>1853.4632926407849</v>
      </c>
      <c r="BC193" s="179">
        <v>3647.4679948222501</v>
      </c>
      <c r="BD193" s="179">
        <v>4032.7237037052528</v>
      </c>
      <c r="BE193" s="179">
        <v>0</v>
      </c>
      <c r="BF193" s="179">
        <v>0</v>
      </c>
      <c r="BG193" s="179">
        <v>3748.4180967837669</v>
      </c>
      <c r="BH193" s="179">
        <v>797.96300576090971</v>
      </c>
      <c r="BI193" s="179">
        <v>4083.1620723856795</v>
      </c>
      <c r="BJ193" s="179">
        <v>4242.1118456834538</v>
      </c>
      <c r="BK193" s="179">
        <v>0</v>
      </c>
      <c r="BL193" s="208">
        <v>0</v>
      </c>
    </row>
    <row r="194" spans="1:64" hidden="1" x14ac:dyDescent="0.2">
      <c r="A194" s="330"/>
      <c r="B194" s="331"/>
      <c r="BL194" s="206"/>
    </row>
    <row r="195" spans="1:64" s="173" customFormat="1" hidden="1" x14ac:dyDescent="0.2">
      <c r="A195" s="332"/>
      <c r="B195" s="333"/>
      <c r="C195" s="191" t="s">
        <v>164</v>
      </c>
      <c r="D195" s="192">
        <f>SUM(E195:BL195)</f>
        <v>109168.77098307876</v>
      </c>
      <c r="E195" s="192">
        <f>E187-E193</f>
        <v>-124931.23522004079</v>
      </c>
      <c r="F195" s="192">
        <f t="shared" ref="F195:BL195" si="153">F187-F193</f>
        <v>-119440.67452408472</v>
      </c>
      <c r="G195" s="192">
        <f t="shared" si="153"/>
        <v>5055.7483252663305</v>
      </c>
      <c r="H195" s="192">
        <f t="shared" si="153"/>
        <v>8026.5536794634481</v>
      </c>
      <c r="I195" s="192">
        <f t="shared" si="153"/>
        <v>0</v>
      </c>
      <c r="J195" s="192">
        <f t="shared" si="153"/>
        <v>0</v>
      </c>
      <c r="K195" s="192">
        <f t="shared" si="153"/>
        <v>1247.77961946255</v>
      </c>
      <c r="L195" s="192"/>
      <c r="M195" s="192">
        <f t="shared" si="153"/>
        <v>0</v>
      </c>
      <c r="N195" s="192">
        <f t="shared" si="153"/>
        <v>13939.607752914419</v>
      </c>
      <c r="O195" s="192">
        <f t="shared" si="153"/>
        <v>12548.376856041592</v>
      </c>
      <c r="P195" s="192">
        <f t="shared" si="153"/>
        <v>1274.7331823907411</v>
      </c>
      <c r="Q195" s="192">
        <f t="shared" si="153"/>
        <v>0</v>
      </c>
      <c r="R195" s="192">
        <f t="shared" si="153"/>
        <v>0</v>
      </c>
      <c r="S195" s="192">
        <f t="shared" si="153"/>
        <v>0</v>
      </c>
      <c r="T195" s="192">
        <f t="shared" si="153"/>
        <v>0</v>
      </c>
      <c r="U195" s="192">
        <f t="shared" si="153"/>
        <v>7843.005687956872</v>
      </c>
      <c r="V195" s="192">
        <f t="shared" si="153"/>
        <v>0</v>
      </c>
      <c r="W195" s="192">
        <f t="shared" si="153"/>
        <v>12024.779318956022</v>
      </c>
      <c r="X195" s="192">
        <f t="shared" si="153"/>
        <v>7403.3874064964766</v>
      </c>
      <c r="Y195" s="192">
        <f t="shared" si="153"/>
        <v>9282.2775020679983</v>
      </c>
      <c r="Z195" s="192">
        <f t="shared" si="153"/>
        <v>0</v>
      </c>
      <c r="AA195" s="192">
        <f t="shared" si="153"/>
        <v>10903.857513380577</v>
      </c>
      <c r="AB195" s="192">
        <f t="shared" si="153"/>
        <v>12884.98221609591</v>
      </c>
      <c r="AC195" s="192">
        <f t="shared" si="153"/>
        <v>754.05467084882696</v>
      </c>
      <c r="AD195" s="192">
        <f t="shared" si="153"/>
        <v>0</v>
      </c>
      <c r="AE195" s="192">
        <f t="shared" si="153"/>
        <v>4902.6321393186145</v>
      </c>
      <c r="AF195" s="192">
        <f t="shared" si="153"/>
        <v>16240.797038541885</v>
      </c>
      <c r="AG195" s="192">
        <f t="shared" si="153"/>
        <v>12152.254942338292</v>
      </c>
      <c r="AH195" s="192">
        <f t="shared" si="153"/>
        <v>9527.8835220649344</v>
      </c>
      <c r="AI195" s="192"/>
      <c r="AJ195" s="192">
        <f t="shared" si="153"/>
        <v>12411.889936266663</v>
      </c>
      <c r="AK195" s="192">
        <f t="shared" si="153"/>
        <v>216.34617047808803</v>
      </c>
      <c r="AL195" s="192">
        <f t="shared" si="153"/>
        <v>87.090118218326509</v>
      </c>
      <c r="AM195" s="192">
        <f t="shared" si="153"/>
        <v>9976.7002792362218</v>
      </c>
      <c r="AN195" s="192">
        <f t="shared" si="153"/>
        <v>12580.474881456583</v>
      </c>
      <c r="AO195" s="192">
        <f t="shared" si="153"/>
        <v>13240.105851090579</v>
      </c>
      <c r="AP195" s="192">
        <f t="shared" si="153"/>
        <v>12452.975280284896</v>
      </c>
      <c r="AQ195" s="192">
        <f t="shared" si="153"/>
        <v>3010.292775896392</v>
      </c>
      <c r="AR195" s="192">
        <f t="shared" si="153"/>
        <v>0</v>
      </c>
      <c r="AS195" s="192">
        <f t="shared" si="153"/>
        <v>3391.7990494517207</v>
      </c>
      <c r="AT195" s="192">
        <f t="shared" si="153"/>
        <v>0</v>
      </c>
      <c r="AU195" s="192">
        <f t="shared" si="153"/>
        <v>11424.041554416357</v>
      </c>
      <c r="AV195" s="192">
        <f t="shared" si="153"/>
        <v>7767.5336683252135</v>
      </c>
      <c r="AW195" s="192">
        <f t="shared" si="153"/>
        <v>0</v>
      </c>
      <c r="AX195" s="192">
        <f t="shared" si="153"/>
        <v>16001.211764432366</v>
      </c>
      <c r="AY195" s="192">
        <f t="shared" si="153"/>
        <v>2379.2925867726449</v>
      </c>
      <c r="AZ195" s="224">
        <f t="shared" si="153"/>
        <v>13699.310256080287</v>
      </c>
      <c r="BA195" s="192">
        <f t="shared" si="153"/>
        <v>13969.958817586343</v>
      </c>
      <c r="BB195" s="192">
        <f t="shared" si="153"/>
        <v>4183.5396439557444</v>
      </c>
      <c r="BC195" s="192">
        <f t="shared" si="153"/>
        <v>11970.496647885771</v>
      </c>
      <c r="BD195" s="192">
        <f t="shared" si="153"/>
        <v>12977.327923147435</v>
      </c>
      <c r="BE195" s="192">
        <f t="shared" si="153"/>
        <v>0</v>
      </c>
      <c r="BF195" s="192">
        <f t="shared" si="153"/>
        <v>0</v>
      </c>
      <c r="BG195" s="192">
        <f t="shared" si="153"/>
        <v>12977.701708809338</v>
      </c>
      <c r="BH195" s="192">
        <f t="shared" si="153"/>
        <v>3012.8399900597806</v>
      </c>
      <c r="BI195" s="192">
        <f t="shared" si="153"/>
        <v>14014.705880209796</v>
      </c>
      <c r="BJ195" s="192">
        <f t="shared" si="153"/>
        <v>13974.107408683032</v>
      </c>
      <c r="BK195" s="192">
        <f t="shared" si="153"/>
        <v>0</v>
      </c>
      <c r="BL195" s="193">
        <f t="shared" si="153"/>
        <v>1808.2271608551944</v>
      </c>
    </row>
    <row r="196" spans="1:64" hidden="1" x14ac:dyDescent="0.2"/>
    <row r="197" spans="1:64" hidden="1" x14ac:dyDescent="0.2">
      <c r="D197" s="211"/>
    </row>
    <row r="198" spans="1:64" hidden="1" x14ac:dyDescent="0.2">
      <c r="D198" s="171"/>
    </row>
    <row r="199" spans="1:64" hidden="1" x14ac:dyDescent="0.2">
      <c r="D199" s="171">
        <f>D150*4%</f>
        <v>125237.97860235494</v>
      </c>
      <c r="M199" s="171"/>
      <c r="BL199" s="171"/>
    </row>
    <row r="200" spans="1:64" hidden="1" x14ac:dyDescent="0.2">
      <c r="D200" s="171"/>
    </row>
    <row r="201" spans="1:64" hidden="1" x14ac:dyDescent="0.2">
      <c r="D201" s="171"/>
    </row>
    <row r="204" spans="1:64" x14ac:dyDescent="0.2">
      <c r="G204" s="171"/>
      <c r="J204" s="228"/>
      <c r="L204" s="171"/>
      <c r="M204" s="171"/>
      <c r="N204" s="229"/>
      <c r="O204" s="171"/>
      <c r="P204" s="228"/>
      <c r="U204" s="228"/>
      <c r="W204" s="228"/>
      <c r="AA204" s="171"/>
      <c r="AB204" s="228"/>
      <c r="AI204" s="171"/>
      <c r="AK204" s="171"/>
      <c r="AS204" s="171"/>
      <c r="AY204" s="171"/>
    </row>
    <row r="205" spans="1:64" x14ac:dyDescent="0.2">
      <c r="J205" s="211"/>
      <c r="M205" s="228"/>
      <c r="Y205" s="228"/>
      <c r="AF205" s="171"/>
    </row>
    <row r="206" spans="1:64" x14ac:dyDescent="0.2">
      <c r="H206" s="171"/>
      <c r="U206" s="171"/>
      <c r="W206" s="171"/>
      <c r="X206" s="228"/>
      <c r="BL206" s="228"/>
    </row>
    <row r="207" spans="1:64" x14ac:dyDescent="0.2">
      <c r="F207" s="171"/>
      <c r="H207" s="171"/>
      <c r="M207" s="171"/>
      <c r="N207" s="229"/>
      <c r="Y207" s="171"/>
      <c r="BL207" s="171"/>
    </row>
    <row r="208" spans="1:64" x14ac:dyDescent="0.2">
      <c r="L208" s="171"/>
      <c r="O208" s="171"/>
      <c r="U208" s="171"/>
      <c r="W208" s="171"/>
      <c r="X208" s="171"/>
      <c r="Y208" s="171"/>
      <c r="AB208" s="171"/>
      <c r="AC208" s="171"/>
      <c r="AG208" s="171"/>
      <c r="AH208" s="171"/>
      <c r="AJ208" s="171"/>
      <c r="AM208" s="171"/>
      <c r="AN208" s="171"/>
      <c r="AO208" s="171"/>
      <c r="AP208" s="171"/>
      <c r="AQ208" s="171"/>
      <c r="AU208" s="171"/>
      <c r="AV208" s="171"/>
      <c r="AX208" s="171"/>
      <c r="AY208" s="171"/>
      <c r="AZ208" s="230"/>
      <c r="BA208" s="171"/>
      <c r="BB208" s="171"/>
      <c r="BC208" s="171"/>
      <c r="BD208" s="171"/>
      <c r="BH208" s="171"/>
      <c r="BI208" s="171"/>
      <c r="BJ208" s="171"/>
    </row>
    <row r="209" spans="5:64" x14ac:dyDescent="0.2">
      <c r="N209"/>
      <c r="Z209"/>
      <c r="AZ209"/>
    </row>
    <row r="210" spans="5:64" x14ac:dyDescent="0.2">
      <c r="E210" s="228"/>
      <c r="F210" s="228"/>
      <c r="G210" s="228"/>
      <c r="H210" s="228"/>
      <c r="I210" s="228"/>
      <c r="J210" s="228"/>
      <c r="K210" s="228"/>
      <c r="L210" s="228"/>
      <c r="M210" s="228"/>
      <c r="N210" s="228"/>
      <c r="O210" s="228"/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  <c r="AF210" s="228"/>
      <c r="AG210" s="228"/>
      <c r="AH210" s="228"/>
      <c r="AI210" s="228"/>
      <c r="AJ210" s="228"/>
      <c r="AK210" s="228"/>
      <c r="AL210" s="228"/>
      <c r="AM210" s="228"/>
      <c r="AN210" s="228"/>
      <c r="AO210" s="228"/>
      <c r="AP210" s="228"/>
      <c r="AQ210" s="228"/>
      <c r="AR210" s="228"/>
      <c r="AS210" s="228"/>
      <c r="AT210" s="228"/>
      <c r="AU210" s="228"/>
      <c r="AV210" s="228"/>
      <c r="AW210" s="228"/>
      <c r="AX210" s="228"/>
      <c r="AY210" s="228"/>
      <c r="AZ210" s="228"/>
      <c r="BA210" s="228"/>
      <c r="BB210" s="228"/>
      <c r="BC210" s="228"/>
      <c r="BD210" s="228"/>
      <c r="BE210" s="228"/>
      <c r="BF210" s="228"/>
      <c r="BG210" s="228"/>
      <c r="BH210" s="228"/>
      <c r="BI210" s="228"/>
      <c r="BJ210" s="228"/>
      <c r="BK210" s="228"/>
      <c r="BL210" s="228"/>
    </row>
  </sheetData>
  <sheetProtection algorithmName="SHA-512" hashValue="3KEzLdELzeh3zL8yd/wOMRL6TkWPx5IOCuh+YpkXzjTVXbuQDognCH9CYQeTStWW/BaNYH1MH7GJQf4/xHJvFA==" saltValue="ib6KeJ78hEbUThWQGcLCUA==" spinCount="100000" sheet="1" objects="1" scenarios="1"/>
  <mergeCells count="38">
    <mergeCell ref="B61:B65"/>
    <mergeCell ref="B41:B45"/>
    <mergeCell ref="B166:B170"/>
    <mergeCell ref="B31:B35"/>
    <mergeCell ref="B76:B80"/>
    <mergeCell ref="B36:B40"/>
    <mergeCell ref="B96:B100"/>
    <mergeCell ref="B71:B75"/>
    <mergeCell ref="B56:B60"/>
    <mergeCell ref="B51:B55"/>
    <mergeCell ref="B46:B50"/>
    <mergeCell ref="B66:B70"/>
    <mergeCell ref="B161:B165"/>
    <mergeCell ref="B151:B155"/>
    <mergeCell ref="B156:B160"/>
    <mergeCell ref="B86:B90"/>
    <mergeCell ref="A193:B195"/>
    <mergeCell ref="A180:B182"/>
    <mergeCell ref="A176:B178"/>
    <mergeCell ref="A185:B187"/>
    <mergeCell ref="A189:B191"/>
    <mergeCell ref="B6:B10"/>
    <mergeCell ref="B11:B15"/>
    <mergeCell ref="B16:B20"/>
    <mergeCell ref="B21:B25"/>
    <mergeCell ref="B26:B30"/>
    <mergeCell ref="B81:B85"/>
    <mergeCell ref="B146:B150"/>
    <mergeCell ref="B141:B145"/>
    <mergeCell ref="B121:B125"/>
    <mergeCell ref="B111:B115"/>
    <mergeCell ref="B116:B120"/>
    <mergeCell ref="B136:B140"/>
    <mergeCell ref="B101:B105"/>
    <mergeCell ref="B106:B110"/>
    <mergeCell ref="B131:B135"/>
    <mergeCell ref="B126:B130"/>
    <mergeCell ref="B91:B95"/>
  </mergeCells>
  <phoneticPr fontId="5" type="noConversion"/>
  <pageMargins left="0.15748031496062992" right="0.15748031496062992" top="0.98425196850393704" bottom="0.98425196850393704" header="0.51181102362204722" footer="0.51181102362204722"/>
  <pageSetup paperSize="9" scale="65" orientation="landscape" r:id="rId1"/>
  <headerFooter alignWithMargins="0"/>
  <ignoredErrors>
    <ignoredError sqref="D9:D10" formula="1"/>
    <ignoredError sqref="AW5:BL5" numberStoredAsText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0C15-C0B0-4883-AC5C-6C7FADFDE2BE}">
  <sheetPr>
    <tabColor theme="6" tint="0.59999389629810485"/>
  </sheetPr>
  <dimension ref="A1:G273"/>
  <sheetViews>
    <sheetView workbookViewId="0">
      <selection activeCell="C282" sqref="C282"/>
    </sheetView>
  </sheetViews>
  <sheetFormatPr defaultRowHeight="12.75" x14ac:dyDescent="0.2"/>
  <cols>
    <col min="1" max="1" width="10" customWidth="1"/>
    <col min="2" max="2" width="22.85546875" customWidth="1"/>
    <col min="3" max="3" width="19.140625" style="292" customWidth="1"/>
    <col min="4" max="4" width="10" customWidth="1"/>
    <col min="5" max="5" width="10.28515625" customWidth="1"/>
    <col min="6" max="6" width="22.28515625" customWidth="1"/>
    <col min="7" max="7" width="18.28515625" style="292" customWidth="1"/>
  </cols>
  <sheetData>
    <row r="1" spans="1:7" s="289" customFormat="1" ht="24.75" customHeight="1" x14ac:dyDescent="0.2">
      <c r="A1" s="334" t="s">
        <v>190</v>
      </c>
      <c r="B1" s="334"/>
      <c r="C1" s="334"/>
      <c r="D1" s="309"/>
      <c r="E1" s="334" t="s">
        <v>49</v>
      </c>
      <c r="F1" s="334"/>
      <c r="G1" s="335"/>
    </row>
    <row r="2" spans="1:7" ht="15" x14ac:dyDescent="0.2">
      <c r="A2" s="340" t="s">
        <v>192</v>
      </c>
      <c r="B2" s="293" t="s">
        <v>5</v>
      </c>
      <c r="C2" s="294" cm="1">
        <f t="array" ref="C2">SUM(_xlfn._xlws.FILTER(C$10:C$25,B$10:B$25=B2,0))</f>
        <v>950000</v>
      </c>
      <c r="D2" s="290"/>
      <c r="E2" s="340" t="s">
        <v>192</v>
      </c>
      <c r="F2" s="293" t="s">
        <v>5</v>
      </c>
      <c r="G2" s="294" cm="1">
        <f t="array" ref="G2">SUM(_xlfn._xlws.FILTER(G$10:G$25,F$10:F$25=F2,0))</f>
        <v>500000</v>
      </c>
    </row>
    <row r="3" spans="1:7" ht="15" hidden="1" x14ac:dyDescent="0.2">
      <c r="A3" s="340"/>
      <c r="B3" s="293" t="s">
        <v>7</v>
      </c>
      <c r="C3" s="303" cm="1">
        <f t="array" ref="C3">SUM(_xlfn._xlws.FILTER(C$10:C$25,B$10:B$25=B3,0))</f>
        <v>0.4</v>
      </c>
      <c r="D3" s="290"/>
      <c r="E3" s="340"/>
      <c r="F3" s="293" t="s">
        <v>7</v>
      </c>
      <c r="G3" s="303" cm="1">
        <f t="array" ref="G3">SUM(_xlfn._xlws.FILTER(G$10:G$25,F$10:F$25=F3,0))</f>
        <v>0.2</v>
      </c>
    </row>
    <row r="4" spans="1:7" ht="15" hidden="1" x14ac:dyDescent="0.2">
      <c r="A4" s="340"/>
      <c r="B4" s="293" t="s">
        <v>6</v>
      </c>
      <c r="C4" s="294" cm="1">
        <f t="array" ref="C4">SUM(_xlfn._xlws.FILTER(C$10:C$273,B$10:B$273=B4,0))</f>
        <v>3090000</v>
      </c>
      <c r="D4" s="290"/>
      <c r="E4" s="340"/>
      <c r="F4" s="293" t="s">
        <v>6</v>
      </c>
      <c r="G4" s="294" cm="1">
        <f t="array" ref="G4">SUM(_xlfn._xlws.FILTER(G$10:G$25,F$10:F$25=F4,0))</f>
        <v>50000</v>
      </c>
    </row>
    <row r="5" spans="1:7" ht="15" x14ac:dyDescent="0.2">
      <c r="A5" s="340"/>
      <c r="B5" s="293" t="s">
        <v>9</v>
      </c>
      <c r="C5" s="294" cm="1">
        <f t="array" ref="C5">SUM(_xlfn._xlws.FILTER(C$10:C$25,B$10:B$25=B5,0))</f>
        <v>45000</v>
      </c>
      <c r="D5" s="290"/>
      <c r="E5" s="340"/>
      <c r="F5" s="293" t="s">
        <v>9</v>
      </c>
      <c r="G5" s="294" cm="1">
        <f t="array" ref="G5">SUM(_xlfn._xlws.FILTER(G$10:G$25,F$10:F$25=F5,0))</f>
        <v>4300</v>
      </c>
    </row>
    <row r="6" spans="1:7" ht="15" hidden="1" x14ac:dyDescent="0.2">
      <c r="A6" s="340"/>
      <c r="B6" s="293" t="s">
        <v>14</v>
      </c>
      <c r="C6" s="294" cm="1">
        <f t="array" ref="C6">SUM(_xlfn._xlws.FILTER(C$10:C$25,B$10:B$25=B6,0))</f>
        <v>1305000</v>
      </c>
      <c r="D6" s="290"/>
      <c r="E6" s="340"/>
      <c r="F6" s="293" t="s">
        <v>14</v>
      </c>
      <c r="G6" s="294" cm="1">
        <f t="array" ref="G6">SUM(_xlfn._xlws.FILTER(G$10:G$25,F$10:F$25=F6,0))</f>
        <v>450000</v>
      </c>
    </row>
    <row r="7" spans="1:7" ht="15" hidden="1" x14ac:dyDescent="0.2">
      <c r="A7" s="340"/>
      <c r="B7" s="293" t="s">
        <v>10</v>
      </c>
      <c r="C7" s="303" cm="1">
        <f t="array" ref="C7">SUM(_xlfn._xlws.FILTER(C$10:C$25,B$10:B$25=B7,0))</f>
        <v>0</v>
      </c>
      <c r="D7" s="290"/>
      <c r="E7" s="340"/>
      <c r="F7" s="293" t="s">
        <v>10</v>
      </c>
      <c r="G7" s="303" cm="1">
        <f t="array" ref="G7">SUM(_xlfn._xlws.FILTER(G$10:G$25,F$10:F$25=F7,0))</f>
        <v>0.05</v>
      </c>
    </row>
    <row r="8" spans="1:7" ht="15" hidden="1" x14ac:dyDescent="0.2">
      <c r="A8" s="340"/>
      <c r="B8" s="293" t="s">
        <v>12</v>
      </c>
      <c r="C8" s="294" cm="1">
        <f t="array" ref="C8">SUM(_xlfn._xlws.FILTER(C$10:C$25,B$10:B$25=B8,0))</f>
        <v>0</v>
      </c>
      <c r="D8" s="290"/>
      <c r="E8" s="340"/>
      <c r="F8" s="293" t="s">
        <v>12</v>
      </c>
      <c r="G8" s="294" cm="1">
        <f t="array" ref="G8">SUM(_xlfn._xlws.FILTER(G$10:G$25,F$10:F$25=F8,0))</f>
        <v>22500</v>
      </c>
    </row>
    <row r="9" spans="1:7" ht="15" hidden="1" x14ac:dyDescent="0.2">
      <c r="A9" s="340"/>
      <c r="B9" s="293" t="s">
        <v>11</v>
      </c>
      <c r="C9" s="294" cm="1">
        <f t="array" ref="C9">SUM(_xlfn._xlws.FILTER(C$10:C$25,B$10:B$25=B9,0))</f>
        <v>1305000</v>
      </c>
      <c r="D9" s="290"/>
      <c r="E9" s="340"/>
      <c r="F9" s="293" t="s">
        <v>11</v>
      </c>
      <c r="G9" s="294" cm="1">
        <f t="array" ref="G9">SUM(_xlfn._xlws.FILTER(G$10:G$25,F$10:F$25=F9,0))</f>
        <v>472500</v>
      </c>
    </row>
    <row r="10" spans="1:7" hidden="1" x14ac:dyDescent="0.2">
      <c r="A10" s="337">
        <v>43556</v>
      </c>
      <c r="B10" s="288" t="s">
        <v>5</v>
      </c>
      <c r="C10" s="291" cm="1">
        <f t="array" ref="C10">SUM(_xlfn._xlws.FILTER(CLIENTES!$F11:$K11,(CLIENTES!$F$9:$K$9=$A$1),0))</f>
        <v>500000</v>
      </c>
      <c r="E10" s="337">
        <v>43556</v>
      </c>
      <c r="F10" s="288" t="s">
        <v>5</v>
      </c>
      <c r="G10" s="291" cm="1">
        <f t="array" ref="G10">SUM(_xlfn._xlws.FILTER(CLIENTES!$F11:$K11,(CLIENTES!$F$9:$K$9=$E$1),0))</f>
        <v>500000</v>
      </c>
    </row>
    <row r="11" spans="1:7" hidden="1" x14ac:dyDescent="0.2">
      <c r="A11" s="338"/>
      <c r="B11" s="288" t="s">
        <v>7</v>
      </c>
      <c r="C11" s="304" cm="1">
        <f t="array" ref="C11">SUM(_xlfn._xlws.FILTER(CLIENTES!$F12:$K12,(CLIENTES!$F$9:$K$9=$A$1),0))</f>
        <v>0.2</v>
      </c>
      <c r="E11" s="338"/>
      <c r="F11" s="288" t="s">
        <v>7</v>
      </c>
      <c r="G11" s="304" cm="1">
        <f t="array" ref="G11">SUM(_xlfn._xlws.FILTER(CLIENTES!$F12:$K12,(CLIENTES!$F$9:$K$9=$E$1),0))</f>
        <v>0.1</v>
      </c>
    </row>
    <row r="12" spans="1:7" hidden="1" x14ac:dyDescent="0.2">
      <c r="A12" s="338"/>
      <c r="B12" s="288" t="s">
        <v>6</v>
      </c>
      <c r="C12" s="291" cm="1">
        <f t="array" ref="C12">SUM(_xlfn._xlws.FILTER(CLIENTES!$F13:$K13,(CLIENTES!$F$9:$K$9=$A$1),0))</f>
        <v>50000</v>
      </c>
      <c r="E12" s="338"/>
      <c r="F12" s="288" t="s">
        <v>6</v>
      </c>
      <c r="G12" s="291" cm="1">
        <f t="array" ref="G12">SUM(_xlfn._xlws.FILTER(CLIENTES!$F13:$K13,(CLIENTES!$F$9:$K$9=$E$1),0))</f>
        <v>50000</v>
      </c>
    </row>
    <row r="13" spans="1:7" hidden="1" x14ac:dyDescent="0.2">
      <c r="A13" s="338"/>
      <c r="B13" s="288" t="s">
        <v>9</v>
      </c>
      <c r="C13" s="291" cm="1">
        <f t="array" ref="C13">SUM(_xlfn._xlws.FILTER(CLIENTES!$F14:$K14,(CLIENTES!$F$9:$K$9=$A$1),0))</f>
        <v>0</v>
      </c>
      <c r="E13" s="338"/>
      <c r="F13" s="288" t="s">
        <v>9</v>
      </c>
      <c r="G13" s="291" cm="1">
        <f t="array" ref="G13">SUM(_xlfn._xlws.FILTER(CLIENTES!$F14:$K14,(CLIENTES!$F$9:$K$9=$E$1),0))</f>
        <v>4000</v>
      </c>
    </row>
    <row r="14" spans="1:7" hidden="1" x14ac:dyDescent="0.2">
      <c r="A14" s="338"/>
      <c r="B14" s="288" t="s">
        <v>14</v>
      </c>
      <c r="C14" s="291" cm="1">
        <f t="array" ref="C14">SUM(_xlfn._xlws.FILTER(CLIENTES!$F15:$K15,(CLIENTES!$F$9:$K$9=$A$1),0))</f>
        <v>450000</v>
      </c>
      <c r="E14" s="338"/>
      <c r="F14" s="288" t="s">
        <v>14</v>
      </c>
      <c r="G14" s="291" cm="1">
        <f t="array" ref="G14">SUM(_xlfn._xlws.FILTER(CLIENTES!$F15:$K15,(CLIENTES!$F$9:$K$9=$E$1),0))</f>
        <v>450000</v>
      </c>
    </row>
    <row r="15" spans="1:7" hidden="1" x14ac:dyDescent="0.2">
      <c r="A15" s="338"/>
      <c r="B15" s="288" t="s">
        <v>10</v>
      </c>
      <c r="C15" s="304" cm="1">
        <f t="array" ref="C15">SUM(_xlfn._xlws.FILTER(CLIENTES!$F16:$K16,(CLIENTES!$F$9:$K$9=$A$1),0))</f>
        <v>0</v>
      </c>
      <c r="E15" s="338"/>
      <c r="F15" s="288" t="s">
        <v>10</v>
      </c>
      <c r="G15" s="304" cm="1">
        <f t="array" ref="G15">SUM(_xlfn._xlws.FILTER(CLIENTES!$F16:$K16,(CLIENTES!$F$9:$K$9=$E$1),0))</f>
        <v>0.05</v>
      </c>
    </row>
    <row r="16" spans="1:7" hidden="1" x14ac:dyDescent="0.2">
      <c r="A16" s="338"/>
      <c r="B16" s="288" t="s">
        <v>12</v>
      </c>
      <c r="C16" s="291" cm="1">
        <f t="array" ref="C16">SUM(_xlfn._xlws.FILTER(CLIENTES!$F17:$K17,(CLIENTES!$F$9:$K$9=$A$1),0))</f>
        <v>0</v>
      </c>
      <c r="E16" s="338"/>
      <c r="F16" s="288" t="s">
        <v>12</v>
      </c>
      <c r="G16" s="291" cm="1">
        <f t="array" ref="G16">SUM(_xlfn._xlws.FILTER(CLIENTES!$F17:$K17,(CLIENTES!$F$9:$K$9=$E$1),0))</f>
        <v>22500</v>
      </c>
    </row>
    <row r="17" spans="1:7" hidden="1" x14ac:dyDescent="0.2">
      <c r="A17" s="339"/>
      <c r="B17" s="288" t="s">
        <v>11</v>
      </c>
      <c r="C17" s="291" cm="1">
        <f t="array" ref="C17">SUM(_xlfn._xlws.FILTER(CLIENTES!$F18:$K18,(CLIENTES!$F$9:$K$9=$A$1),0))</f>
        <v>450000</v>
      </c>
      <c r="E17" s="339"/>
      <c r="F17" s="288" t="s">
        <v>11</v>
      </c>
      <c r="G17" s="291" cm="1">
        <f t="array" ref="G17">SUM(_xlfn._xlws.FILTER(CLIENTES!$F18:$K18,(CLIENTES!$F$9:$K$9=$E$1),0))</f>
        <v>472500</v>
      </c>
    </row>
    <row r="18" spans="1:7" hidden="1" x14ac:dyDescent="0.2">
      <c r="A18" s="337">
        <v>43586</v>
      </c>
      <c r="B18" s="288" t="s">
        <v>5</v>
      </c>
      <c r="C18" s="291" cm="1">
        <f t="array" ref="C18">SUM(_xlfn._xlws.FILTER(CLIENTES!$F19:$K19,(CLIENTES!$F$9:$K$9=$A$1),0))</f>
        <v>450000</v>
      </c>
      <c r="E18" s="337">
        <v>43586</v>
      </c>
      <c r="F18" s="288" t="s">
        <v>5</v>
      </c>
      <c r="G18" s="291" cm="1">
        <f t="array" ref="G18">SUM(_xlfn._xlws.FILTER(CLIENTES!$F19:$K19,(CLIENTES!$F$9:$K$9=$E$1),0))</f>
        <v>0</v>
      </c>
    </row>
    <row r="19" spans="1:7" hidden="1" x14ac:dyDescent="0.2">
      <c r="A19" s="338"/>
      <c r="B19" s="288" t="s">
        <v>7</v>
      </c>
      <c r="C19" s="304" cm="1">
        <f t="array" ref="C19">SUM(_xlfn._xlws.FILTER(CLIENTES!$F20:$K20,(CLIENTES!$F$9:$K$9=$A$1),0))</f>
        <v>0.2</v>
      </c>
      <c r="E19" s="338"/>
      <c r="F19" s="288" t="s">
        <v>7</v>
      </c>
      <c r="G19" s="304" cm="1">
        <f t="array" ref="G19">SUM(_xlfn._xlws.FILTER(CLIENTES!$F20:$K20,(CLIENTES!$F$9:$K$9=$E$1),0))</f>
        <v>0.1</v>
      </c>
    </row>
    <row r="20" spans="1:7" hidden="1" x14ac:dyDescent="0.2">
      <c r="A20" s="338"/>
      <c r="B20" s="288" t="s">
        <v>6</v>
      </c>
      <c r="C20" s="291" cm="1">
        <f t="array" ref="C20">SUM(_xlfn._xlws.FILTER(CLIENTES!$F21:$K21,(CLIENTES!$F$9:$K$9=$A$1),0))</f>
        <v>95000</v>
      </c>
      <c r="E20" s="338"/>
      <c r="F20" s="288" t="s">
        <v>6</v>
      </c>
      <c r="G20" s="291" cm="1">
        <f t="array" ref="G20">SUM(_xlfn._xlws.FILTER(CLIENTES!$F21:$K21,(CLIENTES!$F$9:$K$9=$E$1),0))</f>
        <v>0</v>
      </c>
    </row>
    <row r="21" spans="1:7" hidden="1" x14ac:dyDescent="0.2">
      <c r="A21" s="338"/>
      <c r="B21" s="288" t="s">
        <v>9</v>
      </c>
      <c r="C21" s="291" cm="1">
        <f t="array" ref="C21">SUM(_xlfn._xlws.FILTER(CLIENTES!$F22:$K22,(CLIENTES!$F$9:$K$9=$A$1),0))</f>
        <v>45000</v>
      </c>
      <c r="E21" s="338"/>
      <c r="F21" s="288" t="s">
        <v>9</v>
      </c>
      <c r="G21" s="291" cm="1">
        <f t="array" ref="G21">SUM(_xlfn._xlws.FILTER(CLIENTES!$F22:$K22,(CLIENTES!$F$9:$K$9=$E$1),0))</f>
        <v>300</v>
      </c>
    </row>
    <row r="22" spans="1:7" hidden="1" x14ac:dyDescent="0.2">
      <c r="A22" s="338"/>
      <c r="B22" s="288" t="s">
        <v>14</v>
      </c>
      <c r="C22" s="291" cm="1">
        <f t="array" ref="C22">SUM(_xlfn._xlws.FILTER(CLIENTES!$F23:$K23,(CLIENTES!$F$9:$K$9=$A$1),0))</f>
        <v>855000</v>
      </c>
      <c r="E22" s="338"/>
      <c r="F22" s="288" t="s">
        <v>14</v>
      </c>
      <c r="G22" s="291" cm="1">
        <f t="array" ref="G22">SUM(_xlfn._xlws.FILTER(CLIENTES!$F23:$K23,(CLIENTES!$F$9:$K$9=$E$1),0))</f>
        <v>0</v>
      </c>
    </row>
    <row r="23" spans="1:7" hidden="1" x14ac:dyDescent="0.2">
      <c r="A23" s="338"/>
      <c r="B23" s="288" t="s">
        <v>10</v>
      </c>
      <c r="C23" s="304" cm="1">
        <f t="array" ref="C23">SUM(_xlfn._xlws.FILTER(CLIENTES!$F24:$K24,(CLIENTES!$F$9:$K$9=$A$1),0))</f>
        <v>0</v>
      </c>
      <c r="E23" s="338"/>
      <c r="F23" s="288" t="s">
        <v>10</v>
      </c>
      <c r="G23" s="304" cm="1">
        <f t="array" ref="G23">SUM(_xlfn._xlws.FILTER(CLIENTES!$F24:$K24,(CLIENTES!$F$9:$K$9=$E$1),0))</f>
        <v>0</v>
      </c>
    </row>
    <row r="24" spans="1:7" hidden="1" x14ac:dyDescent="0.2">
      <c r="A24" s="338"/>
      <c r="B24" s="288" t="s">
        <v>12</v>
      </c>
      <c r="C24" s="291" cm="1">
        <f t="array" ref="C24">SUM(_xlfn._xlws.FILTER(CLIENTES!$F25:$K25,(CLIENTES!$F$9:$K$9=$A$1),0))</f>
        <v>0</v>
      </c>
      <c r="E24" s="338"/>
      <c r="F24" s="288" t="s">
        <v>12</v>
      </c>
      <c r="G24" s="291" cm="1">
        <f t="array" ref="G24">SUM(_xlfn._xlws.FILTER(CLIENTES!$F25:$K25,(CLIENTES!$F$9:$K$9=$E$1),0))</f>
        <v>0</v>
      </c>
    </row>
    <row r="25" spans="1:7" hidden="1" x14ac:dyDescent="0.2">
      <c r="A25" s="339"/>
      <c r="B25" s="288" t="s">
        <v>11</v>
      </c>
      <c r="C25" s="291" cm="1">
        <f t="array" ref="C25">SUM(_xlfn._xlws.FILTER(CLIENTES!$F26:$K26,(CLIENTES!$F$9:$K$9=$A$1),0))</f>
        <v>855000</v>
      </c>
      <c r="E25" s="339"/>
      <c r="F25" s="288" t="s">
        <v>11</v>
      </c>
      <c r="G25" s="291" cm="1">
        <f t="array" ref="G25">SUM(_xlfn._xlws.FILTER(CLIENTES!$F26:$K26,(CLIENTES!$F$9:$K$9=$E$1),0))</f>
        <v>0</v>
      </c>
    </row>
    <row r="26" spans="1:7" hidden="1" x14ac:dyDescent="0.2">
      <c r="A26" s="337">
        <v>43617</v>
      </c>
      <c r="B26" s="288" t="s">
        <v>5</v>
      </c>
      <c r="C26" s="291" cm="1">
        <f t="array" ref="C26">SUM(_xlfn._xlws.FILTER(CLIENTES!$F27:$K27,(CLIENTES!$F$9:$K$9=$A$1),0))</f>
        <v>0</v>
      </c>
      <c r="E26" s="337">
        <v>43617</v>
      </c>
      <c r="F26" s="288" t="s">
        <v>5</v>
      </c>
      <c r="G26" s="291" cm="1">
        <f t="array" ref="G26">SUM(_xlfn._xlws.FILTER(CLIENTES!$F27:$K27,(CLIENTES!$F$9:$K$9=$E$1),0))</f>
        <v>0</v>
      </c>
    </row>
    <row r="27" spans="1:7" hidden="1" x14ac:dyDescent="0.2">
      <c r="A27" s="338"/>
      <c r="B27" s="288" t="s">
        <v>7</v>
      </c>
      <c r="C27" s="304" cm="1">
        <f t="array" ref="C27">SUM(_xlfn._xlws.FILTER(CLIENTES!$F28:$K28,(CLIENTES!$F$9:$K$9=$A$1),0))</f>
        <v>0.2</v>
      </c>
      <c r="E27" s="338"/>
      <c r="F27" s="288" t="s">
        <v>7</v>
      </c>
      <c r="G27" s="304" cm="1">
        <f t="array" ref="G27">SUM(_xlfn._xlws.FILTER(CLIENTES!$F28:$K28,(CLIENTES!$F$9:$K$9=$E$1),0))</f>
        <v>0.1</v>
      </c>
    </row>
    <row r="28" spans="1:7" hidden="1" x14ac:dyDescent="0.2">
      <c r="A28" s="338"/>
      <c r="B28" s="288" t="s">
        <v>6</v>
      </c>
      <c r="C28" s="291" cm="1">
        <f t="array" ref="C28">SUM(_xlfn._xlws.FILTER(CLIENTES!$F29:$K29,(CLIENTES!$F$9:$K$9=$A$1),0))</f>
        <v>95000</v>
      </c>
      <c r="E28" s="338"/>
      <c r="F28" s="288" t="s">
        <v>6</v>
      </c>
      <c r="G28" s="291" cm="1">
        <f t="array" ref="G28">SUM(_xlfn._xlws.FILTER(CLIENTES!$F29:$K29,(CLIENTES!$F$9:$K$9=$E$1),0))</f>
        <v>0</v>
      </c>
    </row>
    <row r="29" spans="1:7" hidden="1" x14ac:dyDescent="0.2">
      <c r="A29" s="338"/>
      <c r="B29" s="288" t="s">
        <v>9</v>
      </c>
      <c r="C29" s="291" cm="1">
        <f t="array" ref="C29">SUM(_xlfn._xlws.FILTER(CLIENTES!$F30:$K30,(CLIENTES!$F$9:$K$9=$A$1),0))</f>
        <v>0</v>
      </c>
      <c r="E29" s="338"/>
      <c r="F29" s="288" t="s">
        <v>9</v>
      </c>
      <c r="G29" s="291" cm="1">
        <f t="array" ref="G29">SUM(_xlfn._xlws.FILTER(CLIENTES!$F30:$K30,(CLIENTES!$F$9:$K$9=$E$1),0))</f>
        <v>1000</v>
      </c>
    </row>
    <row r="30" spans="1:7" hidden="1" x14ac:dyDescent="0.2">
      <c r="A30" s="338"/>
      <c r="B30" s="288" t="s">
        <v>14</v>
      </c>
      <c r="C30" s="291" cm="1">
        <f t="array" ref="C30">SUM(_xlfn._xlws.FILTER(CLIENTES!$F31:$K31,(CLIENTES!$F$9:$K$9=$A$1),0))</f>
        <v>855000</v>
      </c>
      <c r="E30" s="338"/>
      <c r="F30" s="288" t="s">
        <v>14</v>
      </c>
      <c r="G30" s="291" cm="1">
        <f t="array" ref="G30">SUM(_xlfn._xlws.FILTER(CLIENTES!$F31:$K31,(CLIENTES!$F$9:$K$9=$E$1),0))</f>
        <v>0</v>
      </c>
    </row>
    <row r="31" spans="1:7" hidden="1" x14ac:dyDescent="0.2">
      <c r="A31" s="338"/>
      <c r="B31" s="288" t="s">
        <v>10</v>
      </c>
      <c r="C31" s="304" cm="1">
        <f t="array" ref="C31">SUM(_xlfn._xlws.FILTER(CLIENTES!$F32:$K32,(CLIENTES!$F$9:$K$9=$A$1),0))</f>
        <v>0</v>
      </c>
      <c r="E31" s="338"/>
      <c r="F31" s="288" t="s">
        <v>10</v>
      </c>
      <c r="G31" s="304" cm="1">
        <f t="array" ref="G31">SUM(_xlfn._xlws.FILTER(CLIENTES!$F32:$K32,(CLIENTES!$F$9:$K$9=$E$1),0))</f>
        <v>0</v>
      </c>
    </row>
    <row r="32" spans="1:7" hidden="1" x14ac:dyDescent="0.2">
      <c r="A32" s="338"/>
      <c r="B32" s="288" t="s">
        <v>12</v>
      </c>
      <c r="C32" s="291" cm="1">
        <f t="array" ref="C32">SUM(_xlfn._xlws.FILTER(CLIENTES!$F33:$K33,(CLIENTES!$F$9:$K$9=$A$1),0))</f>
        <v>0</v>
      </c>
      <c r="E32" s="338"/>
      <c r="F32" s="288" t="s">
        <v>12</v>
      </c>
      <c r="G32" s="291" cm="1">
        <f t="array" ref="G32">SUM(_xlfn._xlws.FILTER(CLIENTES!$F33:$K33,(CLIENTES!$F$9:$K$9=$E$1),0))</f>
        <v>0</v>
      </c>
    </row>
    <row r="33" spans="1:7" hidden="1" x14ac:dyDescent="0.2">
      <c r="A33" s="339"/>
      <c r="B33" s="288" t="s">
        <v>11</v>
      </c>
      <c r="C33" s="291" cm="1">
        <f t="array" ref="C33">SUM(_xlfn._xlws.FILTER(CLIENTES!$F34:$K34,(CLIENTES!$F$9:$K$9=$A$1),0))</f>
        <v>855000</v>
      </c>
      <c r="E33" s="339"/>
      <c r="F33" s="288" t="s">
        <v>11</v>
      </c>
      <c r="G33" s="291" cm="1">
        <f t="array" ref="G33">SUM(_xlfn._xlws.FILTER(CLIENTES!$F34:$K34,(CLIENTES!$F$9:$K$9=$E$1),0))</f>
        <v>0</v>
      </c>
    </row>
    <row r="34" spans="1:7" hidden="1" x14ac:dyDescent="0.2">
      <c r="A34" s="336">
        <v>43647</v>
      </c>
      <c r="B34" s="288" t="s">
        <v>5</v>
      </c>
      <c r="C34" s="291" cm="1">
        <f t="array" ref="C34">SUM(_xlfn._xlws.FILTER(CLIENTES!$F35:$K35,(CLIENTES!$F$9:$K$9=$A$1),0))</f>
        <v>0</v>
      </c>
      <c r="E34" s="336">
        <v>43647</v>
      </c>
      <c r="F34" s="288" t="s">
        <v>5</v>
      </c>
      <c r="G34" s="291" cm="1">
        <f t="array" ref="G34">SUM(_xlfn._xlws.FILTER(CLIENTES!$F35:$K35,(CLIENTES!$F$9:$K$9=$E$1),0))</f>
        <v>0</v>
      </c>
    </row>
    <row r="35" spans="1:7" hidden="1" x14ac:dyDescent="0.2">
      <c r="A35" s="336"/>
      <c r="B35" s="288" t="s">
        <v>7</v>
      </c>
      <c r="C35" s="304" cm="1">
        <f t="array" ref="C35">SUM(_xlfn._xlws.FILTER(CLIENTES!$F36:$K36,(CLIENTES!$F$9:$K$9=$A$1),0))</f>
        <v>0.2</v>
      </c>
      <c r="E35" s="336"/>
      <c r="F35" s="288" t="s">
        <v>7</v>
      </c>
      <c r="G35" s="304" cm="1">
        <f t="array" ref="G35">SUM(_xlfn._xlws.FILTER(CLIENTES!$F36:$K36,(CLIENTES!$F$9:$K$9=$E$1),0))</f>
        <v>0.1</v>
      </c>
    </row>
    <row r="36" spans="1:7" hidden="1" x14ac:dyDescent="0.2">
      <c r="A36" s="336"/>
      <c r="B36" s="288" t="s">
        <v>6</v>
      </c>
      <c r="C36" s="291" cm="1">
        <f t="array" ref="C36">SUM(_xlfn._xlws.FILTER(CLIENTES!$F37:$K37,(CLIENTES!$F$9:$K$9=$A$1),0))</f>
        <v>95000</v>
      </c>
      <c r="E36" s="336"/>
      <c r="F36" s="288" t="s">
        <v>6</v>
      </c>
      <c r="G36" s="291" cm="1">
        <f t="array" ref="G36">SUM(_xlfn._xlws.FILTER(CLIENTES!$F37:$K37,(CLIENTES!$F$9:$K$9=$E$1),0))</f>
        <v>0</v>
      </c>
    </row>
    <row r="37" spans="1:7" hidden="1" x14ac:dyDescent="0.2">
      <c r="A37" s="336"/>
      <c r="B37" s="288" t="s">
        <v>9</v>
      </c>
      <c r="C37" s="291" cm="1">
        <f t="array" ref="C37">SUM(_xlfn._xlws.FILTER(CLIENTES!$F38:$K38,(CLIENTES!$F$9:$K$9=$A$1),0))</f>
        <v>0</v>
      </c>
      <c r="E37" s="336"/>
      <c r="F37" s="288" t="s">
        <v>9</v>
      </c>
      <c r="G37" s="291" cm="1">
        <f t="array" ref="G37">SUM(_xlfn._xlws.FILTER(CLIENTES!$F38:$K38,(CLIENTES!$F$9:$K$9=$E$1),0))</f>
        <v>150</v>
      </c>
    </row>
    <row r="38" spans="1:7" hidden="1" x14ac:dyDescent="0.2">
      <c r="A38" s="336"/>
      <c r="B38" s="288" t="s">
        <v>14</v>
      </c>
      <c r="C38" s="291" cm="1">
        <f t="array" ref="C38">SUM(_xlfn._xlws.FILTER(CLIENTES!$F39:$K39,(CLIENTES!$F$9:$K$9=$A$1),0))</f>
        <v>855000</v>
      </c>
      <c r="E38" s="336"/>
      <c r="F38" s="288" t="s">
        <v>14</v>
      </c>
      <c r="G38" s="291" cm="1">
        <f t="array" ref="G38">SUM(_xlfn._xlws.FILTER(CLIENTES!$F39:$K39,(CLIENTES!$F$9:$K$9=$E$1),0))</f>
        <v>-150</v>
      </c>
    </row>
    <row r="39" spans="1:7" hidden="1" x14ac:dyDescent="0.2">
      <c r="A39" s="336"/>
      <c r="B39" s="288" t="s">
        <v>10</v>
      </c>
      <c r="C39" s="304" cm="1">
        <f t="array" ref="C39">SUM(_xlfn._xlws.FILTER(CLIENTES!$F40:$K40,(CLIENTES!$F$9:$K$9=$A$1),0))</f>
        <v>5.9999999999999995E-4</v>
      </c>
      <c r="E39" s="336"/>
      <c r="F39" s="288" t="s">
        <v>10</v>
      </c>
      <c r="G39" s="304" cm="1">
        <f t="array" ref="G39">SUM(_xlfn._xlws.FILTER(CLIENTES!$F40:$K40,(CLIENTES!$F$9:$K$9=$E$1),0))</f>
        <v>2.9999999999999997E-4</v>
      </c>
    </row>
    <row r="40" spans="1:7" hidden="1" x14ac:dyDescent="0.2">
      <c r="A40" s="336"/>
      <c r="B40" s="288" t="s">
        <v>12</v>
      </c>
      <c r="C40" s="291" cm="1">
        <f t="array" ref="C40">SUM(_xlfn._xlws.FILTER(CLIENTES!$F41:$K41,(CLIENTES!$F$9:$K$9=$A$1),0))</f>
        <v>256.5</v>
      </c>
      <c r="E40" s="336"/>
      <c r="F40" s="288" t="s">
        <v>12</v>
      </c>
      <c r="G40" s="291" cm="1">
        <f t="array" ref="G40">SUM(_xlfn._xlws.FILTER(CLIENTES!$F41:$K41,(CLIENTES!$F$9:$K$9=$E$1),0))</f>
        <v>-4.4999999999999998E-2</v>
      </c>
    </row>
    <row r="41" spans="1:7" hidden="1" x14ac:dyDescent="0.2">
      <c r="A41" s="336"/>
      <c r="B41" s="288" t="s">
        <v>11</v>
      </c>
      <c r="C41" s="291" cm="1">
        <f t="array" ref="C41">SUM(_xlfn._xlws.FILTER(CLIENTES!$F42:$K42,(CLIENTES!$F$9:$K$9=$A$1),0))</f>
        <v>855256.5</v>
      </c>
      <c r="E41" s="336"/>
      <c r="F41" s="288" t="s">
        <v>11</v>
      </c>
      <c r="G41" s="291" cm="1">
        <f t="array" ref="G41">SUM(_xlfn._xlws.FILTER(CLIENTES!$F42:$K42,(CLIENTES!$F$9:$K$9=$E$1),0))</f>
        <v>-150.04499999999999</v>
      </c>
    </row>
    <row r="42" spans="1:7" hidden="1" x14ac:dyDescent="0.2">
      <c r="A42" s="337">
        <v>43678</v>
      </c>
      <c r="B42" s="288" t="s">
        <v>5</v>
      </c>
      <c r="C42" s="291" cm="1">
        <f t="array" ref="C42">SUM(_xlfn._xlws.FILTER(CLIENTES!$F43:$K43,(CLIENTES!$F$9:$K$9=$A$1),0))</f>
        <v>0</v>
      </c>
      <c r="E42" s="337">
        <v>43678</v>
      </c>
      <c r="F42" s="288" t="s">
        <v>5</v>
      </c>
      <c r="G42" s="291" cm="1">
        <f t="array" ref="G42">SUM(_xlfn._xlws.FILTER(CLIENTES!$F43:$K43,(CLIENTES!$F$9:$K$9=$E$1),0))</f>
        <v>0</v>
      </c>
    </row>
    <row r="43" spans="1:7" hidden="1" x14ac:dyDescent="0.2">
      <c r="A43" s="338"/>
      <c r="B43" s="288" t="s">
        <v>7</v>
      </c>
      <c r="C43" s="304" cm="1">
        <f t="array" ref="C43">SUM(_xlfn._xlws.FILTER(CLIENTES!$F44:$K44,(CLIENTES!$F$9:$K$9=$A$1),0))</f>
        <v>0.2</v>
      </c>
      <c r="E43" s="338"/>
      <c r="F43" s="288" t="s">
        <v>7</v>
      </c>
      <c r="G43" s="304" cm="1">
        <f t="array" ref="G43">SUM(_xlfn._xlws.FILTER(CLIENTES!$F44:$K44,(CLIENTES!$F$9:$K$9=$E$1),0))</f>
        <v>0.1</v>
      </c>
    </row>
    <row r="44" spans="1:7" hidden="1" x14ac:dyDescent="0.2">
      <c r="A44" s="338"/>
      <c r="B44" s="288" t="s">
        <v>6</v>
      </c>
      <c r="C44" s="291" cm="1">
        <f t="array" ref="C44">SUM(_xlfn._xlws.FILTER(CLIENTES!$F45:$K45,(CLIENTES!$F$9:$K$9=$A$1),0))</f>
        <v>95000</v>
      </c>
      <c r="E44" s="338"/>
      <c r="F44" s="288" t="s">
        <v>6</v>
      </c>
      <c r="G44" s="291" cm="1">
        <f t="array" ref="G44">SUM(_xlfn._xlws.FILTER(CLIENTES!$F45:$K45,(CLIENTES!$F$9:$K$9=$E$1),0))</f>
        <v>0</v>
      </c>
    </row>
    <row r="45" spans="1:7" hidden="1" x14ac:dyDescent="0.2">
      <c r="A45" s="338"/>
      <c r="B45" s="288" t="s">
        <v>9</v>
      </c>
      <c r="C45" s="291" cm="1">
        <f t="array" ref="C45">SUM(_xlfn._xlws.FILTER(CLIENTES!$F46:$K46,(CLIENTES!$F$9:$K$9=$A$1),0))</f>
        <v>0</v>
      </c>
      <c r="E45" s="338"/>
      <c r="F45" s="288" t="s">
        <v>9</v>
      </c>
      <c r="G45" s="291" cm="1">
        <f t="array" ref="G45">SUM(_xlfn._xlws.FILTER(CLIENTES!$F46:$K46,(CLIENTES!$F$9:$K$9=$E$1),0))</f>
        <v>0</v>
      </c>
    </row>
    <row r="46" spans="1:7" hidden="1" x14ac:dyDescent="0.2">
      <c r="A46" s="338"/>
      <c r="B46" s="288" t="s">
        <v>14</v>
      </c>
      <c r="C46" s="291" cm="1">
        <f t="array" ref="C46">SUM(_xlfn._xlws.FILTER(CLIENTES!$F47:$K47,(CLIENTES!$F$9:$K$9=$A$1),0))</f>
        <v>855256.5</v>
      </c>
      <c r="E46" s="338"/>
      <c r="F46" s="288" t="s">
        <v>14</v>
      </c>
      <c r="G46" s="291" cm="1">
        <f t="array" ref="G46">SUM(_xlfn._xlws.FILTER(CLIENTES!$F47:$K47,(CLIENTES!$F$9:$K$9=$E$1),0))</f>
        <v>-150.04499999999999</v>
      </c>
    </row>
    <row r="47" spans="1:7" hidden="1" x14ac:dyDescent="0.2">
      <c r="A47" s="338"/>
      <c r="B47" s="288" t="s">
        <v>10</v>
      </c>
      <c r="C47" s="304" cm="1">
        <f t="array" ref="C47">SUM(_xlfn._xlws.FILTER(CLIENTES!$F48:$K48,(CLIENTES!$F$9:$K$9=$A$1),0))</f>
        <v>1.7600000000000001E-2</v>
      </c>
      <c r="E47" s="338"/>
      <c r="F47" s="288" t="s">
        <v>10</v>
      </c>
      <c r="G47" s="304" cm="1">
        <f t="array" ref="G47">SUM(_xlfn._xlws.FILTER(CLIENTES!$F48:$K48,(CLIENTES!$F$9:$K$9=$E$1),0))</f>
        <v>8.8000000000000005E-3</v>
      </c>
    </row>
    <row r="48" spans="1:7" hidden="1" x14ac:dyDescent="0.2">
      <c r="A48" s="338"/>
      <c r="B48" s="288" t="s">
        <v>12</v>
      </c>
      <c r="C48" s="291" cm="1">
        <f t="array" ref="C48">SUM(_xlfn._xlws.FILTER(CLIENTES!$F49:$K49,(CLIENTES!$F$9:$K$9=$A$1),0))</f>
        <v>7526.2572</v>
      </c>
      <c r="E48" s="338"/>
      <c r="F48" s="288" t="s">
        <v>12</v>
      </c>
      <c r="G48" s="291" cm="1">
        <f t="array" ref="G48">SUM(_xlfn._xlws.FILTER(CLIENTES!$F49:$K49,(CLIENTES!$F$9:$K$9=$E$1),0))</f>
        <v>-1.3203959999999999</v>
      </c>
    </row>
    <row r="49" spans="1:7" hidden="1" x14ac:dyDescent="0.2">
      <c r="A49" s="339"/>
      <c r="B49" s="288" t="s">
        <v>11</v>
      </c>
      <c r="C49" s="291" cm="1">
        <f t="array" ref="C49">SUM(_xlfn._xlws.FILTER(CLIENTES!$F50:$K50,(CLIENTES!$F$9:$K$9=$A$1),0))</f>
        <v>862782.75720000011</v>
      </c>
      <c r="E49" s="339"/>
      <c r="F49" s="288" t="s">
        <v>11</v>
      </c>
      <c r="G49" s="291" cm="1">
        <f t="array" ref="G49">SUM(_xlfn._xlws.FILTER(CLIENTES!$F50:$K50,(CLIENTES!$F$9:$K$9=$E$1),0))</f>
        <v>-151.36539599999998</v>
      </c>
    </row>
    <row r="50" spans="1:7" hidden="1" x14ac:dyDescent="0.2">
      <c r="A50" s="336">
        <v>43709</v>
      </c>
      <c r="B50" s="288" t="s">
        <v>5</v>
      </c>
      <c r="C50" s="291" cm="1">
        <f t="array" ref="C50">SUM(_xlfn._xlws.FILTER(CLIENTES!$F51:$K51,(CLIENTES!$F$9:$K$9=$A$1),0))</f>
        <v>0</v>
      </c>
      <c r="E50" s="336">
        <v>43709</v>
      </c>
      <c r="F50" s="288" t="s">
        <v>5</v>
      </c>
      <c r="G50" s="291" cm="1">
        <f t="array" ref="G50">SUM(_xlfn._xlws.FILTER(CLIENTES!$F51:$K51,(CLIENTES!$F$9:$K$9=$E$1),0))</f>
        <v>0</v>
      </c>
    </row>
    <row r="51" spans="1:7" hidden="1" x14ac:dyDescent="0.2">
      <c r="A51" s="336"/>
      <c r="B51" s="288" t="s">
        <v>7</v>
      </c>
      <c r="C51" s="304" cm="1">
        <f t="array" ref="C51">SUM(_xlfn._xlws.FILTER(CLIENTES!$F52:$K52,(CLIENTES!$F$9:$K$9=$A$1),0))</f>
        <v>0.2</v>
      </c>
      <c r="E51" s="336"/>
      <c r="F51" s="288" t="s">
        <v>7</v>
      </c>
      <c r="G51" s="304" cm="1">
        <f t="array" ref="G51">SUM(_xlfn._xlws.FILTER(CLIENTES!$F52:$K52,(CLIENTES!$F$9:$K$9=$E$1),0))</f>
        <v>0.1</v>
      </c>
    </row>
    <row r="52" spans="1:7" hidden="1" x14ac:dyDescent="0.2">
      <c r="A52" s="336"/>
      <c r="B52" s="288" t="s">
        <v>6</v>
      </c>
      <c r="C52" s="291" cm="1">
        <f t="array" ref="C52">SUM(_xlfn._xlws.FILTER(CLIENTES!$F53:$K53,(CLIENTES!$F$9:$K$9=$A$1),0))</f>
        <v>95000</v>
      </c>
      <c r="E52" s="336"/>
      <c r="F52" s="288" t="s">
        <v>6</v>
      </c>
      <c r="G52" s="291" cm="1">
        <f t="array" ref="G52">SUM(_xlfn._xlws.FILTER(CLIENTES!$F53:$K53,(CLIENTES!$F$9:$K$9=$E$1),0))</f>
        <v>0</v>
      </c>
    </row>
    <row r="53" spans="1:7" hidden="1" x14ac:dyDescent="0.2">
      <c r="A53" s="336"/>
      <c r="B53" s="288" t="s">
        <v>9</v>
      </c>
      <c r="C53" s="291" cm="1">
        <f t="array" ref="C53">SUM(_xlfn._xlws.FILTER(CLIENTES!$F54:$K54,(CLIENTES!$F$9:$K$9=$A$1),0))</f>
        <v>0</v>
      </c>
      <c r="E53" s="336"/>
      <c r="F53" s="288" t="s">
        <v>9</v>
      </c>
      <c r="G53" s="291" cm="1">
        <f t="array" ref="G53">SUM(_xlfn._xlws.FILTER(CLIENTES!$F54:$K54,(CLIENTES!$F$9:$K$9=$E$1),0))</f>
        <v>0</v>
      </c>
    </row>
    <row r="54" spans="1:7" hidden="1" x14ac:dyDescent="0.2">
      <c r="A54" s="336"/>
      <c r="B54" s="288" t="s">
        <v>14</v>
      </c>
      <c r="C54" s="291" cm="1">
        <f t="array" ref="C54">SUM(_xlfn._xlws.FILTER(CLIENTES!$F55:$K55,(CLIENTES!$F$9:$K$9=$A$1),0))</f>
        <v>862782.75720000011</v>
      </c>
      <c r="E54" s="336"/>
      <c r="F54" s="288" t="s">
        <v>14</v>
      </c>
      <c r="G54" s="291" cm="1">
        <f t="array" ref="G54">SUM(_xlfn._xlws.FILTER(CLIENTES!$F55:$K55,(CLIENTES!$F$9:$K$9=$E$1),0))</f>
        <v>-151.36539599999998</v>
      </c>
    </row>
    <row r="55" spans="1:7" hidden="1" x14ac:dyDescent="0.2">
      <c r="A55" s="336"/>
      <c r="B55" s="288" t="s">
        <v>10</v>
      </c>
      <c r="C55" s="304" cm="1">
        <f t="array" ref="C55">SUM(_xlfn._xlws.FILTER(CLIENTES!$F56:$K56,(CLIENTES!$F$9:$K$9=$A$1),0))</f>
        <v>1.1599999999999999E-2</v>
      </c>
      <c r="E55" s="336"/>
      <c r="F55" s="288" t="s">
        <v>10</v>
      </c>
      <c r="G55" s="304" cm="1">
        <f t="array" ref="G55">SUM(_xlfn._xlws.FILTER(CLIENTES!$F56:$K56,(CLIENTES!$F$9:$K$9=$E$1),0))</f>
        <v>5.7999999999999996E-3</v>
      </c>
    </row>
    <row r="56" spans="1:7" hidden="1" x14ac:dyDescent="0.2">
      <c r="A56" s="336"/>
      <c r="B56" s="288" t="s">
        <v>12</v>
      </c>
      <c r="C56" s="291" cm="1">
        <f t="array" ref="C56">SUM(_xlfn._xlws.FILTER(CLIENTES!$F57:$K57,(CLIENTES!$F$9:$K$9=$A$1),0))</f>
        <v>5004.1399917600002</v>
      </c>
      <c r="E56" s="336"/>
      <c r="F56" s="288" t="s">
        <v>12</v>
      </c>
      <c r="G56" s="291" cm="1">
        <f t="array" ref="G56">SUM(_xlfn._xlws.FILTER(CLIENTES!$F57:$K57,(CLIENTES!$F$9:$K$9=$E$1),0))</f>
        <v>-0.8779192967999998</v>
      </c>
    </row>
    <row r="57" spans="1:7" hidden="1" x14ac:dyDescent="0.2">
      <c r="A57" s="336"/>
      <c r="B57" s="288" t="s">
        <v>11</v>
      </c>
      <c r="C57" s="291" cm="1">
        <f t="array" ref="C57">SUM(_xlfn._xlws.FILTER(CLIENTES!$F58:$K58,(CLIENTES!$F$9:$K$9=$A$1),0))</f>
        <v>867786.89719176013</v>
      </c>
      <c r="E57" s="336"/>
      <c r="F57" s="288" t="s">
        <v>11</v>
      </c>
      <c r="G57" s="291" cm="1">
        <f t="array" ref="G57">SUM(_xlfn._xlws.FILTER(CLIENTES!$F58:$K58,(CLIENTES!$F$9:$K$9=$E$1),0))</f>
        <v>-152.24331529679998</v>
      </c>
    </row>
    <row r="58" spans="1:7" hidden="1" x14ac:dyDescent="0.2">
      <c r="A58" s="337">
        <v>43739</v>
      </c>
      <c r="B58" s="288" t="s">
        <v>5</v>
      </c>
      <c r="C58" s="291" cm="1">
        <f t="array" ref="C58">SUM(_xlfn._xlws.FILTER(CLIENTES!$F59:$K59,(CLIENTES!$F$9:$K$9=$A$1),0))</f>
        <v>0</v>
      </c>
      <c r="E58" s="337">
        <v>43739</v>
      </c>
      <c r="F58" s="288" t="s">
        <v>5</v>
      </c>
      <c r="G58" s="291" cm="1">
        <f t="array" ref="G58">SUM(_xlfn._xlws.FILTER(CLIENTES!$F59:$K59,(CLIENTES!$F$9:$K$9=$E$1),0))</f>
        <v>0</v>
      </c>
    </row>
    <row r="59" spans="1:7" hidden="1" x14ac:dyDescent="0.2">
      <c r="A59" s="338"/>
      <c r="B59" s="288" t="s">
        <v>7</v>
      </c>
      <c r="C59" s="304" cm="1">
        <f t="array" ref="C59">SUM(_xlfn._xlws.FILTER(CLIENTES!$F60:$K60,(CLIENTES!$F$9:$K$9=$A$1),0))</f>
        <v>0.2</v>
      </c>
      <c r="E59" s="338"/>
      <c r="F59" s="288" t="s">
        <v>7</v>
      </c>
      <c r="G59" s="304" cm="1">
        <f t="array" ref="G59">SUM(_xlfn._xlws.FILTER(CLIENTES!$F60:$K60,(CLIENTES!$F$9:$K$9=$E$1),0))</f>
        <v>0.1</v>
      </c>
    </row>
    <row r="60" spans="1:7" hidden="1" x14ac:dyDescent="0.2">
      <c r="A60" s="338"/>
      <c r="B60" s="288" t="s">
        <v>6</v>
      </c>
      <c r="C60" s="291" cm="1">
        <f t="array" ref="C60">SUM(_xlfn._xlws.FILTER(CLIENTES!$F61:$K61,(CLIENTES!$F$9:$K$9=$A$1),0))</f>
        <v>95000</v>
      </c>
      <c r="E60" s="338"/>
      <c r="F60" s="288" t="s">
        <v>6</v>
      </c>
      <c r="G60" s="291" cm="1">
        <f t="array" ref="G60">SUM(_xlfn._xlws.FILTER(CLIENTES!$F61:$K61,(CLIENTES!$F$9:$K$9=$E$1),0))</f>
        <v>0</v>
      </c>
    </row>
    <row r="61" spans="1:7" hidden="1" x14ac:dyDescent="0.2">
      <c r="A61" s="338"/>
      <c r="B61" s="288" t="s">
        <v>9</v>
      </c>
      <c r="C61" s="291" cm="1">
        <f t="array" ref="C61">SUM(_xlfn._xlws.FILTER(CLIENTES!$F62:$K62,(CLIENTES!$F$9:$K$9=$A$1),0))</f>
        <v>0</v>
      </c>
      <c r="E61" s="338"/>
      <c r="F61" s="288" t="s">
        <v>9</v>
      </c>
      <c r="G61" s="291" cm="1">
        <f t="array" ref="G61">SUM(_xlfn._xlws.FILTER(CLIENTES!$F62:$K62,(CLIENTES!$F$9:$K$9=$E$1),0))</f>
        <v>0</v>
      </c>
    </row>
    <row r="62" spans="1:7" hidden="1" x14ac:dyDescent="0.2">
      <c r="A62" s="338"/>
      <c r="B62" s="288" t="s">
        <v>14</v>
      </c>
      <c r="C62" s="291" cm="1">
        <f t="array" ref="C62">SUM(_xlfn._xlws.FILTER(CLIENTES!$F63:$K63,(CLIENTES!$F$9:$K$9=$A$1),0))</f>
        <v>867786.89719176013</v>
      </c>
      <c r="E62" s="338"/>
      <c r="F62" s="288" t="s">
        <v>14</v>
      </c>
      <c r="G62" s="291" cm="1">
        <f t="array" ref="G62">SUM(_xlfn._xlws.FILTER(CLIENTES!$F63:$K63,(CLIENTES!$F$9:$K$9=$E$1),0))</f>
        <v>-152.24331529679998</v>
      </c>
    </row>
    <row r="63" spans="1:7" hidden="1" x14ac:dyDescent="0.2">
      <c r="A63" s="338"/>
      <c r="B63" s="288" t="s">
        <v>10</v>
      </c>
      <c r="C63" s="304" cm="1">
        <f t="array" ref="C63">SUM(_xlfn._xlws.FILTER(CLIENTES!$F64:$K64,(CLIENTES!$F$9:$K$9=$A$1),0))</f>
        <v>8.3999999999999995E-3</v>
      </c>
      <c r="E63" s="338"/>
      <c r="F63" s="288" t="s">
        <v>10</v>
      </c>
      <c r="G63" s="304" cm="1">
        <f t="array" ref="G63">SUM(_xlfn._xlws.FILTER(CLIENTES!$F64:$K64,(CLIENTES!$F$9:$K$9=$E$1),0))</f>
        <v>4.1999999999999997E-3</v>
      </c>
    </row>
    <row r="64" spans="1:7" hidden="1" x14ac:dyDescent="0.2">
      <c r="A64" s="338"/>
      <c r="B64" s="288" t="s">
        <v>12</v>
      </c>
      <c r="C64" s="291" cm="1">
        <f t="array" ref="C64">SUM(_xlfn._xlws.FILTER(CLIENTES!$F65:$K65,(CLIENTES!$F$9:$K$9=$A$1),0))</f>
        <v>3644.7049682053921</v>
      </c>
      <c r="E64" s="338"/>
      <c r="F64" s="288" t="s">
        <v>12</v>
      </c>
      <c r="G64" s="291" cm="1">
        <f t="array" ref="G64">SUM(_xlfn._xlws.FILTER(CLIENTES!$F65:$K65,(CLIENTES!$F$9:$K$9=$E$1),0))</f>
        <v>-0.63942192424655986</v>
      </c>
    </row>
    <row r="65" spans="1:7" hidden="1" x14ac:dyDescent="0.2">
      <c r="A65" s="339"/>
      <c r="B65" s="288" t="s">
        <v>11</v>
      </c>
      <c r="C65" s="291" cm="1">
        <f t="array" ref="C65">SUM(_xlfn._xlws.FILTER(CLIENTES!$F66:$K66,(CLIENTES!$F$9:$K$9=$A$1),0))</f>
        <v>871431.60215996543</v>
      </c>
      <c r="E65" s="339"/>
      <c r="F65" s="288" t="s">
        <v>11</v>
      </c>
      <c r="G65" s="291" cm="1">
        <f t="array" ref="G65">SUM(_xlfn._xlws.FILTER(CLIENTES!$F66:$K66,(CLIENTES!$F$9:$K$9=$E$1),0))</f>
        <v>-152.88273722104654</v>
      </c>
    </row>
    <row r="66" spans="1:7" hidden="1" x14ac:dyDescent="0.2">
      <c r="A66" s="336">
        <v>43770</v>
      </c>
      <c r="B66" s="288" t="s">
        <v>5</v>
      </c>
      <c r="C66" s="291" cm="1">
        <f t="array" ref="C66">SUM(_xlfn._xlws.FILTER(CLIENTES!$F67:$K67,(CLIENTES!$F$9:$K$9=$A$1),0))</f>
        <v>0</v>
      </c>
      <c r="E66" s="336">
        <v>43770</v>
      </c>
      <c r="F66" s="288" t="s">
        <v>5</v>
      </c>
      <c r="G66" s="291" cm="1">
        <f t="array" ref="G66">SUM(_xlfn._xlws.FILTER(CLIENTES!$F67:$K67,(CLIENTES!$F$9:$K$9=$E$1),0))</f>
        <v>0</v>
      </c>
    </row>
    <row r="67" spans="1:7" hidden="1" x14ac:dyDescent="0.2">
      <c r="A67" s="336"/>
      <c r="B67" s="288" t="s">
        <v>7</v>
      </c>
      <c r="C67" s="304" cm="1">
        <f t="array" ref="C67">SUM(_xlfn._xlws.FILTER(CLIENTES!$F68:$K68,(CLIENTES!$F$9:$K$9=$A$1),0))</f>
        <v>0.2</v>
      </c>
      <c r="E67" s="336"/>
      <c r="F67" s="288" t="s">
        <v>7</v>
      </c>
      <c r="G67" s="304" cm="1">
        <f t="array" ref="G67">SUM(_xlfn._xlws.FILTER(CLIENTES!$F68:$K68,(CLIENTES!$F$9:$K$9=$E$1),0))</f>
        <v>0.1</v>
      </c>
    </row>
    <row r="68" spans="1:7" hidden="1" x14ac:dyDescent="0.2">
      <c r="A68" s="336"/>
      <c r="B68" s="288" t="s">
        <v>6</v>
      </c>
      <c r="C68" s="291" cm="1">
        <f t="array" ref="C68">SUM(_xlfn._xlws.FILTER(CLIENTES!$F69:$K69,(CLIENTES!$F$9:$K$9=$A$1),0))</f>
        <v>95000</v>
      </c>
      <c r="E68" s="336"/>
      <c r="F68" s="288" t="s">
        <v>6</v>
      </c>
      <c r="G68" s="291" cm="1">
        <f t="array" ref="G68">SUM(_xlfn._xlws.FILTER(CLIENTES!$F69:$K69,(CLIENTES!$F$9:$K$9=$E$1),0))</f>
        <v>0</v>
      </c>
    </row>
    <row r="69" spans="1:7" hidden="1" x14ac:dyDescent="0.2">
      <c r="A69" s="336"/>
      <c r="B69" s="288" t="s">
        <v>9</v>
      </c>
      <c r="C69" s="291" cm="1">
        <f t="array" ref="C69">SUM(_xlfn._xlws.FILTER(CLIENTES!$F70:$K70,(CLIENTES!$F$9:$K$9=$A$1),0))</f>
        <v>0</v>
      </c>
      <c r="E69" s="336"/>
      <c r="F69" s="288" t="s">
        <v>9</v>
      </c>
      <c r="G69" s="291" cm="1">
        <f t="array" ref="G69">SUM(_xlfn._xlws.FILTER(CLIENTES!$F70:$K70,(CLIENTES!$F$9:$K$9=$E$1),0))</f>
        <v>0</v>
      </c>
    </row>
    <row r="70" spans="1:7" hidden="1" x14ac:dyDescent="0.2">
      <c r="A70" s="336"/>
      <c r="B70" s="288" t="s">
        <v>14</v>
      </c>
      <c r="C70" s="291" cm="1">
        <f t="array" ref="C70">SUM(_xlfn._xlws.FILTER(CLIENTES!$F71:$K71,(CLIENTES!$F$9:$K$9=$A$1),0))</f>
        <v>871431.60215996543</v>
      </c>
      <c r="E70" s="336"/>
      <c r="F70" s="288" t="s">
        <v>14</v>
      </c>
      <c r="G70" s="291" cm="1">
        <f t="array" ref="G70">SUM(_xlfn._xlws.FILTER(CLIENTES!$F71:$K71,(CLIENTES!$F$9:$K$9=$E$1),0))</f>
        <v>-152.88273722104654</v>
      </c>
    </row>
    <row r="71" spans="1:7" hidden="1" x14ac:dyDescent="0.2">
      <c r="A71" s="336"/>
      <c r="B71" s="288" t="s">
        <v>10</v>
      </c>
      <c r="C71" s="304" cm="1">
        <f t="array" ref="C71">SUM(_xlfn._xlws.FILTER(CLIENTES!$F72:$K72,(CLIENTES!$F$9:$K$9=$A$1),0))</f>
        <v>0</v>
      </c>
      <c r="E71" s="336"/>
      <c r="F71" s="288" t="s">
        <v>10</v>
      </c>
      <c r="G71" s="304" cm="1">
        <f t="array" ref="G71">SUM(_xlfn._xlws.FILTER(CLIENTES!$F72:$K72,(CLIENTES!$F$9:$K$9=$E$1),0))</f>
        <v>0</v>
      </c>
    </row>
    <row r="72" spans="1:7" hidden="1" x14ac:dyDescent="0.2">
      <c r="A72" s="336"/>
      <c r="B72" s="288" t="s">
        <v>12</v>
      </c>
      <c r="C72" s="291" cm="1">
        <f t="array" ref="C72">SUM(_xlfn._xlws.FILTER(CLIENTES!$F73:$K73,(CLIENTES!$F$9:$K$9=$A$1),0))</f>
        <v>0</v>
      </c>
      <c r="E72" s="336"/>
      <c r="F72" s="288" t="s">
        <v>12</v>
      </c>
      <c r="G72" s="291" cm="1">
        <f t="array" ref="G72">SUM(_xlfn._xlws.FILTER(CLIENTES!$F73:$K73,(CLIENTES!$F$9:$K$9=$E$1),0))</f>
        <v>0</v>
      </c>
    </row>
    <row r="73" spans="1:7" hidden="1" x14ac:dyDescent="0.2">
      <c r="A73" s="336"/>
      <c r="B73" s="288" t="s">
        <v>11</v>
      </c>
      <c r="C73" s="291" cm="1">
        <f t="array" ref="C73">SUM(_xlfn._xlws.FILTER(CLIENTES!$F74:$K74,(CLIENTES!$F$9:$K$9=$A$1),0))</f>
        <v>871431.60215996543</v>
      </c>
      <c r="E73" s="336"/>
      <c r="F73" s="288" t="s">
        <v>11</v>
      </c>
      <c r="G73" s="291" cm="1">
        <f t="array" ref="G73">SUM(_xlfn._xlws.FILTER(CLIENTES!$F74:$K74,(CLIENTES!$F$9:$K$9=$E$1),0))</f>
        <v>-152.88273722104654</v>
      </c>
    </row>
    <row r="74" spans="1:7" hidden="1" x14ac:dyDescent="0.2">
      <c r="A74" s="337">
        <v>43800</v>
      </c>
      <c r="B74" s="288" t="s">
        <v>5</v>
      </c>
      <c r="C74" s="291" cm="1">
        <f t="array" ref="C74">SUM(_xlfn._xlws.FILTER(CLIENTES!$F75:$K75,(CLIENTES!$F$9:$K$9=$A$1),0))</f>
        <v>0</v>
      </c>
      <c r="E74" s="337">
        <v>43800</v>
      </c>
      <c r="F74" s="288" t="s">
        <v>5</v>
      </c>
      <c r="G74" s="291" cm="1">
        <f t="array" ref="G74">SUM(_xlfn._xlws.FILTER(CLIENTES!$F75:$K75,(CLIENTES!$F$9:$K$9=$E$1),0))</f>
        <v>0</v>
      </c>
    </row>
    <row r="75" spans="1:7" hidden="1" x14ac:dyDescent="0.2">
      <c r="A75" s="338"/>
      <c r="B75" s="288" t="s">
        <v>7</v>
      </c>
      <c r="C75" s="304" cm="1">
        <f t="array" ref="C75">SUM(_xlfn._xlws.FILTER(CLIENTES!$F76:$K76,(CLIENTES!$F$9:$K$9=$A$1),0))</f>
        <v>0.2</v>
      </c>
      <c r="E75" s="338"/>
      <c r="F75" s="288" t="s">
        <v>7</v>
      </c>
      <c r="G75" s="304" cm="1">
        <f t="array" ref="G75">SUM(_xlfn._xlws.FILTER(CLIENTES!$F76:$K76,(CLIENTES!$F$9:$K$9=$E$1),0))</f>
        <v>0.1</v>
      </c>
    </row>
    <row r="76" spans="1:7" hidden="1" x14ac:dyDescent="0.2">
      <c r="A76" s="338"/>
      <c r="B76" s="288" t="s">
        <v>6</v>
      </c>
      <c r="C76" s="291" cm="1">
        <f t="array" ref="C76">SUM(_xlfn._xlws.FILTER(CLIENTES!$F77:$K77,(CLIENTES!$F$9:$K$9=$A$1),0))</f>
        <v>95000</v>
      </c>
      <c r="E76" s="338"/>
      <c r="F76" s="288" t="s">
        <v>6</v>
      </c>
      <c r="G76" s="291" cm="1">
        <f t="array" ref="G76">SUM(_xlfn._xlws.FILTER(CLIENTES!$F77:$K77,(CLIENTES!$F$9:$K$9=$E$1),0))</f>
        <v>0</v>
      </c>
    </row>
    <row r="77" spans="1:7" hidden="1" x14ac:dyDescent="0.2">
      <c r="A77" s="338"/>
      <c r="B77" s="288" t="s">
        <v>9</v>
      </c>
      <c r="C77" s="291" cm="1">
        <f t="array" ref="C77">SUM(_xlfn._xlws.FILTER(CLIENTES!$F78:$K78,(CLIENTES!$F$9:$K$9=$A$1),0))</f>
        <v>0</v>
      </c>
      <c r="E77" s="338"/>
      <c r="F77" s="288" t="s">
        <v>9</v>
      </c>
      <c r="G77" s="291" cm="1">
        <f t="array" ref="G77">SUM(_xlfn._xlws.FILTER(CLIENTES!$F78:$K78,(CLIENTES!$F$9:$K$9=$E$1),0))</f>
        <v>0</v>
      </c>
    </row>
    <row r="78" spans="1:7" hidden="1" x14ac:dyDescent="0.2">
      <c r="A78" s="338"/>
      <c r="B78" s="288" t="s">
        <v>14</v>
      </c>
      <c r="C78" s="291" cm="1">
        <f t="array" ref="C78">SUM(_xlfn._xlws.FILTER(CLIENTES!$F79:$K79,(CLIENTES!$F$9:$K$9=$A$1),0))</f>
        <v>871431.60215996543</v>
      </c>
      <c r="E78" s="338"/>
      <c r="F78" s="288" t="s">
        <v>14</v>
      </c>
      <c r="G78" s="291" cm="1">
        <f t="array" ref="G78">SUM(_xlfn._xlws.FILTER(CLIENTES!$F79:$K79,(CLIENTES!$F$9:$K$9=$E$1),0))</f>
        <v>-152.88273722104654</v>
      </c>
    </row>
    <row r="79" spans="1:7" hidden="1" x14ac:dyDescent="0.2">
      <c r="A79" s="338"/>
      <c r="B79" s="288" t="s">
        <v>10</v>
      </c>
      <c r="C79" s="304" cm="1">
        <f t="array" ref="C79">SUM(_xlfn._xlws.FILTER(CLIENTES!$F80:$K80,(CLIENTES!$F$9:$K$9=$A$1),0))</f>
        <v>0</v>
      </c>
      <c r="E79" s="338"/>
      <c r="F79" s="288" t="s">
        <v>10</v>
      </c>
      <c r="G79" s="304" cm="1">
        <f t="array" ref="G79">SUM(_xlfn._xlws.FILTER(CLIENTES!$F80:$K80,(CLIENTES!$F$9:$K$9=$E$1),0))</f>
        <v>0</v>
      </c>
    </row>
    <row r="80" spans="1:7" hidden="1" x14ac:dyDescent="0.2">
      <c r="A80" s="338"/>
      <c r="B80" s="288" t="s">
        <v>12</v>
      </c>
      <c r="C80" s="291" cm="1">
        <f t="array" ref="C80">SUM(_xlfn._xlws.FILTER(CLIENTES!$F81:$K81,(CLIENTES!$F$9:$K$9=$A$1),0))</f>
        <v>0</v>
      </c>
      <c r="E80" s="338"/>
      <c r="F80" s="288" t="s">
        <v>12</v>
      </c>
      <c r="G80" s="291" cm="1">
        <f t="array" ref="G80">SUM(_xlfn._xlws.FILTER(CLIENTES!$F81:$K81,(CLIENTES!$F$9:$K$9=$E$1),0))</f>
        <v>0</v>
      </c>
    </row>
    <row r="81" spans="1:7" hidden="1" x14ac:dyDescent="0.2">
      <c r="A81" s="339"/>
      <c r="B81" s="288" t="s">
        <v>11</v>
      </c>
      <c r="C81" s="291" cm="1">
        <f t="array" ref="C81">SUM(_xlfn._xlws.FILTER(CLIENTES!$F82:$K82,(CLIENTES!$F$9:$K$9=$A$1),0))</f>
        <v>871431.60215996543</v>
      </c>
      <c r="E81" s="339"/>
      <c r="F81" s="288" t="s">
        <v>11</v>
      </c>
      <c r="G81" s="291" cm="1">
        <f t="array" ref="G81">SUM(_xlfn._xlws.FILTER(CLIENTES!$F82:$K82,(CLIENTES!$F$9:$K$9=$E$1),0))</f>
        <v>-152.88273722104654</v>
      </c>
    </row>
    <row r="82" spans="1:7" hidden="1" x14ac:dyDescent="0.2">
      <c r="A82" s="336">
        <v>43831</v>
      </c>
      <c r="B82" s="288" t="s">
        <v>5</v>
      </c>
      <c r="C82" s="291" cm="1">
        <f t="array" ref="C82">SUM(_xlfn._xlws.FILTER(CLIENTES!$F83:$K83,(CLIENTES!$F$9:$K$9=$A$1),0))</f>
        <v>0</v>
      </c>
      <c r="E82" s="336">
        <v>43831</v>
      </c>
      <c r="F82" s="288" t="s">
        <v>5</v>
      </c>
      <c r="G82" s="291" cm="1">
        <f t="array" ref="G82">SUM(_xlfn._xlws.FILTER(CLIENTES!$F83:$K83,(CLIENTES!$F$9:$K$9=$E$1),0))</f>
        <v>0</v>
      </c>
    </row>
    <row r="83" spans="1:7" hidden="1" x14ac:dyDescent="0.2">
      <c r="A83" s="336"/>
      <c r="B83" s="288" t="s">
        <v>7</v>
      </c>
      <c r="C83" s="304" cm="1">
        <f t="array" ref="C83">SUM(_xlfn._xlws.FILTER(CLIENTES!$F84:$K84,(CLIENTES!$F$9:$K$9=$A$1),0))</f>
        <v>0.2</v>
      </c>
      <c r="E83" s="336"/>
      <c r="F83" s="288" t="s">
        <v>7</v>
      </c>
      <c r="G83" s="304" cm="1">
        <f t="array" ref="G83">SUM(_xlfn._xlws.FILTER(CLIENTES!$F84:$K84,(CLIENTES!$F$9:$K$9=$E$1),0))</f>
        <v>0.1</v>
      </c>
    </row>
    <row r="84" spans="1:7" hidden="1" x14ac:dyDescent="0.2">
      <c r="A84" s="336"/>
      <c r="B84" s="288" t="s">
        <v>6</v>
      </c>
      <c r="C84" s="291" cm="1">
        <f t="array" ref="C84">SUM(_xlfn._xlws.FILTER(CLIENTES!$F85:$K85,(CLIENTES!$F$9:$K$9=$A$1),0))</f>
        <v>95000</v>
      </c>
      <c r="E84" s="336"/>
      <c r="F84" s="288" t="s">
        <v>6</v>
      </c>
      <c r="G84" s="291" cm="1">
        <f t="array" ref="G84">SUM(_xlfn._xlws.FILTER(CLIENTES!$F85:$K85,(CLIENTES!$F$9:$K$9=$E$1),0))</f>
        <v>0</v>
      </c>
    </row>
    <row r="85" spans="1:7" hidden="1" x14ac:dyDescent="0.2">
      <c r="A85" s="336"/>
      <c r="B85" s="288" t="s">
        <v>9</v>
      </c>
      <c r="C85" s="291" cm="1">
        <f t="array" ref="C85">SUM(_xlfn._xlws.FILTER(CLIENTES!$F86:$K86,(CLIENTES!$F$9:$K$9=$A$1),0))</f>
        <v>0</v>
      </c>
      <c r="E85" s="336"/>
      <c r="F85" s="288" t="s">
        <v>9</v>
      </c>
      <c r="G85" s="291" cm="1">
        <f t="array" ref="G85">SUM(_xlfn._xlws.FILTER(CLIENTES!$F86:$K86,(CLIENTES!$F$9:$K$9=$E$1),0))</f>
        <v>0</v>
      </c>
    </row>
    <row r="86" spans="1:7" hidden="1" x14ac:dyDescent="0.2">
      <c r="A86" s="336"/>
      <c r="B86" s="288" t="s">
        <v>14</v>
      </c>
      <c r="C86" s="291" cm="1">
        <f t="array" ref="C86">SUM(_xlfn._xlws.FILTER(CLIENTES!$F87:$K87,(CLIENTES!$F$9:$K$9=$A$1),0))</f>
        <v>871431.60215996543</v>
      </c>
      <c r="E86" s="336"/>
      <c r="F86" s="288" t="s">
        <v>14</v>
      </c>
      <c r="G86" s="291" cm="1">
        <f t="array" ref="G86">SUM(_xlfn._xlws.FILTER(CLIENTES!$F87:$K87,(CLIENTES!$F$9:$K$9=$E$1),0))</f>
        <v>-152.88273722104654</v>
      </c>
    </row>
    <row r="87" spans="1:7" hidden="1" x14ac:dyDescent="0.2">
      <c r="A87" s="336"/>
      <c r="B87" s="288" t="s">
        <v>10</v>
      </c>
      <c r="C87" s="304" cm="1">
        <f t="array" ref="C87">SUM(_xlfn._xlws.FILTER(CLIENTES!$F88:$K88,(CLIENTES!$F$9:$K$9=$A$1),0))</f>
        <v>8.0000000000000004E-4</v>
      </c>
      <c r="E87" s="336"/>
      <c r="F87" s="288" t="s">
        <v>10</v>
      </c>
      <c r="G87" s="304" cm="1">
        <f t="array" ref="G87">SUM(_xlfn._xlws.FILTER(CLIENTES!$F88:$K88,(CLIENTES!$F$9:$K$9=$E$1),0))</f>
        <v>4.0000000000000002E-4</v>
      </c>
    </row>
    <row r="88" spans="1:7" hidden="1" x14ac:dyDescent="0.2">
      <c r="A88" s="336"/>
      <c r="B88" s="288" t="s">
        <v>12</v>
      </c>
      <c r="C88" s="291" cm="1">
        <f t="array" ref="C88">SUM(_xlfn._xlws.FILTER(CLIENTES!$F89:$K89,(CLIENTES!$F$9:$K$9=$A$1),0))</f>
        <v>348.57264086398618</v>
      </c>
      <c r="E88" s="336"/>
      <c r="F88" s="288" t="s">
        <v>12</v>
      </c>
      <c r="G88" s="291" cm="1">
        <f t="array" ref="G88">SUM(_xlfn._xlws.FILTER(CLIENTES!$F89:$K89,(CLIENTES!$F$9:$K$9=$E$1),0))</f>
        <v>-6.1153094888418622E-2</v>
      </c>
    </row>
    <row r="89" spans="1:7" hidden="1" x14ac:dyDescent="0.2">
      <c r="A89" s="336"/>
      <c r="B89" s="288" t="s">
        <v>11</v>
      </c>
      <c r="C89" s="291" cm="1">
        <f t="array" ref="C89">SUM(_xlfn._xlws.FILTER(CLIENTES!$F90:$K90,(CLIENTES!$F$9:$K$9=$A$1),0))</f>
        <v>871780.17480082938</v>
      </c>
      <c r="E89" s="336"/>
      <c r="F89" s="288" t="s">
        <v>11</v>
      </c>
      <c r="G89" s="291" cm="1">
        <f t="array" ref="G89">SUM(_xlfn._xlws.FILTER(CLIENTES!$F90:$K90,(CLIENTES!$F$9:$K$9=$E$1),0))</f>
        <v>-152.94389031593496</v>
      </c>
    </row>
    <row r="90" spans="1:7" hidden="1" x14ac:dyDescent="0.2">
      <c r="A90" s="337">
        <v>43862</v>
      </c>
      <c r="B90" s="288" t="s">
        <v>5</v>
      </c>
      <c r="C90" s="291" cm="1">
        <f t="array" ref="C90">SUM(_xlfn._xlws.FILTER(CLIENTES!$F91:$K91,(CLIENTES!$F$9:$K$9=$A$1),0))</f>
        <v>0</v>
      </c>
      <c r="E90" s="337">
        <v>43862</v>
      </c>
      <c r="F90" s="288" t="s">
        <v>5</v>
      </c>
      <c r="G90" s="291" cm="1">
        <f t="array" ref="G90">SUM(_xlfn._xlws.FILTER(CLIENTES!$F91:$K91,(CLIENTES!$F$9:$K$9=$E$1),0))</f>
        <v>0</v>
      </c>
    </row>
    <row r="91" spans="1:7" hidden="1" x14ac:dyDescent="0.2">
      <c r="A91" s="338"/>
      <c r="B91" s="288" t="s">
        <v>7</v>
      </c>
      <c r="C91" s="304" cm="1">
        <f t="array" ref="C91">SUM(_xlfn._xlws.FILTER(CLIENTES!$F92:$K92,(CLIENTES!$F$9:$K$9=$A$1),0))</f>
        <v>0.48000000000000004</v>
      </c>
      <c r="E91" s="338"/>
      <c r="F91" s="288" t="s">
        <v>7</v>
      </c>
      <c r="G91" s="304" cm="1">
        <f t="array" ref="G91">SUM(_xlfn._xlws.FILTER(CLIENTES!$F92:$K92,(CLIENTES!$F$9:$K$9=$E$1),0))</f>
        <v>0.24000000000000002</v>
      </c>
    </row>
    <row r="92" spans="1:7" hidden="1" x14ac:dyDescent="0.2">
      <c r="A92" s="338"/>
      <c r="B92" s="288" t="s">
        <v>6</v>
      </c>
      <c r="C92" s="291" cm="1">
        <f t="array" ref="C92">SUM(_xlfn._xlws.FILTER(CLIENTES!$F93:$K93,(CLIENTES!$F$9:$K$9=$A$1),0))</f>
        <v>95000</v>
      </c>
      <c r="E92" s="338"/>
      <c r="F92" s="288" t="s">
        <v>6</v>
      </c>
      <c r="G92" s="291" cm="1">
        <f t="array" ref="G92">SUM(_xlfn._xlws.FILTER(CLIENTES!$F93:$K93,(CLIENTES!$F$9:$K$9=$E$1),0))</f>
        <v>0</v>
      </c>
    </row>
    <row r="93" spans="1:7" hidden="1" x14ac:dyDescent="0.2">
      <c r="A93" s="338"/>
      <c r="B93" s="288" t="s">
        <v>9</v>
      </c>
      <c r="C93" s="291" cm="1">
        <f t="array" ref="C93">SUM(_xlfn._xlws.FILTER(CLIENTES!$F94:$K94,(CLIENTES!$F$9:$K$9=$A$1),0))</f>
        <v>0</v>
      </c>
      <c r="E93" s="338"/>
      <c r="F93" s="288" t="s">
        <v>9</v>
      </c>
      <c r="G93" s="291" cm="1">
        <f t="array" ref="G93">SUM(_xlfn._xlws.FILTER(CLIENTES!$F94:$K94,(CLIENTES!$F$9:$K$9=$E$1),0))</f>
        <v>0</v>
      </c>
    </row>
    <row r="94" spans="1:7" hidden="1" x14ac:dyDescent="0.2">
      <c r="A94" s="338"/>
      <c r="B94" s="288" t="s">
        <v>14</v>
      </c>
      <c r="C94" s="291" cm="1">
        <f t="array" ref="C94">SUM(_xlfn._xlws.FILTER(CLIENTES!$F95:$K95,(CLIENTES!$F$9:$K$9=$A$1),0))</f>
        <v>871780.17480082938</v>
      </c>
      <c r="E94" s="338"/>
      <c r="F94" s="288" t="s">
        <v>14</v>
      </c>
      <c r="G94" s="291" cm="1">
        <f t="array" ref="G94">SUM(_xlfn._xlws.FILTER(CLIENTES!$F95:$K95,(CLIENTES!$F$9:$K$9=$E$1),0))</f>
        <v>-152.94389031593496</v>
      </c>
    </row>
    <row r="95" spans="1:7" hidden="1" x14ac:dyDescent="0.2">
      <c r="A95" s="338"/>
      <c r="B95" s="288" t="s">
        <v>10</v>
      </c>
      <c r="C95" s="304" cm="1">
        <f t="array" ref="C95">SUM(_xlfn._xlws.FILTER(CLIENTES!$F96:$K96,(CLIENTES!$F$9:$K$9=$A$1),0))</f>
        <v>4.1999999999999997E-3</v>
      </c>
      <c r="E95" s="338"/>
      <c r="F95" s="288" t="s">
        <v>10</v>
      </c>
      <c r="G95" s="304" cm="1">
        <f t="array" ref="G95">SUM(_xlfn._xlws.FILTER(CLIENTES!$F96:$K96,(CLIENTES!$F$9:$K$9=$E$1),0))</f>
        <v>2.0999999999999999E-3</v>
      </c>
    </row>
    <row r="96" spans="1:7" hidden="1" x14ac:dyDescent="0.2">
      <c r="A96" s="338"/>
      <c r="B96" s="288" t="s">
        <v>12</v>
      </c>
      <c r="C96" s="291" cm="1">
        <f t="array" ref="C96">SUM(_xlfn._xlws.FILTER(CLIENTES!$F97:$K97,(CLIENTES!$F$9:$K$9=$A$1),0))</f>
        <v>1830.7383670817417</v>
      </c>
      <c r="E96" s="338"/>
      <c r="F96" s="288" t="s">
        <v>12</v>
      </c>
      <c r="G96" s="291" cm="1">
        <f t="array" ref="G96">SUM(_xlfn._xlws.FILTER(CLIENTES!$F97:$K97,(CLIENTES!$F$9:$K$9=$E$1),0))</f>
        <v>-0.32118216966346341</v>
      </c>
    </row>
    <row r="97" spans="1:7" hidden="1" x14ac:dyDescent="0.2">
      <c r="A97" s="339"/>
      <c r="B97" s="288" t="s">
        <v>11</v>
      </c>
      <c r="C97" s="291" cm="1">
        <f t="array" ref="C97">SUM(_xlfn._xlws.FILTER(CLIENTES!$F98:$K98,(CLIENTES!$F$9:$K$9=$A$1),0))</f>
        <v>873610.91316791112</v>
      </c>
      <c r="E97" s="339"/>
      <c r="F97" s="288" t="s">
        <v>11</v>
      </c>
      <c r="G97" s="291" cm="1">
        <f t="array" ref="G97">SUM(_xlfn._xlws.FILTER(CLIENTES!$F98:$K98,(CLIENTES!$F$9:$K$9=$E$1),0))</f>
        <v>-153.26507248559844</v>
      </c>
    </row>
    <row r="98" spans="1:7" hidden="1" x14ac:dyDescent="0.2">
      <c r="A98" s="336">
        <v>43891</v>
      </c>
      <c r="B98" s="288" t="s">
        <v>5</v>
      </c>
      <c r="C98" s="291" cm="1">
        <f t="array" ref="C98">SUM(_xlfn._xlws.FILTER(CLIENTES!$F99:$K99,(CLIENTES!$F$9:$K$9=$A$1),0))</f>
        <v>0</v>
      </c>
      <c r="E98" s="336">
        <v>43891</v>
      </c>
      <c r="F98" s="288" t="s">
        <v>5</v>
      </c>
      <c r="G98" s="291" cm="1">
        <f t="array" ref="G98">SUM(_xlfn._xlws.FILTER(CLIENTES!$F99:$K99,(CLIENTES!$F$9:$K$9=$E$1),0))</f>
        <v>0</v>
      </c>
    </row>
    <row r="99" spans="1:7" hidden="1" x14ac:dyDescent="0.2">
      <c r="A99" s="336"/>
      <c r="B99" s="288" t="s">
        <v>7</v>
      </c>
      <c r="C99" s="304" cm="1">
        <f t="array" ref="C99">SUM(_xlfn._xlws.FILTER(CLIENTES!$F100:$K100,(CLIENTES!$F$9:$K$9=$A$1),0))</f>
        <v>0.48000000000000004</v>
      </c>
      <c r="E99" s="336"/>
      <c r="F99" s="288" t="s">
        <v>7</v>
      </c>
      <c r="G99" s="304" cm="1">
        <f t="array" ref="G99">SUM(_xlfn._xlws.FILTER(CLIENTES!$F100:$K100,(CLIENTES!$F$9:$K$9=$E$1),0))</f>
        <v>0.24000000000000002</v>
      </c>
    </row>
    <row r="100" spans="1:7" hidden="1" x14ac:dyDescent="0.2">
      <c r="A100" s="336"/>
      <c r="B100" s="288" t="s">
        <v>6</v>
      </c>
      <c r="C100" s="291" cm="1">
        <f t="array" ref="C100">SUM(_xlfn._xlws.FILTER(CLIENTES!$F101:$K101,(CLIENTES!$F$9:$K$9=$A$1),0))</f>
        <v>95000</v>
      </c>
      <c r="E100" s="336"/>
      <c r="F100" s="288" t="s">
        <v>6</v>
      </c>
      <c r="G100" s="291" cm="1">
        <f t="array" ref="G100">SUM(_xlfn._xlws.FILTER(CLIENTES!$F101:$K101,(CLIENTES!$F$9:$K$9=$E$1),0))</f>
        <v>0</v>
      </c>
    </row>
    <row r="101" spans="1:7" hidden="1" x14ac:dyDescent="0.2">
      <c r="A101" s="336"/>
      <c r="B101" s="288" t="s">
        <v>9</v>
      </c>
      <c r="C101" s="291" cm="1">
        <f t="array" ref="C101">SUM(_xlfn._xlws.FILTER(CLIENTES!$F102:$K102,(CLIENTES!$F$9:$K$9=$A$1),0))</f>
        <v>0</v>
      </c>
      <c r="E101" s="336"/>
      <c r="F101" s="288" t="s">
        <v>9</v>
      </c>
      <c r="G101" s="291" cm="1">
        <f t="array" ref="G101">SUM(_xlfn._xlws.FILTER(CLIENTES!$F102:$K102,(CLIENTES!$F$9:$K$9=$E$1),0))</f>
        <v>0</v>
      </c>
    </row>
    <row r="102" spans="1:7" hidden="1" x14ac:dyDescent="0.2">
      <c r="A102" s="336"/>
      <c r="B102" s="288" t="s">
        <v>14</v>
      </c>
      <c r="C102" s="291" cm="1">
        <f t="array" ref="C102">SUM(_xlfn._xlws.FILTER(CLIENTES!$F103:$K103,(CLIENTES!$F$9:$K$9=$A$1),0))</f>
        <v>873610.91316791112</v>
      </c>
      <c r="E102" s="336"/>
      <c r="F102" s="288" t="s">
        <v>14</v>
      </c>
      <c r="G102" s="291" cm="1">
        <f t="array" ref="G102">SUM(_xlfn._xlws.FILTER(CLIENTES!$F103:$K103,(CLIENTES!$F$9:$K$9=$E$1),0))</f>
        <v>-153.26507248559844</v>
      </c>
    </row>
    <row r="103" spans="1:7" hidden="1" x14ac:dyDescent="0.2">
      <c r="A103" s="336"/>
      <c r="B103" s="288" t="s">
        <v>10</v>
      </c>
      <c r="C103" s="304" cm="1">
        <f t="array" ref="C103">SUM(_xlfn._xlws.FILTER(CLIENTES!$F104:$K104,(CLIENTES!$F$9:$K$9=$A$1),0))</f>
        <v>7.6E-3</v>
      </c>
      <c r="E103" s="336"/>
      <c r="F103" s="288" t="s">
        <v>10</v>
      </c>
      <c r="G103" s="304" cm="1">
        <f t="array" ref="G103">SUM(_xlfn._xlws.FILTER(CLIENTES!$F104:$K104,(CLIENTES!$F$9:$K$9=$E$1),0))</f>
        <v>3.8E-3</v>
      </c>
    </row>
    <row r="104" spans="1:7" hidden="1" x14ac:dyDescent="0.2">
      <c r="A104" s="336"/>
      <c r="B104" s="288" t="s">
        <v>12</v>
      </c>
      <c r="C104" s="291" cm="1">
        <f t="array" ref="C104">SUM(_xlfn._xlws.FILTER(CLIENTES!$F105:$K105,(CLIENTES!$F$9:$K$9=$A$1),0))</f>
        <v>3319.7214700380623</v>
      </c>
      <c r="E104" s="336"/>
      <c r="F104" s="288" t="s">
        <v>12</v>
      </c>
      <c r="G104" s="291" cm="1">
        <f t="array" ref="G104">SUM(_xlfn._xlws.FILTER(CLIENTES!$F105:$K105,(CLIENTES!$F$9:$K$9=$E$1),0))</f>
        <v>-0.58240727544527404</v>
      </c>
    </row>
    <row r="105" spans="1:7" hidden="1" x14ac:dyDescent="0.2">
      <c r="A105" s="336"/>
      <c r="B105" s="288" t="s">
        <v>11</v>
      </c>
      <c r="C105" s="291" cm="1">
        <f t="array" ref="C105">SUM(_xlfn._xlws.FILTER(CLIENTES!$F106:$K106,(CLIENTES!$F$9:$K$9=$A$1),0))</f>
        <v>876930.63463794917</v>
      </c>
      <c r="E105" s="336"/>
      <c r="F105" s="288" t="s">
        <v>11</v>
      </c>
      <c r="G105" s="291" cm="1">
        <f t="array" ref="G105">SUM(_xlfn._xlws.FILTER(CLIENTES!$F106:$K106,(CLIENTES!$F$9:$K$9=$E$1),0))</f>
        <v>-153.8474797610437</v>
      </c>
    </row>
    <row r="106" spans="1:7" hidden="1" x14ac:dyDescent="0.2">
      <c r="A106" s="337">
        <v>43922</v>
      </c>
      <c r="B106" s="288" t="s">
        <v>5</v>
      </c>
      <c r="C106" s="291" cm="1">
        <f t="array" ref="C106">SUM(_xlfn._xlws.FILTER(CLIENTES!$F107:$K107,(CLIENTES!$F$9:$K$9=$A$1),0))</f>
        <v>0</v>
      </c>
      <c r="E106" s="337">
        <v>43922</v>
      </c>
      <c r="F106" s="288" t="s">
        <v>5</v>
      </c>
      <c r="G106" s="291" cm="1">
        <f t="array" ref="G106">SUM(_xlfn._xlws.FILTER(CLIENTES!$F107:$K107,(CLIENTES!$F$9:$K$9=$E$1),0))</f>
        <v>0</v>
      </c>
    </row>
    <row r="107" spans="1:7" hidden="1" x14ac:dyDescent="0.2">
      <c r="A107" s="338"/>
      <c r="B107" s="288" t="s">
        <v>7</v>
      </c>
      <c r="C107" s="304" cm="1">
        <f t="array" ref="C107">SUM(_xlfn._xlws.FILTER(CLIENTES!$F108:$K108,(CLIENTES!$F$9:$K$9=$A$1),0))</f>
        <v>0.48000000000000004</v>
      </c>
      <c r="E107" s="338"/>
      <c r="F107" s="288" t="s">
        <v>7</v>
      </c>
      <c r="G107" s="304" cm="1">
        <f t="array" ref="G107">SUM(_xlfn._xlws.FILTER(CLIENTES!$F108:$K108,(CLIENTES!$F$9:$K$9=$E$1),0))</f>
        <v>0.24000000000000002</v>
      </c>
    </row>
    <row r="108" spans="1:7" hidden="1" x14ac:dyDescent="0.2">
      <c r="A108" s="338"/>
      <c r="B108" s="288" t="s">
        <v>6</v>
      </c>
      <c r="C108" s="291" cm="1">
        <f t="array" ref="C108">SUM(_xlfn._xlws.FILTER(CLIENTES!$F109:$K109,(CLIENTES!$F$9:$K$9=$A$1),0))</f>
        <v>95000</v>
      </c>
      <c r="E108" s="338"/>
      <c r="F108" s="288" t="s">
        <v>6</v>
      </c>
      <c r="G108" s="291" cm="1">
        <f t="array" ref="G108">SUM(_xlfn._xlws.FILTER(CLIENTES!$F109:$K109,(CLIENTES!$F$9:$K$9=$E$1),0))</f>
        <v>0</v>
      </c>
    </row>
    <row r="109" spans="1:7" hidden="1" x14ac:dyDescent="0.2">
      <c r="A109" s="338"/>
      <c r="B109" s="288" t="s">
        <v>9</v>
      </c>
      <c r="C109" s="291" cm="1">
        <f t="array" ref="C109">SUM(_xlfn._xlws.FILTER(CLIENTES!$F110:$K110,(CLIENTES!$F$9:$K$9=$A$1),0))</f>
        <v>0</v>
      </c>
      <c r="E109" s="338"/>
      <c r="F109" s="288" t="s">
        <v>9</v>
      </c>
      <c r="G109" s="291" cm="1">
        <f t="array" ref="G109">SUM(_xlfn._xlws.FILTER(CLIENTES!$F110:$K110,(CLIENTES!$F$9:$K$9=$E$1),0))</f>
        <v>0</v>
      </c>
    </row>
    <row r="110" spans="1:7" hidden="1" x14ac:dyDescent="0.2">
      <c r="A110" s="338"/>
      <c r="B110" s="288" t="s">
        <v>14</v>
      </c>
      <c r="C110" s="291" cm="1">
        <f t="array" ref="C110">SUM(_xlfn._xlws.FILTER(CLIENTES!$F111:$K111,(CLIENTES!$F$9:$K$9=$A$1),0))</f>
        <v>876930.63463794917</v>
      </c>
      <c r="E110" s="338"/>
      <c r="F110" s="288" t="s">
        <v>14</v>
      </c>
      <c r="G110" s="291" cm="1">
        <f t="array" ref="G110">SUM(_xlfn._xlws.FILTER(CLIENTES!$F111:$K111,(CLIENTES!$F$9:$K$9=$E$1),0))</f>
        <v>-153.8474797610437</v>
      </c>
    </row>
    <row r="111" spans="1:7" hidden="1" x14ac:dyDescent="0.2">
      <c r="A111" s="338"/>
      <c r="B111" s="288" t="s">
        <v>10</v>
      </c>
      <c r="C111" s="304" cm="1">
        <f t="array" ref="C111">SUM(_xlfn._xlws.FILTER(CLIENTES!$F112:$K112,(CLIENTES!$F$9:$K$9=$A$1),0))</f>
        <v>6.6E-3</v>
      </c>
      <c r="E111" s="338"/>
      <c r="F111" s="288" t="s">
        <v>10</v>
      </c>
      <c r="G111" s="304" cm="1">
        <f t="array" ref="G111">SUM(_xlfn._xlws.FILTER(CLIENTES!$F112:$K112,(CLIENTES!$F$9:$K$9=$E$1),0))</f>
        <v>3.3E-3</v>
      </c>
    </row>
    <row r="112" spans="1:7" hidden="1" x14ac:dyDescent="0.2">
      <c r="A112" s="338"/>
      <c r="B112" s="288" t="s">
        <v>12</v>
      </c>
      <c r="C112" s="291" cm="1">
        <f t="array" ref="C112">SUM(_xlfn._xlws.FILTER(CLIENTES!$F113:$K113,(CLIENTES!$F$9:$K$9=$A$1),0))</f>
        <v>2893.8710943052324</v>
      </c>
      <c r="E112" s="338"/>
      <c r="F112" s="288" t="s">
        <v>12</v>
      </c>
      <c r="G112" s="291" cm="1">
        <f t="array" ref="G112">SUM(_xlfn._xlws.FILTER(CLIENTES!$F113:$K113,(CLIENTES!$F$9:$K$9=$E$1),0))</f>
        <v>-0.50769668321144423</v>
      </c>
    </row>
    <row r="113" spans="1:7" hidden="1" x14ac:dyDescent="0.2">
      <c r="A113" s="339"/>
      <c r="B113" s="288" t="s">
        <v>11</v>
      </c>
      <c r="C113" s="291" cm="1">
        <f t="array" ref="C113">SUM(_xlfn._xlws.FILTER(CLIENTES!$F114:$K114,(CLIENTES!$F$9:$K$9=$A$1),0))</f>
        <v>879824.50573225436</v>
      </c>
      <c r="E113" s="339"/>
      <c r="F113" s="288" t="s">
        <v>11</v>
      </c>
      <c r="G113" s="291" cm="1">
        <f t="array" ref="G113">SUM(_xlfn._xlws.FILTER(CLIENTES!$F114:$K114,(CLIENTES!$F$9:$K$9=$E$1),0))</f>
        <v>-154.35517644425514</v>
      </c>
    </row>
    <row r="114" spans="1:7" hidden="1" x14ac:dyDescent="0.2">
      <c r="A114" s="336">
        <v>43952</v>
      </c>
      <c r="B114" s="288" t="s">
        <v>5</v>
      </c>
      <c r="C114" s="291" cm="1">
        <f t="array" ref="C114">SUM(_xlfn._xlws.FILTER(CLIENTES!$F115:$K115,(CLIENTES!$F$9:$K$9=$A$1),0))</f>
        <v>0</v>
      </c>
      <c r="E114" s="336">
        <v>43952</v>
      </c>
      <c r="F114" s="288" t="s">
        <v>5</v>
      </c>
      <c r="G114" s="291" cm="1">
        <f t="array" ref="G114">SUM(_xlfn._xlws.FILTER(CLIENTES!$F115:$K115,(CLIENTES!$F$9:$K$9=$E$1),0))</f>
        <v>0</v>
      </c>
    </row>
    <row r="115" spans="1:7" hidden="1" x14ac:dyDescent="0.2">
      <c r="A115" s="336"/>
      <c r="B115" s="288" t="s">
        <v>7</v>
      </c>
      <c r="C115" s="304" cm="1">
        <f t="array" ref="C115">SUM(_xlfn._xlws.FILTER(CLIENTES!$F116:$K116,(CLIENTES!$F$9:$K$9=$A$1),0))</f>
        <v>0.48000000000000004</v>
      </c>
      <c r="E115" s="336"/>
      <c r="F115" s="288" t="s">
        <v>7</v>
      </c>
      <c r="G115" s="304" cm="1">
        <f t="array" ref="G115">SUM(_xlfn._xlws.FILTER(CLIENTES!$F116:$K116,(CLIENTES!$F$9:$K$9=$E$1),0))</f>
        <v>0.24000000000000002</v>
      </c>
    </row>
    <row r="116" spans="1:7" hidden="1" x14ac:dyDescent="0.2">
      <c r="A116" s="336"/>
      <c r="B116" s="288" t="s">
        <v>6</v>
      </c>
      <c r="C116" s="291" cm="1">
        <f t="array" ref="C116">SUM(_xlfn._xlws.FILTER(CLIENTES!$F117:$K117,(CLIENTES!$F$9:$K$9=$A$1),0))</f>
        <v>95000</v>
      </c>
      <c r="E116" s="336"/>
      <c r="F116" s="288" t="s">
        <v>6</v>
      </c>
      <c r="G116" s="291" cm="1">
        <f t="array" ref="G116">SUM(_xlfn._xlws.FILTER(CLIENTES!$F117:$K117,(CLIENTES!$F$9:$K$9=$E$1),0))</f>
        <v>0</v>
      </c>
    </row>
    <row r="117" spans="1:7" hidden="1" x14ac:dyDescent="0.2">
      <c r="A117" s="336"/>
      <c r="B117" s="288" t="s">
        <v>9</v>
      </c>
      <c r="C117" s="291" cm="1">
        <f t="array" ref="C117">SUM(_xlfn._xlws.FILTER(CLIENTES!$F118:$K118,(CLIENTES!$F$9:$K$9=$A$1),0))</f>
        <v>0</v>
      </c>
      <c r="E117" s="336"/>
      <c r="F117" s="288" t="s">
        <v>9</v>
      </c>
      <c r="G117" s="291" cm="1">
        <f t="array" ref="G117">SUM(_xlfn._xlws.FILTER(CLIENTES!$F118:$K118,(CLIENTES!$F$9:$K$9=$E$1),0))</f>
        <v>0</v>
      </c>
    </row>
    <row r="118" spans="1:7" hidden="1" x14ac:dyDescent="0.2">
      <c r="A118" s="336"/>
      <c r="B118" s="288" t="s">
        <v>14</v>
      </c>
      <c r="C118" s="291" cm="1">
        <f t="array" ref="C118">SUM(_xlfn._xlws.FILTER(CLIENTES!$F119:$K119,(CLIENTES!$F$9:$K$9=$A$1),0))</f>
        <v>879824.50573225436</v>
      </c>
      <c r="E118" s="336"/>
      <c r="F118" s="288" t="s">
        <v>14</v>
      </c>
      <c r="G118" s="291" cm="1">
        <f t="array" ref="G118">SUM(_xlfn._xlws.FILTER(CLIENTES!$F119:$K119,(CLIENTES!$F$9:$K$9=$E$1),0))</f>
        <v>-154.35517644425514</v>
      </c>
    </row>
    <row r="119" spans="1:7" hidden="1" x14ac:dyDescent="0.2">
      <c r="A119" s="336"/>
      <c r="B119" s="288" t="s">
        <v>10</v>
      </c>
      <c r="C119" s="304" cm="1">
        <f t="array" ref="C119">SUM(_xlfn._xlws.FILTER(CLIENTES!$F120:$K120,(CLIENTES!$F$9:$K$9=$A$1),0))</f>
        <v>5.1999999999999998E-3</v>
      </c>
      <c r="E119" s="336"/>
      <c r="F119" s="288" t="s">
        <v>10</v>
      </c>
      <c r="G119" s="304" cm="1">
        <f t="array" ref="G119">SUM(_xlfn._xlws.FILTER(CLIENTES!$F120:$K120,(CLIENTES!$F$9:$K$9=$E$1),0))</f>
        <v>2.5999999999999999E-3</v>
      </c>
    </row>
    <row r="120" spans="1:7" hidden="1" x14ac:dyDescent="0.2">
      <c r="A120" s="336"/>
      <c r="B120" s="288" t="s">
        <v>12</v>
      </c>
      <c r="C120" s="291" cm="1">
        <f t="array" ref="C120">SUM(_xlfn._xlws.FILTER(CLIENTES!$F121:$K121,(CLIENTES!$F$9:$K$9=$A$1),0))</f>
        <v>2287.5437149038617</v>
      </c>
      <c r="E120" s="336"/>
      <c r="F120" s="288" t="s">
        <v>12</v>
      </c>
      <c r="G120" s="291" cm="1">
        <f t="array" ref="G120">SUM(_xlfn._xlws.FILTER(CLIENTES!$F121:$K121,(CLIENTES!$F$9:$K$9=$E$1),0))</f>
        <v>-0.40132345875506331</v>
      </c>
    </row>
    <row r="121" spans="1:7" hidden="1" x14ac:dyDescent="0.2">
      <c r="A121" s="336"/>
      <c r="B121" s="288" t="s">
        <v>11</v>
      </c>
      <c r="C121" s="291" cm="1">
        <f t="array" ref="C121">SUM(_xlfn._xlws.FILTER(CLIENTES!$F122:$K122,(CLIENTES!$F$9:$K$9=$A$1),0))</f>
        <v>882112.04944715835</v>
      </c>
      <c r="E121" s="336"/>
      <c r="F121" s="288" t="s">
        <v>11</v>
      </c>
      <c r="G121" s="291" cm="1">
        <f t="array" ref="G121">SUM(_xlfn._xlws.FILTER(CLIENTES!$F122:$K122,(CLIENTES!$F$9:$K$9=$E$1),0))</f>
        <v>-154.75649990301019</v>
      </c>
    </row>
    <row r="122" spans="1:7" hidden="1" x14ac:dyDescent="0.2">
      <c r="A122" s="337">
        <v>43983</v>
      </c>
      <c r="B122" s="288" t="s">
        <v>5</v>
      </c>
      <c r="C122" s="291" cm="1">
        <f t="array" ref="C122">SUM(_xlfn._xlws.FILTER(CLIENTES!$F123:$K123,(CLIENTES!$F$9:$K$9=$A$1),0))</f>
        <v>0</v>
      </c>
      <c r="E122" s="337">
        <v>43983</v>
      </c>
      <c r="F122" s="288" t="s">
        <v>5</v>
      </c>
      <c r="G122" s="291" cm="1">
        <f t="array" ref="G122">SUM(_xlfn._xlws.FILTER(CLIENTES!$F123:$K123,(CLIENTES!$F$9:$K$9=$E$1),0))</f>
        <v>0</v>
      </c>
    </row>
    <row r="123" spans="1:7" hidden="1" x14ac:dyDescent="0.2">
      <c r="A123" s="338"/>
      <c r="B123" s="288" t="s">
        <v>7</v>
      </c>
      <c r="C123" s="304" cm="1">
        <f t="array" ref="C123">SUM(_xlfn._xlws.FILTER(CLIENTES!$F124:$K124,(CLIENTES!$F$9:$K$9=$A$1),0))</f>
        <v>0.48000000000000004</v>
      </c>
      <c r="E123" s="338"/>
      <c r="F123" s="288" t="s">
        <v>7</v>
      </c>
      <c r="G123" s="304" cm="1">
        <f t="array" ref="G123">SUM(_xlfn._xlws.FILTER(CLIENTES!$F124:$K124,(CLIENTES!$F$9:$K$9=$E$1),0))</f>
        <v>0.24000000000000002</v>
      </c>
    </row>
    <row r="124" spans="1:7" hidden="1" x14ac:dyDescent="0.2">
      <c r="A124" s="338"/>
      <c r="B124" s="288" t="s">
        <v>6</v>
      </c>
      <c r="C124" s="291" cm="1">
        <f t="array" ref="C124">SUM(_xlfn._xlws.FILTER(CLIENTES!$F125:$K125,(CLIENTES!$F$9:$K$9=$A$1),0))</f>
        <v>95000</v>
      </c>
      <c r="E124" s="338"/>
      <c r="F124" s="288" t="s">
        <v>6</v>
      </c>
      <c r="G124" s="291" cm="1">
        <f t="array" ref="G124">SUM(_xlfn._xlws.FILTER(CLIENTES!$F125:$K125,(CLIENTES!$F$9:$K$9=$E$1),0))</f>
        <v>0</v>
      </c>
    </row>
    <row r="125" spans="1:7" hidden="1" x14ac:dyDescent="0.2">
      <c r="A125" s="338"/>
      <c r="B125" s="288" t="s">
        <v>9</v>
      </c>
      <c r="C125" s="291" cm="1">
        <f t="array" ref="C125">SUM(_xlfn._xlws.FILTER(CLIENTES!$F126:$K126,(CLIENTES!$F$9:$K$9=$A$1),0))</f>
        <v>0</v>
      </c>
      <c r="E125" s="338"/>
      <c r="F125" s="288" t="s">
        <v>9</v>
      </c>
      <c r="G125" s="291" cm="1">
        <f t="array" ref="G125">SUM(_xlfn._xlws.FILTER(CLIENTES!$F126:$K126,(CLIENTES!$F$9:$K$9=$E$1),0))</f>
        <v>0</v>
      </c>
    </row>
    <row r="126" spans="1:7" hidden="1" x14ac:dyDescent="0.2">
      <c r="A126" s="338"/>
      <c r="B126" s="288" t="s">
        <v>14</v>
      </c>
      <c r="C126" s="291" cm="1">
        <f t="array" ref="C126">SUM(_xlfn._xlws.FILTER(CLIENTES!$F127:$K127,(CLIENTES!$F$9:$K$9=$A$1),0))</f>
        <v>882112.04944715835</v>
      </c>
      <c r="E126" s="338"/>
      <c r="F126" s="288" t="s">
        <v>14</v>
      </c>
      <c r="G126" s="291" cm="1">
        <f t="array" ref="G126">SUM(_xlfn._xlws.FILTER(CLIENTES!$F127:$K127,(CLIENTES!$F$9:$K$9=$E$1),0))</f>
        <v>-154.75649990301019</v>
      </c>
    </row>
    <row r="127" spans="1:7" hidden="1" x14ac:dyDescent="0.2">
      <c r="A127" s="338"/>
      <c r="B127" s="288" t="s">
        <v>10</v>
      </c>
      <c r="C127" s="304" cm="1">
        <f t="array" ref="C127">SUM(_xlfn._xlws.FILTER(CLIENTES!$F128:$K128,(CLIENTES!$F$9:$K$9=$A$1),0))</f>
        <v>4.4000000000000003E-3</v>
      </c>
      <c r="E127" s="338"/>
      <c r="F127" s="288" t="s">
        <v>10</v>
      </c>
      <c r="G127" s="304" cm="1">
        <f t="array" ref="G127">SUM(_xlfn._xlws.FILTER(CLIENTES!$F128:$K128,(CLIENTES!$F$9:$K$9=$E$1),0))</f>
        <v>2.2000000000000001E-3</v>
      </c>
    </row>
    <row r="128" spans="1:7" hidden="1" x14ac:dyDescent="0.2">
      <c r="A128" s="338"/>
      <c r="B128" s="288" t="s">
        <v>12</v>
      </c>
      <c r="C128" s="291" cm="1">
        <f t="array" ref="C128">SUM(_xlfn._xlws.FILTER(CLIENTES!$F129:$K129,(CLIENTES!$F$9:$K$9=$A$1),0))</f>
        <v>1940.6465087837482</v>
      </c>
      <c r="E128" s="338"/>
      <c r="F128" s="288" t="s">
        <v>12</v>
      </c>
      <c r="G128" s="291" cm="1">
        <f t="array" ref="G128">SUM(_xlfn._xlws.FILTER(CLIENTES!$F129:$K129,(CLIENTES!$F$9:$K$9=$E$1),0))</f>
        <v>-0.34046429978662246</v>
      </c>
    </row>
    <row r="129" spans="1:7" hidden="1" x14ac:dyDescent="0.2">
      <c r="A129" s="339"/>
      <c r="B129" s="288" t="s">
        <v>11</v>
      </c>
      <c r="C129" s="291" cm="1">
        <f t="array" ref="C129">SUM(_xlfn._xlws.FILTER(CLIENTES!$F130:$K130,(CLIENTES!$F$9:$K$9=$A$1),0))</f>
        <v>884052.69595594204</v>
      </c>
      <c r="E129" s="339"/>
      <c r="F129" s="288" t="s">
        <v>11</v>
      </c>
      <c r="G129" s="291" cm="1">
        <f t="array" ref="G129">SUM(_xlfn._xlws.FILTER(CLIENTES!$F130:$K130,(CLIENTES!$F$9:$K$9=$E$1),0))</f>
        <v>-155.09696420279681</v>
      </c>
    </row>
    <row r="130" spans="1:7" hidden="1" x14ac:dyDescent="0.2">
      <c r="A130" s="336">
        <v>44013</v>
      </c>
      <c r="B130" s="288" t="s">
        <v>5</v>
      </c>
      <c r="C130" s="291" cm="1">
        <f t="array" ref="C130">SUM(_xlfn._xlws.FILTER(CLIENTES!$F131:$K131,(CLIENTES!$F$9:$K$9=$A$1),0))</f>
        <v>0</v>
      </c>
      <c r="E130" s="336">
        <v>44013</v>
      </c>
      <c r="F130" s="288" t="s">
        <v>5</v>
      </c>
      <c r="G130" s="291" cm="1">
        <f t="array" ref="G130">SUM(_xlfn._xlws.FILTER(CLIENTES!$F131:$K131,(CLIENTES!$F$9:$K$9=$E$1),0))</f>
        <v>0</v>
      </c>
    </row>
    <row r="131" spans="1:7" hidden="1" x14ac:dyDescent="0.2">
      <c r="A131" s="336"/>
      <c r="B131" s="288" t="s">
        <v>7</v>
      </c>
      <c r="C131" s="304" cm="1">
        <f t="array" ref="C131">SUM(_xlfn._xlws.FILTER(CLIENTES!$F132:$K132,(CLIENTES!$F$9:$K$9=$A$1),0))</f>
        <v>0.48000000000000004</v>
      </c>
      <c r="E131" s="336"/>
      <c r="F131" s="288" t="s">
        <v>7</v>
      </c>
      <c r="G131" s="304" cm="1">
        <f t="array" ref="G131">SUM(_xlfn._xlws.FILTER(CLIENTES!$F132:$K132,(CLIENTES!$F$9:$K$9=$E$1),0))</f>
        <v>0.24000000000000002</v>
      </c>
    </row>
    <row r="132" spans="1:7" hidden="1" x14ac:dyDescent="0.2">
      <c r="A132" s="336"/>
      <c r="B132" s="288" t="s">
        <v>6</v>
      </c>
      <c r="C132" s="291" cm="1">
        <f t="array" ref="C132">SUM(_xlfn._xlws.FILTER(CLIENTES!$F133:$K133,(CLIENTES!$F$9:$K$9=$A$1),0))</f>
        <v>95000</v>
      </c>
      <c r="E132" s="336"/>
      <c r="F132" s="288" t="s">
        <v>6</v>
      </c>
      <c r="G132" s="291" cm="1">
        <f t="array" ref="G132">SUM(_xlfn._xlws.FILTER(CLIENTES!$F133:$K133,(CLIENTES!$F$9:$K$9=$E$1),0))</f>
        <v>0</v>
      </c>
    </row>
    <row r="133" spans="1:7" hidden="1" x14ac:dyDescent="0.2">
      <c r="A133" s="336"/>
      <c r="B133" s="288" t="s">
        <v>9</v>
      </c>
      <c r="C133" s="291" cm="1">
        <f t="array" ref="C133">SUM(_xlfn._xlws.FILTER(CLIENTES!$F134:$K134,(CLIENTES!$F$9:$K$9=$A$1),0))</f>
        <v>0</v>
      </c>
      <c r="E133" s="336"/>
      <c r="F133" s="288" t="s">
        <v>9</v>
      </c>
      <c r="G133" s="291" cm="1">
        <f t="array" ref="G133">SUM(_xlfn._xlws.FILTER(CLIENTES!$F134:$K134,(CLIENTES!$F$9:$K$9=$E$1),0))</f>
        <v>0</v>
      </c>
    </row>
    <row r="134" spans="1:7" hidden="1" x14ac:dyDescent="0.2">
      <c r="A134" s="336"/>
      <c r="B134" s="288" t="s">
        <v>14</v>
      </c>
      <c r="C134" s="291" cm="1">
        <f t="array" ref="C134">SUM(_xlfn._xlws.FILTER(CLIENTES!$F135:$K135,(CLIENTES!$F$9:$K$9=$A$1),0))</f>
        <v>884052.69595594204</v>
      </c>
      <c r="E134" s="336"/>
      <c r="F134" s="288" t="s">
        <v>14</v>
      </c>
      <c r="G134" s="291" cm="1">
        <f t="array" ref="G134">SUM(_xlfn._xlws.FILTER(CLIENTES!$F135:$K135,(CLIENTES!$F$9:$K$9=$E$1),0))</f>
        <v>-155.09696420279681</v>
      </c>
    </row>
    <row r="135" spans="1:7" hidden="1" x14ac:dyDescent="0.2">
      <c r="A135" s="336"/>
      <c r="B135" s="288" t="s">
        <v>10</v>
      </c>
      <c r="C135" s="304" cm="1">
        <f t="array" ref="C135">SUM(_xlfn._xlws.FILTER(CLIENTES!$F136:$K136,(CLIENTES!$F$9:$K$9=$A$1),0))</f>
        <v>4.0000000000000001E-3</v>
      </c>
      <c r="E135" s="336"/>
      <c r="F135" s="288" t="s">
        <v>10</v>
      </c>
      <c r="G135" s="304" cm="1">
        <f t="array" ref="G135">SUM(_xlfn._xlws.FILTER(CLIENTES!$F136:$K136,(CLIENTES!$F$9:$K$9=$E$1),0))</f>
        <v>2E-3</v>
      </c>
    </row>
    <row r="136" spans="1:7" hidden="1" x14ac:dyDescent="0.2">
      <c r="A136" s="336"/>
      <c r="B136" s="288" t="s">
        <v>12</v>
      </c>
      <c r="C136" s="291" cm="1">
        <f t="array" ref="C136">SUM(_xlfn._xlws.FILTER(CLIENTES!$F137:$K137,(CLIENTES!$F$9:$K$9=$A$1),0))</f>
        <v>1768.105391911884</v>
      </c>
      <c r="E136" s="336"/>
      <c r="F136" s="288" t="s">
        <v>12</v>
      </c>
      <c r="G136" s="291" cm="1">
        <f t="array" ref="G136">SUM(_xlfn._xlws.FILTER(CLIENTES!$F137:$K137,(CLIENTES!$F$9:$K$9=$E$1),0))</f>
        <v>-0.31019392840559362</v>
      </c>
    </row>
    <row r="137" spans="1:7" hidden="1" x14ac:dyDescent="0.2">
      <c r="A137" s="336"/>
      <c r="B137" s="288" t="s">
        <v>11</v>
      </c>
      <c r="C137" s="291" cm="1">
        <f t="array" ref="C137">SUM(_xlfn._xlws.FILTER(CLIENTES!$F138:$K138,(CLIENTES!$F$9:$K$9=$A$1),0))</f>
        <v>885820.80134785385</v>
      </c>
      <c r="E137" s="336"/>
      <c r="F137" s="288" t="s">
        <v>11</v>
      </c>
      <c r="G137" s="291" cm="1">
        <f t="array" ref="G137">SUM(_xlfn._xlws.FILTER(CLIENTES!$F138:$K138,(CLIENTES!$F$9:$K$9=$E$1),0))</f>
        <v>-155.40715813120241</v>
      </c>
    </row>
    <row r="138" spans="1:7" hidden="1" x14ac:dyDescent="0.2">
      <c r="A138" s="337">
        <v>44044</v>
      </c>
      <c r="B138" s="288" t="s">
        <v>5</v>
      </c>
      <c r="C138" s="291" cm="1">
        <f t="array" ref="C138">SUM(_xlfn._xlws.FILTER(CLIENTES!$F139:$K139,(CLIENTES!$F$9:$K$9=$A$1),0))</f>
        <v>0</v>
      </c>
      <c r="E138" s="337">
        <v>44044</v>
      </c>
      <c r="F138" s="288" t="s">
        <v>5</v>
      </c>
      <c r="G138" s="291" cm="1">
        <f t="array" ref="G138">SUM(_xlfn._xlws.FILTER(CLIENTES!$F139:$K139,(CLIENTES!$F$9:$K$9=$E$1),0))</f>
        <v>0</v>
      </c>
    </row>
    <row r="139" spans="1:7" hidden="1" x14ac:dyDescent="0.2">
      <c r="A139" s="338"/>
      <c r="B139" s="288" t="s">
        <v>7</v>
      </c>
      <c r="C139" s="304" cm="1">
        <f t="array" ref="C139">SUM(_xlfn._xlws.FILTER(CLIENTES!$F140:$K140,(CLIENTES!$F$9:$K$9=$A$1),0))</f>
        <v>0.48000000000000004</v>
      </c>
      <c r="E139" s="338"/>
      <c r="F139" s="288" t="s">
        <v>7</v>
      </c>
      <c r="G139" s="304" cm="1">
        <f t="array" ref="G139">SUM(_xlfn._xlws.FILTER(CLIENTES!$F140:$K140,(CLIENTES!$F$9:$K$9=$E$1),0))</f>
        <v>0.24000000000000002</v>
      </c>
    </row>
    <row r="140" spans="1:7" hidden="1" x14ac:dyDescent="0.2">
      <c r="A140" s="338"/>
      <c r="B140" s="288" t="s">
        <v>6</v>
      </c>
      <c r="C140" s="291" cm="1">
        <f t="array" ref="C140">SUM(_xlfn._xlws.FILTER(CLIENTES!$F141:$K141,(CLIENTES!$F$9:$K$9=$A$1),0))</f>
        <v>95000</v>
      </c>
      <c r="E140" s="338"/>
      <c r="F140" s="288" t="s">
        <v>6</v>
      </c>
      <c r="G140" s="291" cm="1">
        <f t="array" ref="G140">SUM(_xlfn._xlws.FILTER(CLIENTES!$F141:$K141,(CLIENTES!$F$9:$K$9=$E$1),0))</f>
        <v>0</v>
      </c>
    </row>
    <row r="141" spans="1:7" hidden="1" x14ac:dyDescent="0.2">
      <c r="A141" s="338"/>
      <c r="B141" s="288" t="s">
        <v>9</v>
      </c>
      <c r="C141" s="291" cm="1">
        <f t="array" ref="C141">SUM(_xlfn._xlws.FILTER(CLIENTES!$F142:$K142,(CLIENTES!$F$9:$K$9=$A$1),0))</f>
        <v>0</v>
      </c>
      <c r="E141" s="338"/>
      <c r="F141" s="288" t="s">
        <v>9</v>
      </c>
      <c r="G141" s="291" cm="1">
        <f t="array" ref="G141">SUM(_xlfn._xlws.FILTER(CLIENTES!$F142:$K142,(CLIENTES!$F$9:$K$9=$E$1),0))</f>
        <v>0</v>
      </c>
    </row>
    <row r="142" spans="1:7" hidden="1" x14ac:dyDescent="0.2">
      <c r="A142" s="338"/>
      <c r="B142" s="288" t="s">
        <v>14</v>
      </c>
      <c r="C142" s="291" cm="1">
        <f t="array" ref="C142">SUM(_xlfn._xlws.FILTER(CLIENTES!$F143:$K143,(CLIENTES!$F$9:$K$9=$A$1),0))</f>
        <v>885820.80134785385</v>
      </c>
      <c r="E142" s="338"/>
      <c r="F142" s="288" t="s">
        <v>14</v>
      </c>
      <c r="G142" s="291" cm="1">
        <f t="array" ref="G142">SUM(_xlfn._xlws.FILTER(CLIENTES!$F143:$K143,(CLIENTES!$F$9:$K$9=$E$1),0))</f>
        <v>-155.40715813120241</v>
      </c>
    </row>
    <row r="143" spans="1:7" hidden="1" x14ac:dyDescent="0.2">
      <c r="A143" s="338"/>
      <c r="B143" s="288" t="s">
        <v>10</v>
      </c>
      <c r="C143" s="304" cm="1">
        <f t="array" ref="C143">SUM(_xlfn._xlws.FILTER(CLIENTES!$F144:$K144,(CLIENTES!$F$9:$K$9=$A$1),0))</f>
        <v>6.7999999999999996E-3</v>
      </c>
      <c r="E143" s="338"/>
      <c r="F143" s="288" t="s">
        <v>10</v>
      </c>
      <c r="G143" s="304" cm="1">
        <f t="array" ref="G143">SUM(_xlfn._xlws.FILTER(CLIENTES!$F144:$K144,(CLIENTES!$F$9:$K$9=$E$1),0))</f>
        <v>3.3999999999999998E-3</v>
      </c>
    </row>
    <row r="144" spans="1:7" hidden="1" x14ac:dyDescent="0.2">
      <c r="A144" s="338"/>
      <c r="B144" s="288" t="s">
        <v>12</v>
      </c>
      <c r="C144" s="291" cm="1">
        <f t="array" ref="C144">SUM(_xlfn._xlws.FILTER(CLIENTES!$F145:$K145,(CLIENTES!$F$9:$K$9=$A$1),0))</f>
        <v>3011.7907245827032</v>
      </c>
      <c r="E144" s="338"/>
      <c r="F144" s="288" t="s">
        <v>12</v>
      </c>
      <c r="G144" s="291" cm="1">
        <f t="array" ref="G144">SUM(_xlfn._xlws.FILTER(CLIENTES!$F145:$K145,(CLIENTES!$F$9:$K$9=$E$1),0))</f>
        <v>-0.52838433764608816</v>
      </c>
    </row>
    <row r="145" spans="1:7" hidden="1" x14ac:dyDescent="0.2">
      <c r="A145" s="339"/>
      <c r="B145" s="288" t="s">
        <v>11</v>
      </c>
      <c r="C145" s="291" cm="1">
        <f t="array" ref="C145">SUM(_xlfn._xlws.FILTER(CLIENTES!$F146:$K146,(CLIENTES!$F$9:$K$9=$A$1),0))</f>
        <v>888832.59207243659</v>
      </c>
      <c r="E145" s="339"/>
      <c r="F145" s="288" t="s">
        <v>11</v>
      </c>
      <c r="G145" s="291" cm="1">
        <f t="array" ref="G145">SUM(_xlfn._xlws.FILTER(CLIENTES!$F146:$K146,(CLIENTES!$F$9:$K$9=$E$1),0))</f>
        <v>-155.9355424688485</v>
      </c>
    </row>
    <row r="146" spans="1:7" hidden="1" x14ac:dyDescent="0.2">
      <c r="A146" s="336">
        <v>44075</v>
      </c>
      <c r="B146" s="288" t="s">
        <v>5</v>
      </c>
      <c r="C146" s="291" cm="1">
        <f t="array" ref="C146">SUM(_xlfn._xlws.FILTER(CLIENTES!$F147:$K147,(CLIENTES!$F$9:$K$9=$A$1),0))</f>
        <v>0</v>
      </c>
      <c r="E146" s="336">
        <v>44075</v>
      </c>
      <c r="F146" s="288" t="s">
        <v>5</v>
      </c>
      <c r="G146" s="291" cm="1">
        <f t="array" ref="G146">SUM(_xlfn._xlws.FILTER(CLIENTES!$F147:$K147,(CLIENTES!$F$9:$K$9=$E$1),0))</f>
        <v>0</v>
      </c>
    </row>
    <row r="147" spans="1:7" hidden="1" x14ac:dyDescent="0.2">
      <c r="A147" s="336"/>
      <c r="B147" s="288" t="s">
        <v>7</v>
      </c>
      <c r="C147" s="304" cm="1">
        <f t="array" ref="C147">SUM(_xlfn._xlws.FILTER(CLIENTES!$F148:$K148,(CLIENTES!$F$9:$K$9=$A$1),0))</f>
        <v>0.48000000000000004</v>
      </c>
      <c r="E147" s="336"/>
      <c r="F147" s="288" t="s">
        <v>7</v>
      </c>
      <c r="G147" s="304" cm="1">
        <f t="array" ref="G147">SUM(_xlfn._xlws.FILTER(CLIENTES!$F148:$K148,(CLIENTES!$F$9:$K$9=$E$1),0))</f>
        <v>0.24000000000000002</v>
      </c>
    </row>
    <row r="148" spans="1:7" hidden="1" x14ac:dyDescent="0.2">
      <c r="A148" s="336"/>
      <c r="B148" s="288" t="s">
        <v>6</v>
      </c>
      <c r="C148" s="291" cm="1">
        <f t="array" ref="C148">SUM(_xlfn._xlws.FILTER(CLIENTES!$F149:$K149,(CLIENTES!$F$9:$K$9=$A$1),0))</f>
        <v>95000</v>
      </c>
      <c r="E148" s="336"/>
      <c r="F148" s="288" t="s">
        <v>6</v>
      </c>
      <c r="G148" s="291" cm="1">
        <f t="array" ref="G148">SUM(_xlfn._xlws.FILTER(CLIENTES!$F149:$K149,(CLIENTES!$F$9:$K$9=$E$1),0))</f>
        <v>0</v>
      </c>
    </row>
    <row r="149" spans="1:7" hidden="1" x14ac:dyDescent="0.2">
      <c r="A149" s="336"/>
      <c r="B149" s="288" t="s">
        <v>9</v>
      </c>
      <c r="C149" s="291" cm="1">
        <f t="array" ref="C149">SUM(_xlfn._xlws.FILTER(CLIENTES!$F150:$K150,(CLIENTES!$F$9:$K$9=$A$1),0))</f>
        <v>0</v>
      </c>
      <c r="E149" s="336"/>
      <c r="F149" s="288" t="s">
        <v>9</v>
      </c>
      <c r="G149" s="291" cm="1">
        <f t="array" ref="G149">SUM(_xlfn._xlws.FILTER(CLIENTES!$F150:$K150,(CLIENTES!$F$9:$K$9=$E$1),0))</f>
        <v>0</v>
      </c>
    </row>
    <row r="150" spans="1:7" hidden="1" x14ac:dyDescent="0.2">
      <c r="A150" s="336"/>
      <c r="B150" s="288" t="s">
        <v>14</v>
      </c>
      <c r="C150" s="291" cm="1">
        <f t="array" ref="C150">SUM(_xlfn._xlws.FILTER(CLIENTES!$F151:$K151,(CLIENTES!$F$9:$K$9=$A$1),0))</f>
        <v>888832.59207243659</v>
      </c>
      <c r="E150" s="336"/>
      <c r="F150" s="288" t="s">
        <v>14</v>
      </c>
      <c r="G150" s="291" cm="1">
        <f t="array" ref="G150">SUM(_xlfn._xlws.FILTER(CLIENTES!$F151:$K151,(CLIENTES!$F$9:$K$9=$E$1),0))</f>
        <v>-155.9355424688485</v>
      </c>
    </row>
    <row r="151" spans="1:7" hidden="1" x14ac:dyDescent="0.2">
      <c r="A151" s="336"/>
      <c r="B151" s="288" t="s">
        <v>10</v>
      </c>
      <c r="C151" s="304" cm="1">
        <f t="array" ref="C151">SUM(_xlfn._xlws.FILTER(CLIENTES!$F152:$K152,(CLIENTES!$F$9:$K$9=$A$1),0))</f>
        <v>2.3400000000000001E-2</v>
      </c>
      <c r="E151" s="336"/>
      <c r="F151" s="288" t="s">
        <v>10</v>
      </c>
      <c r="G151" s="304" cm="1">
        <f t="array" ref="G151">SUM(_xlfn._xlws.FILTER(CLIENTES!$F152:$K152,(CLIENTES!$F$9:$K$9=$E$1),0))</f>
        <v>1.17E-2</v>
      </c>
    </row>
    <row r="152" spans="1:7" hidden="1" x14ac:dyDescent="0.2">
      <c r="A152" s="336"/>
      <c r="B152" s="288" t="s">
        <v>12</v>
      </c>
      <c r="C152" s="291" cm="1">
        <f t="array" ref="C152">SUM(_xlfn._xlws.FILTER(CLIENTES!$F153:$K153,(CLIENTES!$F$9:$K$9=$A$1),0))</f>
        <v>10399.341327247508</v>
      </c>
      <c r="E152" s="336"/>
      <c r="F152" s="288" t="s">
        <v>12</v>
      </c>
      <c r="G152" s="291" cm="1">
        <f t="array" ref="G152">SUM(_xlfn._xlws.FILTER(CLIENTES!$F153:$K153,(CLIENTES!$F$9:$K$9=$E$1),0))</f>
        <v>-1.8244458468855274</v>
      </c>
    </row>
    <row r="153" spans="1:7" hidden="1" x14ac:dyDescent="0.2">
      <c r="A153" s="336"/>
      <c r="B153" s="288" t="s">
        <v>11</v>
      </c>
      <c r="C153" s="291" cm="1">
        <f t="array" ref="C153">SUM(_xlfn._xlws.FILTER(CLIENTES!$F154:$K154,(CLIENTES!$F$9:$K$9=$A$1),0))</f>
        <v>899231.93339968415</v>
      </c>
      <c r="E153" s="336"/>
      <c r="F153" s="288" t="s">
        <v>11</v>
      </c>
      <c r="G153" s="291" cm="1">
        <f t="array" ref="G153">SUM(_xlfn._xlws.FILTER(CLIENTES!$F154:$K154,(CLIENTES!$F$9:$K$9=$E$1),0))</f>
        <v>-157.75998831573403</v>
      </c>
    </row>
    <row r="154" spans="1:7" hidden="1" x14ac:dyDescent="0.2">
      <c r="A154" s="337">
        <v>44105</v>
      </c>
      <c r="B154" s="288" t="s">
        <v>5</v>
      </c>
      <c r="C154" s="291" cm="1">
        <f t="array" ref="C154">SUM(_xlfn._xlws.FILTER(CLIENTES!$F155:$K155,(CLIENTES!$F$9:$K$9=$A$1),0))</f>
        <v>0</v>
      </c>
      <c r="E154" s="337">
        <v>44105</v>
      </c>
      <c r="F154" s="288" t="s">
        <v>5</v>
      </c>
      <c r="G154" s="291" cm="1">
        <f t="array" ref="G154">SUM(_xlfn._xlws.FILTER(CLIENTES!$F155:$K155,(CLIENTES!$F$9:$K$9=$E$1),0))</f>
        <v>0</v>
      </c>
    </row>
    <row r="155" spans="1:7" hidden="1" x14ac:dyDescent="0.2">
      <c r="A155" s="338"/>
      <c r="B155" s="288" t="s">
        <v>7</v>
      </c>
      <c r="C155" s="304" cm="1">
        <f t="array" ref="C155">SUM(_xlfn._xlws.FILTER(CLIENTES!$F156:$K156,(CLIENTES!$F$9:$K$9=$A$1),0))</f>
        <v>0.48000000000000004</v>
      </c>
      <c r="E155" s="338"/>
      <c r="F155" s="288" t="s">
        <v>7</v>
      </c>
      <c r="G155" s="304" cm="1">
        <f t="array" ref="G155">SUM(_xlfn._xlws.FILTER(CLIENTES!$F156:$K156,(CLIENTES!$F$9:$K$9=$E$1),0))</f>
        <v>0.24000000000000002</v>
      </c>
    </row>
    <row r="156" spans="1:7" hidden="1" x14ac:dyDescent="0.2">
      <c r="A156" s="338"/>
      <c r="B156" s="288" t="s">
        <v>6</v>
      </c>
      <c r="C156" s="291" cm="1">
        <f t="array" ref="C156">SUM(_xlfn._xlws.FILTER(CLIENTES!$F157:$K157,(CLIENTES!$F$9:$K$9=$A$1),0))</f>
        <v>95000</v>
      </c>
      <c r="E156" s="338"/>
      <c r="F156" s="288" t="s">
        <v>6</v>
      </c>
      <c r="G156" s="291" cm="1">
        <f t="array" ref="G156">SUM(_xlfn._xlws.FILTER(CLIENTES!$F157:$K157,(CLIENTES!$F$9:$K$9=$E$1),0))</f>
        <v>0</v>
      </c>
    </row>
    <row r="157" spans="1:7" hidden="1" x14ac:dyDescent="0.2">
      <c r="A157" s="338"/>
      <c r="B157" s="288" t="s">
        <v>9</v>
      </c>
      <c r="C157" s="291" cm="1">
        <f t="array" ref="C157">SUM(_xlfn._xlws.FILTER(CLIENTES!$F158:$K158,(CLIENTES!$F$9:$K$9=$A$1),0))</f>
        <v>0</v>
      </c>
      <c r="E157" s="338"/>
      <c r="F157" s="288" t="s">
        <v>9</v>
      </c>
      <c r="G157" s="291" cm="1">
        <f t="array" ref="G157">SUM(_xlfn._xlws.FILTER(CLIENTES!$F158:$K158,(CLIENTES!$F$9:$K$9=$E$1),0))</f>
        <v>0</v>
      </c>
    </row>
    <row r="158" spans="1:7" hidden="1" x14ac:dyDescent="0.2">
      <c r="A158" s="338"/>
      <c r="B158" s="288" t="s">
        <v>14</v>
      </c>
      <c r="C158" s="291" cm="1">
        <f t="array" ref="C158">SUM(_xlfn._xlws.FILTER(CLIENTES!$F159:$K159,(CLIENTES!$F$9:$K$9=$A$1),0))</f>
        <v>899231.93339968415</v>
      </c>
      <c r="E158" s="338"/>
      <c r="F158" s="288" t="s">
        <v>14</v>
      </c>
      <c r="G158" s="291" cm="1">
        <f t="array" ref="G158">SUM(_xlfn._xlws.FILTER(CLIENTES!$F159:$K159,(CLIENTES!$F$9:$K$9=$E$1),0))</f>
        <v>-157.75998831573403</v>
      </c>
    </row>
    <row r="159" spans="1:7" hidden="1" x14ac:dyDescent="0.2">
      <c r="A159" s="338"/>
      <c r="B159" s="288" t="s">
        <v>10</v>
      </c>
      <c r="C159" s="304" cm="1">
        <f t="array" ref="C159">SUM(_xlfn._xlws.FILTER(CLIENTES!$F160:$K160,(CLIENTES!$F$9:$K$9=$A$1),0))</f>
        <v>1.44E-2</v>
      </c>
      <c r="E159" s="338"/>
      <c r="F159" s="288" t="s">
        <v>10</v>
      </c>
      <c r="G159" s="304" cm="1">
        <f t="array" ref="G159">SUM(_xlfn._xlws.FILTER(CLIENTES!$F160:$K160,(CLIENTES!$F$9:$K$9=$E$1),0))</f>
        <v>7.1999999999999998E-3</v>
      </c>
    </row>
    <row r="160" spans="1:7" hidden="1" x14ac:dyDescent="0.2">
      <c r="A160" s="338"/>
      <c r="B160" s="288" t="s">
        <v>12</v>
      </c>
      <c r="C160" s="291" cm="1">
        <f t="array" ref="C160">SUM(_xlfn._xlws.FILTER(CLIENTES!$F161:$K161,(CLIENTES!$F$9:$K$9=$A$1),0))</f>
        <v>6474.4699204777253</v>
      </c>
      <c r="E160" s="338"/>
      <c r="F160" s="288" t="s">
        <v>12</v>
      </c>
      <c r="G160" s="291" cm="1">
        <f t="array" ref="G160">SUM(_xlfn._xlws.FILTER(CLIENTES!$F161:$K161,(CLIENTES!$F$9:$K$9=$E$1),0))</f>
        <v>-1.1358719158732851</v>
      </c>
    </row>
    <row r="161" spans="1:7" hidden="1" x14ac:dyDescent="0.2">
      <c r="A161" s="339"/>
      <c r="B161" s="288" t="s">
        <v>11</v>
      </c>
      <c r="C161" s="291" cm="1">
        <f t="array" ref="C161">SUM(_xlfn._xlws.FILTER(CLIENTES!$F162:$K162,(CLIENTES!$F$9:$K$9=$A$1),0))</f>
        <v>905706.40332016186</v>
      </c>
      <c r="E161" s="339"/>
      <c r="F161" s="288" t="s">
        <v>11</v>
      </c>
      <c r="G161" s="291" cm="1">
        <f t="array" ref="G161">SUM(_xlfn._xlws.FILTER(CLIENTES!$F162:$K162,(CLIENTES!$F$9:$K$9=$E$1),0))</f>
        <v>-158.89586023160732</v>
      </c>
    </row>
    <row r="162" spans="1:7" hidden="1" x14ac:dyDescent="0.2">
      <c r="A162" s="336">
        <v>44136</v>
      </c>
      <c r="B162" s="288" t="s">
        <v>5</v>
      </c>
      <c r="C162" s="291" cm="1">
        <f t="array" ref="C162">SUM(_xlfn._xlws.FILTER(CLIENTES!$F163:$K163,(CLIENTES!$F$9:$K$9=$A$1),0))</f>
        <v>0</v>
      </c>
      <c r="E162" s="336">
        <v>44136</v>
      </c>
      <c r="F162" s="288" t="s">
        <v>5</v>
      </c>
      <c r="G162" s="291" cm="1">
        <f t="array" ref="G162">SUM(_xlfn._xlws.FILTER(CLIENTES!$F163:$K163,(CLIENTES!$F$9:$K$9=$E$1),0))</f>
        <v>0</v>
      </c>
    </row>
    <row r="163" spans="1:7" hidden="1" x14ac:dyDescent="0.2">
      <c r="A163" s="336"/>
      <c r="B163" s="288" t="s">
        <v>7</v>
      </c>
      <c r="C163" s="304" cm="1">
        <f t="array" ref="C163">SUM(_xlfn._xlws.FILTER(CLIENTES!$F164:$K164,(CLIENTES!$F$9:$K$9=$A$1),0))</f>
        <v>0.48000000000000004</v>
      </c>
      <c r="E163" s="336"/>
      <c r="F163" s="288" t="s">
        <v>7</v>
      </c>
      <c r="G163" s="304" cm="1">
        <f t="array" ref="G163">SUM(_xlfn._xlws.FILTER(CLIENTES!$F164:$K164,(CLIENTES!$F$9:$K$9=$E$1),0))</f>
        <v>0.24000000000000002</v>
      </c>
    </row>
    <row r="164" spans="1:7" hidden="1" x14ac:dyDescent="0.2">
      <c r="A164" s="336"/>
      <c r="B164" s="288" t="s">
        <v>6</v>
      </c>
      <c r="C164" s="291" cm="1">
        <f t="array" ref="C164">SUM(_xlfn._xlws.FILTER(CLIENTES!$F165:$K165,(CLIENTES!$F$9:$K$9=$A$1),0))</f>
        <v>95000</v>
      </c>
      <c r="E164" s="336"/>
      <c r="F164" s="288" t="s">
        <v>6</v>
      </c>
      <c r="G164" s="291" cm="1">
        <f t="array" ref="G164">SUM(_xlfn._xlws.FILTER(CLIENTES!$F165:$K165,(CLIENTES!$F$9:$K$9=$E$1),0))</f>
        <v>0</v>
      </c>
    </row>
    <row r="165" spans="1:7" hidden="1" x14ac:dyDescent="0.2">
      <c r="A165" s="336"/>
      <c r="B165" s="288" t="s">
        <v>9</v>
      </c>
      <c r="C165" s="291" cm="1">
        <f t="array" ref="C165">SUM(_xlfn._xlws.FILTER(CLIENTES!$F166:$K166,(CLIENTES!$F$9:$K$9=$A$1),0))</f>
        <v>0</v>
      </c>
      <c r="E165" s="336"/>
      <c r="F165" s="288" t="s">
        <v>9</v>
      </c>
      <c r="G165" s="291" cm="1">
        <f t="array" ref="G165">SUM(_xlfn._xlws.FILTER(CLIENTES!$F166:$K166,(CLIENTES!$F$9:$K$9=$E$1),0))</f>
        <v>0</v>
      </c>
    </row>
    <row r="166" spans="1:7" hidden="1" x14ac:dyDescent="0.2">
      <c r="A166" s="336"/>
      <c r="B166" s="288" t="s">
        <v>14</v>
      </c>
      <c r="C166" s="291" cm="1">
        <f t="array" ref="C166">SUM(_xlfn._xlws.FILTER(CLIENTES!$F167:$K167,(CLIENTES!$F$9:$K$9=$A$1),0))</f>
        <v>905706.40332016186</v>
      </c>
      <c r="E166" s="336"/>
      <c r="F166" s="288" t="s">
        <v>14</v>
      </c>
      <c r="G166" s="291" cm="1">
        <f t="array" ref="G166">SUM(_xlfn._xlws.FILTER(CLIENTES!$F167:$K167,(CLIENTES!$F$9:$K$9=$E$1),0))</f>
        <v>-158.89586023160732</v>
      </c>
    </row>
    <row r="167" spans="1:7" hidden="1" x14ac:dyDescent="0.2">
      <c r="A167" s="336"/>
      <c r="B167" s="288" t="s">
        <v>10</v>
      </c>
      <c r="C167" s="304" cm="1">
        <f t="array" ref="C167">SUM(_xlfn._xlws.FILTER(CLIENTES!$F168:$K168,(CLIENTES!$F$9:$K$9=$A$1),0))</f>
        <v>2.3199999999999998E-2</v>
      </c>
      <c r="E167" s="336"/>
      <c r="F167" s="288" t="s">
        <v>10</v>
      </c>
      <c r="G167" s="304" cm="1">
        <f t="array" ref="G167">SUM(_xlfn._xlws.FILTER(CLIENTES!$F168:$K168,(CLIENTES!$F$9:$K$9=$E$1),0))</f>
        <v>1.1599999999999999E-2</v>
      </c>
    </row>
    <row r="168" spans="1:7" hidden="1" x14ac:dyDescent="0.2">
      <c r="A168" s="336"/>
      <c r="B168" s="288" t="s">
        <v>12</v>
      </c>
      <c r="C168" s="291" cm="1">
        <f t="array" ref="C168">SUM(_xlfn._xlws.FILTER(CLIENTES!$F169:$K169,(CLIENTES!$F$9:$K$9=$A$1),0))</f>
        <v>10506.194278513876</v>
      </c>
      <c r="E168" s="336"/>
      <c r="F168" s="288" t="s">
        <v>12</v>
      </c>
      <c r="G168" s="291" cm="1">
        <f t="array" ref="G168">SUM(_xlfn._xlws.FILTER(CLIENTES!$F169:$K169,(CLIENTES!$F$9:$K$9=$E$1),0))</f>
        <v>-1.8431919786866446</v>
      </c>
    </row>
    <row r="169" spans="1:7" hidden="1" x14ac:dyDescent="0.2">
      <c r="A169" s="336"/>
      <c r="B169" s="288" t="s">
        <v>11</v>
      </c>
      <c r="C169" s="291" cm="1">
        <f t="array" ref="C169">SUM(_xlfn._xlws.FILTER(CLIENTES!$F170:$K170,(CLIENTES!$F$9:$K$9=$A$1),0))</f>
        <v>916212.59759867575</v>
      </c>
      <c r="E169" s="336"/>
      <c r="F169" s="288" t="s">
        <v>11</v>
      </c>
      <c r="G169" s="291" cm="1">
        <f t="array" ref="G169">SUM(_xlfn._xlws.FILTER(CLIENTES!$F170:$K170,(CLIENTES!$F$9:$K$9=$E$1),0))</f>
        <v>-160.73905221029395</v>
      </c>
    </row>
    <row r="170" spans="1:7" hidden="1" x14ac:dyDescent="0.2">
      <c r="A170" s="337">
        <v>44166</v>
      </c>
      <c r="B170" s="288" t="s">
        <v>5</v>
      </c>
      <c r="C170" s="291" cm="1">
        <f t="array" ref="C170">SUM(_xlfn._xlws.FILTER(CLIENTES!$F171:$K171,(CLIENTES!$F$9:$K$9=$A$1),0))</f>
        <v>0</v>
      </c>
      <c r="E170" s="337">
        <v>44166</v>
      </c>
      <c r="F170" s="288" t="s">
        <v>5</v>
      </c>
      <c r="G170" s="291" cm="1">
        <f t="array" ref="G170">SUM(_xlfn._xlws.FILTER(CLIENTES!$F171:$K171,(CLIENTES!$F$9:$K$9=$E$1),0))</f>
        <v>0</v>
      </c>
    </row>
    <row r="171" spans="1:7" hidden="1" x14ac:dyDescent="0.2">
      <c r="A171" s="338"/>
      <c r="B171" s="288" t="s">
        <v>7</v>
      </c>
      <c r="C171" s="304" cm="1">
        <f t="array" ref="C171">SUM(_xlfn._xlws.FILTER(CLIENTES!$F172:$K172,(CLIENTES!$F$9:$K$9=$A$1),0))</f>
        <v>0.48000000000000004</v>
      </c>
      <c r="E171" s="338"/>
      <c r="F171" s="288" t="s">
        <v>7</v>
      </c>
      <c r="G171" s="304" cm="1">
        <f t="array" ref="G171">SUM(_xlfn._xlws.FILTER(CLIENTES!$F172:$K172,(CLIENTES!$F$9:$K$9=$E$1),0))</f>
        <v>0.24000000000000002</v>
      </c>
    </row>
    <row r="172" spans="1:7" hidden="1" x14ac:dyDescent="0.2">
      <c r="A172" s="338"/>
      <c r="B172" s="288" t="s">
        <v>6</v>
      </c>
      <c r="C172" s="291" cm="1">
        <f t="array" ref="C172">SUM(_xlfn._xlws.FILTER(CLIENTES!$F173:$K173,(CLIENTES!$F$9:$K$9=$A$1),0))</f>
        <v>95000</v>
      </c>
      <c r="E172" s="338"/>
      <c r="F172" s="288" t="s">
        <v>6</v>
      </c>
      <c r="G172" s="291" cm="1">
        <f t="array" ref="G172">SUM(_xlfn._xlws.FILTER(CLIENTES!$F173:$K173,(CLIENTES!$F$9:$K$9=$E$1),0))</f>
        <v>0</v>
      </c>
    </row>
    <row r="173" spans="1:7" hidden="1" x14ac:dyDescent="0.2">
      <c r="A173" s="338"/>
      <c r="B173" s="288" t="s">
        <v>9</v>
      </c>
      <c r="C173" s="291" cm="1">
        <f t="array" ref="C173">SUM(_xlfn._xlws.FILTER(CLIENTES!$F174:$K174,(CLIENTES!$F$9:$K$9=$A$1),0))</f>
        <v>0</v>
      </c>
      <c r="E173" s="338"/>
      <c r="F173" s="288" t="s">
        <v>9</v>
      </c>
      <c r="G173" s="291" cm="1">
        <f t="array" ref="G173">SUM(_xlfn._xlws.FILTER(CLIENTES!$F174:$K174,(CLIENTES!$F$9:$K$9=$E$1),0))</f>
        <v>0</v>
      </c>
    </row>
    <row r="174" spans="1:7" hidden="1" x14ac:dyDescent="0.2">
      <c r="A174" s="338"/>
      <c r="B174" s="288" t="s">
        <v>14</v>
      </c>
      <c r="C174" s="291" cm="1">
        <f t="array" ref="C174">SUM(_xlfn._xlws.FILTER(CLIENTES!$F175:$K175,(CLIENTES!$F$9:$K$9=$A$1),0))</f>
        <v>916212.59759867575</v>
      </c>
      <c r="E174" s="338"/>
      <c r="F174" s="288" t="s">
        <v>14</v>
      </c>
      <c r="G174" s="291" cm="1">
        <f t="array" ref="G174">SUM(_xlfn._xlws.FILTER(CLIENTES!$F175:$K175,(CLIENTES!$F$9:$K$9=$E$1),0))</f>
        <v>-160.73905221029395</v>
      </c>
    </row>
    <row r="175" spans="1:7" hidden="1" x14ac:dyDescent="0.2">
      <c r="A175" s="338"/>
      <c r="B175" s="288" t="s">
        <v>10</v>
      </c>
      <c r="C175" s="304" cm="1">
        <f t="array" ref="C175">SUM(_xlfn._xlws.FILTER(CLIENTES!$F176:$K176,(CLIENTES!$F$9:$K$9=$A$1),0))</f>
        <v>3.4599999999999999E-2</v>
      </c>
      <c r="E175" s="338"/>
      <c r="F175" s="288" t="s">
        <v>10</v>
      </c>
      <c r="G175" s="304" cm="1">
        <f t="array" ref="G175">SUM(_xlfn._xlws.FILTER(CLIENTES!$F176:$K176,(CLIENTES!$F$9:$K$9=$E$1),0))</f>
        <v>1.7299999999999999E-2</v>
      </c>
    </row>
    <row r="176" spans="1:7" hidden="1" x14ac:dyDescent="0.2">
      <c r="A176" s="338"/>
      <c r="B176" s="288" t="s">
        <v>12</v>
      </c>
      <c r="C176" s="291" cm="1">
        <f t="array" ref="C176">SUM(_xlfn._xlws.FILTER(CLIENTES!$F177:$K177,(CLIENTES!$F$9:$K$9=$A$1),0))</f>
        <v>15850.47793845709</v>
      </c>
      <c r="E176" s="338"/>
      <c r="F176" s="288" t="s">
        <v>12</v>
      </c>
      <c r="G176" s="291" cm="1">
        <f t="array" ref="G176">SUM(_xlfn._xlws.FILTER(CLIENTES!$F177:$K177,(CLIENTES!$F$9:$K$9=$E$1),0))</f>
        <v>-2.7807856032380851</v>
      </c>
    </row>
    <row r="177" spans="1:7" hidden="1" x14ac:dyDescent="0.2">
      <c r="A177" s="339"/>
      <c r="B177" s="288" t="s">
        <v>11</v>
      </c>
      <c r="C177" s="291" cm="1">
        <f t="array" ref="C177">SUM(_xlfn._xlws.FILTER(CLIENTES!$F178:$K178,(CLIENTES!$F$9:$K$9=$A$1),0))</f>
        <v>932063.0755371328</v>
      </c>
      <c r="E177" s="339"/>
      <c r="F177" s="288" t="s">
        <v>11</v>
      </c>
      <c r="G177" s="291" cm="1">
        <f t="array" ref="G177">SUM(_xlfn._xlws.FILTER(CLIENTES!$F178:$K178,(CLIENTES!$F$9:$K$9=$E$1),0))</f>
        <v>-163.51983781353204</v>
      </c>
    </row>
    <row r="178" spans="1:7" hidden="1" x14ac:dyDescent="0.2">
      <c r="A178" s="336">
        <v>44197</v>
      </c>
      <c r="B178" s="288" t="s">
        <v>5</v>
      </c>
      <c r="C178" s="291" cm="1">
        <f t="array" ref="C178">SUM(_xlfn._xlws.FILTER(CLIENTES!$F179:$K179,(CLIENTES!$F$9:$K$9=$A$1),0))</f>
        <v>0</v>
      </c>
      <c r="E178" s="336">
        <v>44197</v>
      </c>
      <c r="F178" s="288" t="s">
        <v>5</v>
      </c>
      <c r="G178" s="291" cm="1">
        <f t="array" ref="G178">SUM(_xlfn._xlws.FILTER(CLIENTES!$F179:$K179,(CLIENTES!$F$9:$K$9=$E$1),0))</f>
        <v>0</v>
      </c>
    </row>
    <row r="179" spans="1:7" hidden="1" x14ac:dyDescent="0.2">
      <c r="A179" s="336"/>
      <c r="B179" s="288" t="s">
        <v>7</v>
      </c>
      <c r="C179" s="304" cm="1">
        <f t="array" ref="C179">SUM(_xlfn._xlws.FILTER(CLIENTES!$F180:$K180,(CLIENTES!$F$9:$K$9=$A$1),0))</f>
        <v>0.48000000000000004</v>
      </c>
      <c r="E179" s="336"/>
      <c r="F179" s="288" t="s">
        <v>7</v>
      </c>
      <c r="G179" s="304" cm="1">
        <f t="array" ref="G179">SUM(_xlfn._xlws.FILTER(CLIENTES!$F180:$K180,(CLIENTES!$F$9:$K$9=$E$1),0))</f>
        <v>0.24000000000000002</v>
      </c>
    </row>
    <row r="180" spans="1:7" hidden="1" x14ac:dyDescent="0.2">
      <c r="A180" s="336"/>
      <c r="B180" s="288" t="s">
        <v>6</v>
      </c>
      <c r="C180" s="291" cm="1">
        <f t="array" ref="C180">SUM(_xlfn._xlws.FILTER(CLIENTES!$F181:$K181,(CLIENTES!$F$9:$K$9=$A$1),0))</f>
        <v>95000</v>
      </c>
      <c r="E180" s="336"/>
      <c r="F180" s="288" t="s">
        <v>6</v>
      </c>
      <c r="G180" s="291" cm="1">
        <f t="array" ref="G180">SUM(_xlfn._xlws.FILTER(CLIENTES!$F181:$K181,(CLIENTES!$F$9:$K$9=$E$1),0))</f>
        <v>0</v>
      </c>
    </row>
    <row r="181" spans="1:7" hidden="1" x14ac:dyDescent="0.2">
      <c r="A181" s="336"/>
      <c r="B181" s="288" t="s">
        <v>9</v>
      </c>
      <c r="C181" s="291" cm="1">
        <f t="array" ref="C181">SUM(_xlfn._xlws.FILTER(CLIENTES!$F182:$K182,(CLIENTES!$F$9:$K$9=$A$1),0))</f>
        <v>0</v>
      </c>
      <c r="E181" s="336"/>
      <c r="F181" s="288" t="s">
        <v>9</v>
      </c>
      <c r="G181" s="291" cm="1">
        <f t="array" ref="G181">SUM(_xlfn._xlws.FILTER(CLIENTES!$F182:$K182,(CLIENTES!$F$9:$K$9=$E$1),0))</f>
        <v>0</v>
      </c>
    </row>
    <row r="182" spans="1:7" hidden="1" x14ac:dyDescent="0.2">
      <c r="A182" s="336"/>
      <c r="B182" s="288" t="s">
        <v>14</v>
      </c>
      <c r="C182" s="291" cm="1">
        <f t="array" ref="C182">SUM(_xlfn._xlws.FILTER(CLIENTES!$F183:$K183,(CLIENTES!$F$9:$K$9=$A$1),0))</f>
        <v>932063.0755371328</v>
      </c>
      <c r="E182" s="336"/>
      <c r="F182" s="288" t="s">
        <v>14</v>
      </c>
      <c r="G182" s="291" cm="1">
        <f t="array" ref="G182">SUM(_xlfn._xlws.FILTER(CLIENTES!$F183:$K183,(CLIENTES!$F$9:$K$9=$E$1),0))</f>
        <v>-163.51983781353204</v>
      </c>
    </row>
    <row r="183" spans="1:7" hidden="1" x14ac:dyDescent="0.2">
      <c r="A183" s="336"/>
      <c r="B183" s="288" t="s">
        <v>10</v>
      </c>
      <c r="C183" s="304" cm="1">
        <f t="array" ref="C183">SUM(_xlfn._xlws.FILTER(CLIENTES!$F184:$K184,(CLIENTES!$F$9:$K$9=$A$1),0))</f>
        <v>2.5600000000000001E-2</v>
      </c>
      <c r="E183" s="336"/>
      <c r="F183" s="288" t="s">
        <v>10</v>
      </c>
      <c r="G183" s="304" cm="1">
        <f t="array" ref="G183">SUM(_xlfn._xlws.FILTER(CLIENTES!$F184:$K184,(CLIENTES!$F$9:$K$9=$E$1),0))</f>
        <v>1.2800000000000001E-2</v>
      </c>
    </row>
    <row r="184" spans="1:7" hidden="1" x14ac:dyDescent="0.2">
      <c r="A184" s="336"/>
      <c r="B184" s="288" t="s">
        <v>12</v>
      </c>
      <c r="C184" s="291" cm="1">
        <f t="array" ref="C184">SUM(_xlfn._xlws.FILTER(CLIENTES!$F185:$K185,(CLIENTES!$F$9:$K$9=$A$1),0))</f>
        <v>11930.407366875301</v>
      </c>
      <c r="E184" s="336"/>
      <c r="F184" s="288" t="s">
        <v>12</v>
      </c>
      <c r="G184" s="291" cm="1">
        <f t="array" ref="G184">SUM(_xlfn._xlws.FILTER(CLIENTES!$F185:$K185,(CLIENTES!$F$9:$K$9=$E$1),0))</f>
        <v>-2.0930539240132102</v>
      </c>
    </row>
    <row r="185" spans="1:7" hidden="1" x14ac:dyDescent="0.2">
      <c r="A185" s="336"/>
      <c r="B185" s="288" t="s">
        <v>11</v>
      </c>
      <c r="C185" s="291" cm="1">
        <f t="array" ref="C185">SUM(_xlfn._xlws.FILTER(CLIENTES!$F186:$K186,(CLIENTES!$F$9:$K$9=$A$1),0))</f>
        <v>943993.48290400812</v>
      </c>
      <c r="E185" s="336"/>
      <c r="F185" s="288" t="s">
        <v>11</v>
      </c>
      <c r="G185" s="291" cm="1">
        <f t="array" ref="G185">SUM(_xlfn._xlws.FILTER(CLIENTES!$F186:$K186,(CLIENTES!$F$9:$K$9=$E$1),0))</f>
        <v>-165.61289173754525</v>
      </c>
    </row>
    <row r="186" spans="1:7" hidden="1" x14ac:dyDescent="0.2">
      <c r="A186" s="337">
        <v>44228</v>
      </c>
      <c r="B186" s="288" t="s">
        <v>5</v>
      </c>
      <c r="C186" s="291" cm="1">
        <f t="array" ref="C186">SUM(_xlfn._xlws.FILTER(CLIENTES!$F187:$K187,(CLIENTES!$F$9:$K$9=$A$1),0))</f>
        <v>0</v>
      </c>
      <c r="E186" s="337">
        <v>44228</v>
      </c>
      <c r="F186" s="288" t="s">
        <v>5</v>
      </c>
      <c r="G186" s="291" cm="1">
        <f t="array" ref="G186">SUM(_xlfn._xlws.FILTER(CLIENTES!$F187:$K187,(CLIENTES!$F$9:$K$9=$E$1),0))</f>
        <v>0</v>
      </c>
    </row>
    <row r="187" spans="1:7" hidden="1" x14ac:dyDescent="0.2">
      <c r="A187" s="338"/>
      <c r="B187" s="288" t="s">
        <v>7</v>
      </c>
      <c r="C187" s="304" cm="1">
        <f t="array" ref="C187">SUM(_xlfn._xlws.FILTER(CLIENTES!$F188:$K188,(CLIENTES!$F$9:$K$9=$A$1),0))</f>
        <v>0.48000000000000004</v>
      </c>
      <c r="E187" s="338"/>
      <c r="F187" s="288" t="s">
        <v>7</v>
      </c>
      <c r="G187" s="304" cm="1">
        <f t="array" ref="G187">SUM(_xlfn._xlws.FILTER(CLIENTES!$F188:$K188,(CLIENTES!$F$9:$K$9=$E$1),0))</f>
        <v>0.24000000000000002</v>
      </c>
    </row>
    <row r="188" spans="1:7" hidden="1" x14ac:dyDescent="0.2">
      <c r="A188" s="338"/>
      <c r="B188" s="288" t="s">
        <v>6</v>
      </c>
      <c r="C188" s="291" cm="1">
        <f t="array" ref="C188">SUM(_xlfn._xlws.FILTER(CLIENTES!$F189:$K189,(CLIENTES!$F$9:$K$9=$A$1),0))</f>
        <v>95000</v>
      </c>
      <c r="E188" s="338"/>
      <c r="F188" s="288" t="s">
        <v>6</v>
      </c>
      <c r="G188" s="291" cm="1">
        <f t="array" ref="G188">SUM(_xlfn._xlws.FILTER(CLIENTES!$F189:$K189,(CLIENTES!$F$9:$K$9=$E$1),0))</f>
        <v>0</v>
      </c>
    </row>
    <row r="189" spans="1:7" hidden="1" x14ac:dyDescent="0.2">
      <c r="A189" s="338"/>
      <c r="B189" s="288" t="s">
        <v>9</v>
      </c>
      <c r="C189" s="291" cm="1">
        <f t="array" ref="C189">SUM(_xlfn._xlws.FILTER(CLIENTES!$F190:$K190,(CLIENTES!$F$9:$K$9=$A$1),0))</f>
        <v>0</v>
      </c>
      <c r="E189" s="338"/>
      <c r="F189" s="288" t="s">
        <v>9</v>
      </c>
      <c r="G189" s="291" cm="1">
        <f t="array" ref="G189">SUM(_xlfn._xlws.FILTER(CLIENTES!$F190:$K190,(CLIENTES!$F$9:$K$9=$E$1),0))</f>
        <v>0</v>
      </c>
    </row>
    <row r="190" spans="1:7" hidden="1" x14ac:dyDescent="0.2">
      <c r="A190" s="338"/>
      <c r="B190" s="288" t="s">
        <v>14</v>
      </c>
      <c r="C190" s="291" cm="1">
        <f t="array" ref="C190">SUM(_xlfn._xlws.FILTER(CLIENTES!$F191:$K191,(CLIENTES!$F$9:$K$9=$A$1),0))</f>
        <v>943993.48290400812</v>
      </c>
      <c r="E190" s="338"/>
      <c r="F190" s="288" t="s">
        <v>14</v>
      </c>
      <c r="G190" s="291" cm="1">
        <f t="array" ref="G190">SUM(_xlfn._xlws.FILTER(CLIENTES!$F191:$K191,(CLIENTES!$F$9:$K$9=$E$1),0))</f>
        <v>-165.61289173754525</v>
      </c>
    </row>
    <row r="191" spans="1:7" hidden="1" x14ac:dyDescent="0.2">
      <c r="A191" s="338"/>
      <c r="B191" s="288" t="s">
        <v>10</v>
      </c>
      <c r="C191" s="304" cm="1">
        <f t="array" ref="C191">SUM(_xlfn._xlws.FILTER(CLIENTES!$F192:$K192,(CLIENTES!$F$9:$K$9=$A$1),0))</f>
        <v>1.4E-2</v>
      </c>
      <c r="E191" s="338"/>
      <c r="F191" s="288" t="s">
        <v>10</v>
      </c>
      <c r="G191" s="304" cm="1">
        <f t="array" ref="G191">SUM(_xlfn._xlws.FILTER(CLIENTES!$F192:$K192,(CLIENTES!$F$9:$K$9=$E$1),0))</f>
        <v>7.0000000000000001E-3</v>
      </c>
    </row>
    <row r="192" spans="1:7" hidden="1" x14ac:dyDescent="0.2">
      <c r="A192" s="338"/>
      <c r="B192" s="288" t="s">
        <v>12</v>
      </c>
      <c r="C192" s="291" cm="1">
        <f t="array" ref="C192">SUM(_xlfn._xlws.FILTER(CLIENTES!$F193:$K193,(CLIENTES!$F$9:$K$9=$A$1),0))</f>
        <v>6607.9543803280576</v>
      </c>
      <c r="E192" s="338"/>
      <c r="F192" s="288" t="s">
        <v>12</v>
      </c>
      <c r="G192" s="291" cm="1">
        <f t="array" ref="G192">SUM(_xlfn._xlws.FILTER(CLIENTES!$F193:$K193,(CLIENTES!$F$9:$K$9=$E$1),0))</f>
        <v>-1.1592902421628168</v>
      </c>
    </row>
    <row r="193" spans="1:7" hidden="1" x14ac:dyDescent="0.2">
      <c r="A193" s="339"/>
      <c r="B193" s="288" t="s">
        <v>11</v>
      </c>
      <c r="C193" s="291" cm="1">
        <f t="array" ref="C193">SUM(_xlfn._xlws.FILTER(CLIENTES!$F194:$K194,(CLIENTES!$F$9:$K$9=$A$1),0))</f>
        <v>950601.43728433619</v>
      </c>
      <c r="E193" s="339"/>
      <c r="F193" s="288" t="s">
        <v>11</v>
      </c>
      <c r="G193" s="291" cm="1">
        <f t="array" ref="G193">SUM(_xlfn._xlws.FILTER(CLIENTES!$F194:$K194,(CLIENTES!$F$9:$K$9=$E$1),0))</f>
        <v>-166.77218197970808</v>
      </c>
    </row>
    <row r="194" spans="1:7" hidden="1" x14ac:dyDescent="0.2">
      <c r="A194" s="336">
        <v>44256</v>
      </c>
      <c r="B194" s="288" t="s">
        <v>5</v>
      </c>
      <c r="C194" s="291" cm="1">
        <f t="array" ref="C194">SUM(_xlfn._xlws.FILTER(CLIENTES!$F195:$K195,(CLIENTES!$F$9:$K$9=$A$1),0))</f>
        <v>0</v>
      </c>
      <c r="E194" s="336">
        <v>44256</v>
      </c>
      <c r="F194" s="288" t="s">
        <v>5</v>
      </c>
      <c r="G194" s="291" cm="1">
        <f t="array" ref="G194">SUM(_xlfn._xlws.FILTER(CLIENTES!$F195:$K195,(CLIENTES!$F$9:$K$9=$E$1),0))</f>
        <v>0</v>
      </c>
    </row>
    <row r="195" spans="1:7" hidden="1" x14ac:dyDescent="0.2">
      <c r="A195" s="336"/>
      <c r="B195" s="288" t="s">
        <v>7</v>
      </c>
      <c r="C195" s="304" cm="1">
        <f t="array" ref="C195">SUM(_xlfn._xlws.FILTER(CLIENTES!$F196:$K196,(CLIENTES!$F$9:$K$9=$A$1),0))</f>
        <v>0.48000000000000004</v>
      </c>
      <c r="E195" s="336"/>
      <c r="F195" s="288" t="s">
        <v>7</v>
      </c>
      <c r="G195" s="304" cm="1">
        <f t="array" ref="G195">SUM(_xlfn._xlws.FILTER(CLIENTES!$F196:$K196,(CLIENTES!$F$9:$K$9=$E$1),0))</f>
        <v>0.24000000000000002</v>
      </c>
    </row>
    <row r="196" spans="1:7" hidden="1" x14ac:dyDescent="0.2">
      <c r="A196" s="336"/>
      <c r="B196" s="288" t="s">
        <v>6</v>
      </c>
      <c r="C196" s="291" cm="1">
        <f t="array" ref="C196">SUM(_xlfn._xlws.FILTER(CLIENTES!$F197:$K197,(CLIENTES!$F$9:$K$9=$A$1),0))</f>
        <v>95000</v>
      </c>
      <c r="E196" s="336"/>
      <c r="F196" s="288" t="s">
        <v>6</v>
      </c>
      <c r="G196" s="291" cm="1">
        <f t="array" ref="G196">SUM(_xlfn._xlws.FILTER(CLIENTES!$F197:$K197,(CLIENTES!$F$9:$K$9=$E$1),0))</f>
        <v>0</v>
      </c>
    </row>
    <row r="197" spans="1:7" hidden="1" x14ac:dyDescent="0.2">
      <c r="A197" s="336"/>
      <c r="B197" s="288" t="s">
        <v>9</v>
      </c>
      <c r="C197" s="291" cm="1">
        <f t="array" ref="C197">SUM(_xlfn._xlws.FILTER(CLIENTES!$F198:$K198,(CLIENTES!$F$9:$K$9=$A$1),0))</f>
        <v>0</v>
      </c>
      <c r="E197" s="336"/>
      <c r="F197" s="288" t="s">
        <v>9</v>
      </c>
      <c r="G197" s="291" cm="1">
        <f t="array" ref="G197">SUM(_xlfn._xlws.FILTER(CLIENTES!$F198:$K198,(CLIENTES!$F$9:$K$9=$E$1),0))</f>
        <v>0</v>
      </c>
    </row>
    <row r="198" spans="1:7" hidden="1" x14ac:dyDescent="0.2">
      <c r="A198" s="336"/>
      <c r="B198" s="288" t="s">
        <v>14</v>
      </c>
      <c r="C198" s="291" cm="1">
        <f t="array" ref="C198">SUM(_xlfn._xlws.FILTER(CLIENTES!$F199:$K199,(CLIENTES!$F$9:$K$9=$A$1),0))</f>
        <v>950601.43728433619</v>
      </c>
      <c r="E198" s="336"/>
      <c r="F198" s="288" t="s">
        <v>14</v>
      </c>
      <c r="G198" s="291" cm="1">
        <f t="array" ref="G198">SUM(_xlfn._xlws.FILTER(CLIENTES!$F199:$K199,(CLIENTES!$F$9:$K$9=$E$1),0))</f>
        <v>-166.77218197970808</v>
      </c>
    </row>
    <row r="199" spans="1:7" hidden="1" x14ac:dyDescent="0.2">
      <c r="A199" s="336"/>
      <c r="B199" s="288" t="s">
        <v>10</v>
      </c>
      <c r="C199" s="304" cm="1">
        <f t="array" ref="C199">SUM(_xlfn._xlws.FILTER(CLIENTES!$F200:$K200,(CLIENTES!$F$9:$K$9=$A$1),0))</f>
        <v>1.78E-2</v>
      </c>
      <c r="E199" s="336"/>
      <c r="F199" s="288" t="s">
        <v>10</v>
      </c>
      <c r="G199" s="304" cm="1">
        <f t="array" ref="G199">SUM(_xlfn._xlws.FILTER(CLIENTES!$F200:$K200,(CLIENTES!$F$9:$K$9=$E$1),0))</f>
        <v>8.8999999999999999E-3</v>
      </c>
    </row>
    <row r="200" spans="1:7" hidden="1" x14ac:dyDescent="0.2">
      <c r="A200" s="336"/>
      <c r="B200" s="288" t="s">
        <v>12</v>
      </c>
      <c r="C200" s="291" cm="1">
        <f t="array" ref="C200">SUM(_xlfn._xlws.FILTER(CLIENTES!$F201:$K201,(CLIENTES!$F$9:$K$9=$A$1),0))</f>
        <v>8460.3527918305917</v>
      </c>
      <c r="E200" s="336"/>
      <c r="F200" s="288" t="s">
        <v>12</v>
      </c>
      <c r="G200" s="291" cm="1">
        <f t="array" ref="G200">SUM(_xlfn._xlws.FILTER(CLIENTES!$F201:$K201,(CLIENTES!$F$9:$K$9=$E$1),0))</f>
        <v>-1.4842724196194019</v>
      </c>
    </row>
    <row r="201" spans="1:7" hidden="1" x14ac:dyDescent="0.2">
      <c r="A201" s="336"/>
      <c r="B201" s="288" t="s">
        <v>11</v>
      </c>
      <c r="C201" s="291" cm="1">
        <f t="array" ref="C201">SUM(_xlfn._xlws.FILTER(CLIENTES!$F202:$K202,(CLIENTES!$F$9:$K$9=$A$1),0))</f>
        <v>959061.79007616674</v>
      </c>
      <c r="E201" s="336"/>
      <c r="F201" s="288" t="s">
        <v>11</v>
      </c>
      <c r="G201" s="291" cm="1">
        <f t="array" ref="G201">SUM(_xlfn._xlws.FILTER(CLIENTES!$F202:$K202,(CLIENTES!$F$9:$K$9=$E$1),0))</f>
        <v>-168.25645439932748</v>
      </c>
    </row>
    <row r="202" spans="1:7" hidden="1" x14ac:dyDescent="0.2">
      <c r="A202" s="337">
        <v>44287</v>
      </c>
      <c r="B202" s="288" t="s">
        <v>5</v>
      </c>
      <c r="C202" s="291" cm="1">
        <f t="array" ref="C202">SUM(_xlfn._xlws.FILTER(CLIENTES!$F203:$K203,(CLIENTES!$F$9:$K$9=$A$1),0))</f>
        <v>0</v>
      </c>
      <c r="E202" s="337">
        <v>44287</v>
      </c>
      <c r="F202" s="288" t="s">
        <v>5</v>
      </c>
      <c r="G202" s="291" cm="1">
        <f t="array" ref="G202">SUM(_xlfn._xlws.FILTER(CLIENTES!$F203:$K203,(CLIENTES!$F$9:$K$9=$E$1),0))</f>
        <v>0</v>
      </c>
    </row>
    <row r="203" spans="1:7" hidden="1" x14ac:dyDescent="0.2">
      <c r="A203" s="338"/>
      <c r="B203" s="288" t="s">
        <v>7</v>
      </c>
      <c r="C203" s="304" cm="1">
        <f t="array" ref="C203">SUM(_xlfn._xlws.FILTER(CLIENTES!$F204:$K204,(CLIENTES!$F$9:$K$9=$A$1),0))</f>
        <v>0.48000000000000004</v>
      </c>
      <c r="E203" s="338"/>
      <c r="F203" s="288" t="s">
        <v>7</v>
      </c>
      <c r="G203" s="304" cm="1">
        <f t="array" ref="G203">SUM(_xlfn._xlws.FILTER(CLIENTES!$F204:$K204,(CLIENTES!$F$9:$K$9=$E$1),0))</f>
        <v>0.24000000000000002</v>
      </c>
    </row>
    <row r="204" spans="1:7" hidden="1" x14ac:dyDescent="0.2">
      <c r="A204" s="338"/>
      <c r="B204" s="288" t="s">
        <v>6</v>
      </c>
      <c r="C204" s="291" cm="1">
        <f t="array" ref="C204">SUM(_xlfn._xlws.FILTER(CLIENTES!$F205:$K205,(CLIENTES!$F$9:$K$9=$A$1),0))</f>
        <v>95000</v>
      </c>
      <c r="E204" s="338"/>
      <c r="F204" s="288" t="s">
        <v>6</v>
      </c>
      <c r="G204" s="291" cm="1">
        <f t="array" ref="G204">SUM(_xlfn._xlws.FILTER(CLIENTES!$F205:$K205,(CLIENTES!$F$9:$K$9=$E$1),0))</f>
        <v>0</v>
      </c>
    </row>
    <row r="205" spans="1:7" hidden="1" x14ac:dyDescent="0.2">
      <c r="A205" s="338"/>
      <c r="B205" s="288" t="s">
        <v>9</v>
      </c>
      <c r="C205" s="291" cm="1">
        <f t="array" ref="C205">SUM(_xlfn._xlws.FILTER(CLIENTES!$F206:$K206,(CLIENTES!$F$9:$K$9=$A$1),0))</f>
        <v>0</v>
      </c>
      <c r="E205" s="338"/>
      <c r="F205" s="288" t="s">
        <v>9</v>
      </c>
      <c r="G205" s="291" cm="1">
        <f t="array" ref="G205">SUM(_xlfn._xlws.FILTER(CLIENTES!$F206:$K206,(CLIENTES!$F$9:$K$9=$E$1),0))</f>
        <v>0</v>
      </c>
    </row>
    <row r="206" spans="1:7" hidden="1" x14ac:dyDescent="0.2">
      <c r="A206" s="338"/>
      <c r="B206" s="288" t="s">
        <v>14</v>
      </c>
      <c r="C206" s="291" cm="1">
        <f t="array" ref="C206">SUM(_xlfn._xlws.FILTER(CLIENTES!$F207:$K207,(CLIENTES!$F$9:$K$9=$A$1),0))</f>
        <v>959061.79007616674</v>
      </c>
      <c r="E206" s="338"/>
      <c r="F206" s="288" t="s">
        <v>14</v>
      </c>
      <c r="G206" s="291" cm="1">
        <f t="array" ref="G206">SUM(_xlfn._xlws.FILTER(CLIENTES!$F207:$K207,(CLIENTES!$F$9:$K$9=$E$1),0))</f>
        <v>-168.25645439932748</v>
      </c>
    </row>
    <row r="207" spans="1:7" hidden="1" x14ac:dyDescent="0.2">
      <c r="A207" s="338"/>
      <c r="B207" s="288" t="s">
        <v>10</v>
      </c>
      <c r="C207" s="304" cm="1">
        <f t="array" ref="C207">SUM(_xlfn._xlws.FILTER(CLIENTES!$F208:$K208,(CLIENTES!$F$9:$K$9=$A$1),0))</f>
        <v>3.78E-2</v>
      </c>
      <c r="E207" s="338"/>
      <c r="F207" s="288" t="s">
        <v>10</v>
      </c>
      <c r="G207" s="304" cm="1">
        <f t="array" ref="G207">SUM(_xlfn._xlws.FILTER(CLIENTES!$F208:$K208,(CLIENTES!$F$9:$K$9=$E$1),0))</f>
        <v>1.89E-2</v>
      </c>
    </row>
    <row r="208" spans="1:7" hidden="1" x14ac:dyDescent="0.2">
      <c r="A208" s="338"/>
      <c r="B208" s="288" t="s">
        <v>12</v>
      </c>
      <c r="C208" s="291" cm="1">
        <f t="array" ref="C208">SUM(_xlfn._xlws.FILTER(CLIENTES!$F209:$K209,(CLIENTES!$F$9:$K$9=$A$1),0))</f>
        <v>18126.267832439553</v>
      </c>
      <c r="E208" s="338"/>
      <c r="F208" s="288" t="s">
        <v>12</v>
      </c>
      <c r="G208" s="291" cm="1">
        <f t="array" ref="G208">SUM(_xlfn._xlws.FILTER(CLIENTES!$F209:$K209,(CLIENTES!$F$9:$K$9=$E$1),0))</f>
        <v>-3.1800469881472893</v>
      </c>
    </row>
    <row r="209" spans="1:7" hidden="1" x14ac:dyDescent="0.2">
      <c r="A209" s="339"/>
      <c r="B209" s="288" t="s">
        <v>11</v>
      </c>
      <c r="C209" s="291" cm="1">
        <f t="array" ref="C209">SUM(_xlfn._xlws.FILTER(CLIENTES!$F210:$K210,(CLIENTES!$F$9:$K$9=$A$1),0))</f>
        <v>977188.05790860625</v>
      </c>
      <c r="E209" s="339"/>
      <c r="F209" s="288" t="s">
        <v>11</v>
      </c>
      <c r="G209" s="291" cm="1">
        <f t="array" ref="G209">SUM(_xlfn._xlws.FILTER(CLIENTES!$F210:$K210,(CLIENTES!$F$9:$K$9=$E$1),0))</f>
        <v>-171.43650138747478</v>
      </c>
    </row>
    <row r="210" spans="1:7" hidden="1" x14ac:dyDescent="0.2">
      <c r="A210" s="336">
        <v>44317</v>
      </c>
      <c r="B210" s="288" t="s">
        <v>5</v>
      </c>
      <c r="C210" s="291" cm="1">
        <f t="array" ref="C210">SUM(_xlfn._xlws.FILTER(CLIENTES!$F211:$K211,(CLIENTES!$F$9:$K$9=$A$1),0))</f>
        <v>0</v>
      </c>
      <c r="E210" s="336">
        <v>44317</v>
      </c>
      <c r="F210" s="288" t="s">
        <v>5</v>
      </c>
      <c r="G210" s="291" cm="1">
        <f t="array" ref="G210">SUM(_xlfn._xlws.FILTER(CLIENTES!$F211:$K211,(CLIENTES!$F$9:$K$9=$E$1),0))</f>
        <v>0</v>
      </c>
    </row>
    <row r="211" spans="1:7" hidden="1" x14ac:dyDescent="0.2">
      <c r="A211" s="336"/>
      <c r="B211" s="288" t="s">
        <v>7</v>
      </c>
      <c r="C211" s="304" cm="1">
        <f t="array" ref="C211">SUM(_xlfn._xlws.FILTER(CLIENTES!$F212:$K212,(CLIENTES!$F$9:$K$9=$A$1),0))</f>
        <v>0.48000000000000004</v>
      </c>
      <c r="E211" s="336"/>
      <c r="F211" s="288" t="s">
        <v>7</v>
      </c>
      <c r="G211" s="304" cm="1">
        <f t="array" ref="G211">SUM(_xlfn._xlws.FILTER(CLIENTES!$F212:$K212,(CLIENTES!$F$9:$K$9=$E$1),0))</f>
        <v>0.24000000000000002</v>
      </c>
    </row>
    <row r="212" spans="1:7" hidden="1" x14ac:dyDescent="0.2">
      <c r="A212" s="336"/>
      <c r="B212" s="288" t="s">
        <v>6</v>
      </c>
      <c r="C212" s="291" cm="1">
        <f t="array" ref="C212">SUM(_xlfn._xlws.FILTER(CLIENTES!$F213:$K213,(CLIENTES!$F$9:$K$9=$A$1),0))</f>
        <v>95000</v>
      </c>
      <c r="E212" s="336"/>
      <c r="F212" s="288" t="s">
        <v>6</v>
      </c>
      <c r="G212" s="291" cm="1">
        <f t="array" ref="G212">SUM(_xlfn._xlws.FILTER(CLIENTES!$F213:$K213,(CLIENTES!$F$9:$K$9=$E$1),0))</f>
        <v>0</v>
      </c>
    </row>
    <row r="213" spans="1:7" hidden="1" x14ac:dyDescent="0.2">
      <c r="A213" s="336"/>
      <c r="B213" s="288" t="s">
        <v>9</v>
      </c>
      <c r="C213" s="291" cm="1">
        <f t="array" ref="C213">SUM(_xlfn._xlws.FILTER(CLIENTES!$F214:$K214,(CLIENTES!$F$9:$K$9=$A$1),0))</f>
        <v>0</v>
      </c>
      <c r="E213" s="336"/>
      <c r="F213" s="288" t="s">
        <v>9</v>
      </c>
      <c r="G213" s="291" cm="1">
        <f t="array" ref="G213">SUM(_xlfn._xlws.FILTER(CLIENTES!$F214:$K214,(CLIENTES!$F$9:$K$9=$E$1),0))</f>
        <v>0</v>
      </c>
    </row>
    <row r="214" spans="1:7" hidden="1" x14ac:dyDescent="0.2">
      <c r="A214" s="336"/>
      <c r="B214" s="288" t="s">
        <v>14</v>
      </c>
      <c r="C214" s="291" cm="1">
        <f t="array" ref="C214">SUM(_xlfn._xlws.FILTER(CLIENTES!$F215:$K215,(CLIENTES!$F$9:$K$9=$A$1),0))</f>
        <v>977188.05790860625</v>
      </c>
      <c r="E214" s="336"/>
      <c r="F214" s="288" t="s">
        <v>14</v>
      </c>
      <c r="G214" s="291" cm="1">
        <f t="array" ref="G214">SUM(_xlfn._xlws.FILTER(CLIENTES!$F215:$K215,(CLIENTES!$F$9:$K$9=$E$1),0))</f>
        <v>-171.43650138747478</v>
      </c>
    </row>
    <row r="215" spans="1:7" hidden="1" x14ac:dyDescent="0.2">
      <c r="A215" s="336"/>
      <c r="B215" s="288" t="s">
        <v>10</v>
      </c>
      <c r="C215" s="304" cm="1">
        <f t="array" ref="C215">SUM(_xlfn._xlws.FILTER(CLIENTES!$F216:$K216,(CLIENTES!$F$9:$K$9=$A$1),0))</f>
        <v>2.5999999999999999E-2</v>
      </c>
      <c r="E215" s="336"/>
      <c r="F215" s="288" t="s">
        <v>10</v>
      </c>
      <c r="G215" s="304" cm="1">
        <f t="array" ref="G215">SUM(_xlfn._xlws.FILTER(CLIENTES!$F216:$K216,(CLIENTES!$F$9:$K$9=$E$1),0))</f>
        <v>1.2999999999999999E-2</v>
      </c>
    </row>
    <row r="216" spans="1:7" hidden="1" x14ac:dyDescent="0.2">
      <c r="A216" s="336"/>
      <c r="B216" s="288" t="s">
        <v>12</v>
      </c>
      <c r="C216" s="291" cm="1">
        <f t="array" ref="C216">SUM(_xlfn._xlws.FILTER(CLIENTES!$F217:$K217,(CLIENTES!$F$9:$K$9=$A$1),0))</f>
        <v>12703.44475281188</v>
      </c>
      <c r="E216" s="336"/>
      <c r="F216" s="288" t="s">
        <v>12</v>
      </c>
      <c r="G216" s="291" cm="1">
        <f t="array" ref="G216">SUM(_xlfn._xlws.FILTER(CLIENTES!$F217:$K217,(CLIENTES!$F$9:$K$9=$E$1),0))</f>
        <v>-2.2286745180371721</v>
      </c>
    </row>
    <row r="217" spans="1:7" hidden="1" x14ac:dyDescent="0.2">
      <c r="A217" s="336"/>
      <c r="B217" s="288" t="s">
        <v>11</v>
      </c>
      <c r="C217" s="291" cm="1">
        <f t="array" ref="C217">SUM(_xlfn._xlws.FILTER(CLIENTES!$F218:$K218,(CLIENTES!$F$9:$K$9=$A$1),0))</f>
        <v>989891.50266141817</v>
      </c>
      <c r="E217" s="336"/>
      <c r="F217" s="288" t="s">
        <v>11</v>
      </c>
      <c r="G217" s="291" cm="1">
        <f t="array" ref="G217">SUM(_xlfn._xlws.FILTER(CLIENTES!$F218:$K218,(CLIENTES!$F$9:$K$9=$E$1),0))</f>
        <v>-173.66517590551194</v>
      </c>
    </row>
    <row r="218" spans="1:7" hidden="1" x14ac:dyDescent="0.2">
      <c r="A218" s="337">
        <v>44348</v>
      </c>
      <c r="B218" s="288" t="s">
        <v>5</v>
      </c>
      <c r="C218" s="291" cm="1">
        <f t="array" ref="C218">SUM(_xlfn._xlws.FILTER(CLIENTES!$F219:$K219,(CLIENTES!$F$9:$K$9=$A$1),0))</f>
        <v>0</v>
      </c>
      <c r="E218" s="337">
        <v>44348</v>
      </c>
      <c r="F218" s="288" t="s">
        <v>5</v>
      </c>
      <c r="G218" s="291" cm="1">
        <f t="array" ref="G218">SUM(_xlfn._xlws.FILTER(CLIENTES!$F219:$K219,(CLIENTES!$F$9:$K$9=$E$1),0))</f>
        <v>0</v>
      </c>
    </row>
    <row r="219" spans="1:7" hidden="1" x14ac:dyDescent="0.2">
      <c r="A219" s="338"/>
      <c r="B219" s="288" t="s">
        <v>7</v>
      </c>
      <c r="C219" s="304" cm="1">
        <f t="array" ref="C219">SUM(_xlfn._xlws.FILTER(CLIENTES!$F220:$K220,(CLIENTES!$F$9:$K$9=$A$1),0))</f>
        <v>0.48000000000000004</v>
      </c>
      <c r="E219" s="338"/>
      <c r="F219" s="288" t="s">
        <v>7</v>
      </c>
      <c r="G219" s="304" cm="1">
        <f t="array" ref="G219">SUM(_xlfn._xlws.FILTER(CLIENTES!$F220:$K220,(CLIENTES!$F$9:$K$9=$E$1),0))</f>
        <v>0.24000000000000002</v>
      </c>
    </row>
    <row r="220" spans="1:7" hidden="1" x14ac:dyDescent="0.2">
      <c r="A220" s="338"/>
      <c r="B220" s="288" t="s">
        <v>6</v>
      </c>
      <c r="C220" s="291" cm="1">
        <f t="array" ref="C220">SUM(_xlfn._xlws.FILTER(CLIENTES!$F221:$K221,(CLIENTES!$F$9:$K$9=$A$1),0))</f>
        <v>95000</v>
      </c>
      <c r="E220" s="338"/>
      <c r="F220" s="288" t="s">
        <v>6</v>
      </c>
      <c r="G220" s="291" cm="1">
        <f t="array" ref="G220">SUM(_xlfn._xlws.FILTER(CLIENTES!$F221:$K221,(CLIENTES!$F$9:$K$9=$E$1),0))</f>
        <v>0</v>
      </c>
    </row>
    <row r="221" spans="1:7" hidden="1" x14ac:dyDescent="0.2">
      <c r="A221" s="338"/>
      <c r="B221" s="288" t="s">
        <v>9</v>
      </c>
      <c r="C221" s="291" cm="1">
        <f t="array" ref="C221">SUM(_xlfn._xlws.FILTER(CLIENTES!$F222:$K222,(CLIENTES!$F$9:$K$9=$A$1),0))</f>
        <v>0</v>
      </c>
      <c r="E221" s="338"/>
      <c r="F221" s="288" t="s">
        <v>9</v>
      </c>
      <c r="G221" s="291" cm="1">
        <f t="array" ref="G221">SUM(_xlfn._xlws.FILTER(CLIENTES!$F222:$K222,(CLIENTES!$F$9:$K$9=$E$1),0))</f>
        <v>0</v>
      </c>
    </row>
    <row r="222" spans="1:7" hidden="1" x14ac:dyDescent="0.2">
      <c r="A222" s="338"/>
      <c r="B222" s="288" t="s">
        <v>14</v>
      </c>
      <c r="C222" s="291" cm="1">
        <f t="array" ref="C222">SUM(_xlfn._xlws.FILTER(CLIENTES!$F223:$K223,(CLIENTES!$F$9:$K$9=$A$1),0))</f>
        <v>989891.50266141817</v>
      </c>
      <c r="E222" s="338"/>
      <c r="F222" s="288" t="s">
        <v>14</v>
      </c>
      <c r="G222" s="291" cm="1">
        <f t="array" ref="G222">SUM(_xlfn._xlws.FILTER(CLIENTES!$F223:$K223,(CLIENTES!$F$9:$K$9=$E$1),0))</f>
        <v>-173.66517590551194</v>
      </c>
    </row>
    <row r="223" spans="1:7" hidden="1" x14ac:dyDescent="0.2">
      <c r="A223" s="338"/>
      <c r="B223" s="288" t="s">
        <v>10</v>
      </c>
      <c r="C223" s="304" cm="1">
        <f t="array" ref="C223">SUM(_xlfn._xlws.FILTER(CLIENTES!$F224:$K224,(CLIENTES!$F$9:$K$9=$A$1),0))</f>
        <v>1.7999999999999999E-2</v>
      </c>
      <c r="E223" s="338"/>
      <c r="F223" s="288" t="s">
        <v>10</v>
      </c>
      <c r="G223" s="304" cm="1">
        <f t="array" ref="G223">SUM(_xlfn._xlws.FILTER(CLIENTES!$F224:$K224,(CLIENTES!$F$9:$K$9=$E$1),0))</f>
        <v>8.9999999999999993E-3</v>
      </c>
    </row>
    <row r="224" spans="1:7" hidden="1" x14ac:dyDescent="0.2">
      <c r="A224" s="338"/>
      <c r="B224" s="288" t="s">
        <v>12</v>
      </c>
      <c r="C224" s="291" cm="1">
        <f t="array" ref="C224">SUM(_xlfn._xlws.FILTER(CLIENTES!$F225:$K225,(CLIENTES!$F$9:$K$9=$A$1),0))</f>
        <v>8909.0235239527647</v>
      </c>
      <c r="E224" s="338"/>
      <c r="F224" s="288" t="s">
        <v>12</v>
      </c>
      <c r="G224" s="291" cm="1">
        <f t="array" ref="G224">SUM(_xlfn._xlws.FILTER(CLIENTES!$F225:$K225,(CLIENTES!$F$9:$K$9=$E$1),0))</f>
        <v>-1.5629865831496075</v>
      </c>
    </row>
    <row r="225" spans="1:7" hidden="1" x14ac:dyDescent="0.2">
      <c r="A225" s="339"/>
      <c r="B225" s="288" t="s">
        <v>11</v>
      </c>
      <c r="C225" s="291" cm="1">
        <f t="array" ref="C225">SUM(_xlfn._xlws.FILTER(CLIENTES!$F226:$K226,(CLIENTES!$F$9:$K$9=$A$1),0))</f>
        <v>998800.52618537098</v>
      </c>
      <c r="E225" s="339"/>
      <c r="F225" s="288" t="s">
        <v>11</v>
      </c>
      <c r="G225" s="291" cm="1">
        <f t="array" ref="G225">SUM(_xlfn._xlws.FILTER(CLIENTES!$F226:$K226,(CLIENTES!$F$9:$K$9=$E$1),0))</f>
        <v>-175.22816248866155</v>
      </c>
    </row>
    <row r="226" spans="1:7" hidden="1" x14ac:dyDescent="0.2">
      <c r="A226" s="336">
        <v>44378</v>
      </c>
      <c r="B226" s="288" t="s">
        <v>5</v>
      </c>
      <c r="C226" s="291" cm="1">
        <f t="array" ref="C226">SUM(_xlfn._xlws.FILTER(CLIENTES!$F227:$K227,(CLIENTES!$F$9:$K$9=$A$1),0))</f>
        <v>0</v>
      </c>
      <c r="E226" s="336">
        <v>44378</v>
      </c>
      <c r="F226" s="288" t="s">
        <v>5</v>
      </c>
      <c r="G226" s="291" cm="1">
        <f t="array" ref="G226">SUM(_xlfn._xlws.FILTER(CLIENTES!$F227:$K227,(CLIENTES!$F$9:$K$9=$E$1),0))</f>
        <v>0</v>
      </c>
    </row>
    <row r="227" spans="1:7" hidden="1" x14ac:dyDescent="0.2">
      <c r="A227" s="336"/>
      <c r="B227" s="288" t="s">
        <v>7</v>
      </c>
      <c r="C227" s="304" cm="1">
        <f t="array" ref="C227">SUM(_xlfn._xlws.FILTER(CLIENTES!$F228:$K228,(CLIENTES!$F$9:$K$9=$A$1),0))</f>
        <v>0.48000000000000004</v>
      </c>
      <c r="E227" s="336"/>
      <c r="F227" s="288" t="s">
        <v>7</v>
      </c>
      <c r="G227" s="304" cm="1">
        <f t="array" ref="G227">SUM(_xlfn._xlws.FILTER(CLIENTES!$F228:$K228,(CLIENTES!$F$9:$K$9=$E$1),0))</f>
        <v>0.24000000000000002</v>
      </c>
    </row>
    <row r="228" spans="1:7" hidden="1" x14ac:dyDescent="0.2">
      <c r="A228" s="336"/>
      <c r="B228" s="288" t="s">
        <v>6</v>
      </c>
      <c r="C228" s="291" cm="1">
        <f t="array" ref="C228">SUM(_xlfn._xlws.FILTER(CLIENTES!$F229:$K229,(CLIENTES!$F$9:$K$9=$A$1),0))</f>
        <v>95000</v>
      </c>
      <c r="E228" s="336"/>
      <c r="F228" s="288" t="s">
        <v>6</v>
      </c>
      <c r="G228" s="291" cm="1">
        <f t="array" ref="G228">SUM(_xlfn._xlws.FILTER(CLIENTES!$F229:$K229,(CLIENTES!$F$9:$K$9=$E$1),0))</f>
        <v>0</v>
      </c>
    </row>
    <row r="229" spans="1:7" hidden="1" x14ac:dyDescent="0.2">
      <c r="A229" s="336"/>
      <c r="B229" s="288" t="s">
        <v>9</v>
      </c>
      <c r="C229" s="291" cm="1">
        <f t="array" ref="C229">SUM(_xlfn._xlws.FILTER(CLIENTES!$F230:$K230,(CLIENTES!$F$9:$K$9=$A$1),0))</f>
        <v>0</v>
      </c>
      <c r="E229" s="336"/>
      <c r="F229" s="288" t="s">
        <v>9</v>
      </c>
      <c r="G229" s="291" cm="1">
        <f t="array" ref="G229">SUM(_xlfn._xlws.FILTER(CLIENTES!$F230:$K230,(CLIENTES!$F$9:$K$9=$E$1),0))</f>
        <v>0</v>
      </c>
    </row>
    <row r="230" spans="1:7" hidden="1" x14ac:dyDescent="0.2">
      <c r="A230" s="336"/>
      <c r="B230" s="288" t="s">
        <v>14</v>
      </c>
      <c r="C230" s="291" cm="1">
        <f t="array" ref="C230">SUM(_xlfn._xlws.FILTER(CLIENTES!$F231:$K231,(CLIENTES!$F$9:$K$9=$A$1),0))</f>
        <v>998800.52618537098</v>
      </c>
      <c r="E230" s="336"/>
      <c r="F230" s="288" t="s">
        <v>14</v>
      </c>
      <c r="G230" s="291" cm="1">
        <f t="array" ref="G230">SUM(_xlfn._xlws.FILTER(CLIENTES!$F231:$K231,(CLIENTES!$F$9:$K$9=$E$1),0))</f>
        <v>-175.22816248866155</v>
      </c>
    </row>
    <row r="231" spans="1:7" hidden="1" x14ac:dyDescent="0.2">
      <c r="A231" s="336"/>
      <c r="B231" s="288" t="s">
        <v>10</v>
      </c>
      <c r="C231" s="304" cm="1">
        <f t="array" ref="C231">SUM(_xlfn._xlws.FILTER(CLIENTES!$F232:$K232,(CLIENTES!$F$9:$K$9=$A$1),0))</f>
        <v>4.4400000000000002E-2</v>
      </c>
      <c r="E231" s="336"/>
      <c r="F231" s="288" t="s">
        <v>10</v>
      </c>
      <c r="G231" s="304" cm="1">
        <f t="array" ref="G231">SUM(_xlfn._xlws.FILTER(CLIENTES!$F232:$K232,(CLIENTES!$F$9:$K$9=$E$1),0))</f>
        <v>2.2200000000000001E-2</v>
      </c>
    </row>
    <row r="232" spans="1:7" hidden="1" x14ac:dyDescent="0.2">
      <c r="A232" s="336"/>
      <c r="B232" s="288" t="s">
        <v>12</v>
      </c>
      <c r="C232" s="291" cm="1">
        <f t="array" ref="C232">SUM(_xlfn._xlws.FILTER(CLIENTES!$F233:$K233,(CLIENTES!$F$9:$K$9=$A$1),0))</f>
        <v>22173.371681315235</v>
      </c>
      <c r="E232" s="336"/>
      <c r="F232" s="288" t="s">
        <v>12</v>
      </c>
      <c r="G232" s="291" cm="1">
        <f t="array" ref="G232">SUM(_xlfn._xlws.FILTER(CLIENTES!$F233:$K233,(CLIENTES!$F$9:$K$9=$E$1),0))</f>
        <v>-3.8900652072482869</v>
      </c>
    </row>
    <row r="233" spans="1:7" hidden="1" x14ac:dyDescent="0.2">
      <c r="A233" s="336"/>
      <c r="B233" s="288" t="s">
        <v>11</v>
      </c>
      <c r="C233" s="291" cm="1">
        <f t="array" ref="C233">SUM(_xlfn._xlws.FILTER(CLIENTES!$F234:$K234,(CLIENTES!$F$9:$K$9=$A$1),0))</f>
        <v>1020973.8978666862</v>
      </c>
      <c r="E233" s="336"/>
      <c r="F233" s="288" t="s">
        <v>11</v>
      </c>
      <c r="G233" s="291" cm="1">
        <f t="array" ref="G233">SUM(_xlfn._xlws.FILTER(CLIENTES!$F234:$K234,(CLIENTES!$F$9:$K$9=$E$1),0))</f>
        <v>-179.11822769590984</v>
      </c>
    </row>
    <row r="234" spans="1:7" hidden="1" x14ac:dyDescent="0.2">
      <c r="A234" s="337">
        <v>44409</v>
      </c>
      <c r="B234" s="288" t="s">
        <v>5</v>
      </c>
      <c r="C234" s="291" cm="1">
        <f t="array" ref="C234">SUM(_xlfn._xlws.FILTER(CLIENTES!$F235:$K235,(CLIENTES!$F$9:$K$9=$A$1),0))</f>
        <v>0</v>
      </c>
      <c r="E234" s="337">
        <v>44409</v>
      </c>
      <c r="F234" s="288" t="s">
        <v>5</v>
      </c>
      <c r="G234" s="291" cm="1">
        <f t="array" ref="G234">SUM(_xlfn._xlws.FILTER(CLIENTES!$F235:$K235,(CLIENTES!$F$9:$K$9=$E$1),0))</f>
        <v>0</v>
      </c>
    </row>
    <row r="235" spans="1:7" hidden="1" x14ac:dyDescent="0.2">
      <c r="A235" s="338"/>
      <c r="B235" s="288" t="s">
        <v>7</v>
      </c>
      <c r="C235" s="304" cm="1">
        <f t="array" ref="C235">SUM(_xlfn._xlws.FILTER(CLIENTES!$F236:$K236,(CLIENTES!$F$9:$K$9=$A$1),0))</f>
        <v>0.48000000000000004</v>
      </c>
      <c r="E235" s="338"/>
      <c r="F235" s="288" t="s">
        <v>7</v>
      </c>
      <c r="G235" s="304" cm="1">
        <f t="array" ref="G235">SUM(_xlfn._xlws.FILTER(CLIENTES!$F236:$K236,(CLIENTES!$F$9:$K$9=$E$1),0))</f>
        <v>0.24000000000000002</v>
      </c>
    </row>
    <row r="236" spans="1:7" hidden="1" x14ac:dyDescent="0.2">
      <c r="A236" s="338"/>
      <c r="B236" s="288" t="s">
        <v>6</v>
      </c>
      <c r="C236" s="291" cm="1">
        <f t="array" ref="C236">SUM(_xlfn._xlws.FILTER(CLIENTES!$F237:$K237,(CLIENTES!$F$9:$K$9=$A$1),0))</f>
        <v>95000</v>
      </c>
      <c r="E236" s="338"/>
      <c r="F236" s="288" t="s">
        <v>6</v>
      </c>
      <c r="G236" s="291" cm="1">
        <f t="array" ref="G236">SUM(_xlfn._xlws.FILTER(CLIENTES!$F237:$K237,(CLIENTES!$F$9:$K$9=$E$1),0))</f>
        <v>0</v>
      </c>
    </row>
    <row r="237" spans="1:7" hidden="1" x14ac:dyDescent="0.2">
      <c r="A237" s="338"/>
      <c r="B237" s="288" t="s">
        <v>9</v>
      </c>
      <c r="C237" s="291" cm="1">
        <f t="array" ref="C237">SUM(_xlfn._xlws.FILTER(CLIENTES!$F238:$K238,(CLIENTES!$F$9:$K$9=$A$1),0))</f>
        <v>0</v>
      </c>
      <c r="E237" s="338"/>
      <c r="F237" s="288" t="s">
        <v>9</v>
      </c>
      <c r="G237" s="291" cm="1">
        <f t="array" ref="G237">SUM(_xlfn._xlws.FILTER(CLIENTES!$F238:$K238,(CLIENTES!$F$9:$K$9=$E$1),0))</f>
        <v>0</v>
      </c>
    </row>
    <row r="238" spans="1:7" hidden="1" x14ac:dyDescent="0.2">
      <c r="A238" s="338"/>
      <c r="B238" s="288" t="s">
        <v>14</v>
      </c>
      <c r="C238" s="291" cm="1">
        <f t="array" ref="C238">SUM(_xlfn._xlws.FILTER(CLIENTES!$F239:$K239,(CLIENTES!$F$9:$K$9=$A$1),0))</f>
        <v>1020973.8978666862</v>
      </c>
      <c r="E238" s="338"/>
      <c r="F238" s="288" t="s">
        <v>14</v>
      </c>
      <c r="G238" s="291" cm="1">
        <f t="array" ref="G238">SUM(_xlfn._xlws.FILTER(CLIENTES!$F239:$K239,(CLIENTES!$F$9:$K$9=$E$1),0))</f>
        <v>-179.11822769590984</v>
      </c>
    </row>
    <row r="239" spans="1:7" hidden="1" x14ac:dyDescent="0.2">
      <c r="A239" s="338"/>
      <c r="B239" s="288" t="s">
        <v>10</v>
      </c>
      <c r="C239" s="304" cm="1">
        <f t="array" ref="C239">SUM(_xlfn._xlws.FILTER(CLIENTES!$F240:$K240,(CLIENTES!$F$9:$K$9=$A$1),0))</f>
        <v>4.3200000000000002E-2</v>
      </c>
      <c r="E239" s="338"/>
      <c r="F239" s="288" t="s">
        <v>10</v>
      </c>
      <c r="G239" s="304" cm="1">
        <f t="array" ref="G239">SUM(_xlfn._xlws.FILTER(CLIENTES!$F240:$K240,(CLIENTES!$F$9:$K$9=$E$1),0))</f>
        <v>2.1600000000000001E-2</v>
      </c>
    </row>
    <row r="240" spans="1:7" hidden="1" x14ac:dyDescent="0.2">
      <c r="A240" s="338"/>
      <c r="B240" s="288" t="s">
        <v>12</v>
      </c>
      <c r="C240" s="291" cm="1">
        <f t="array" ref="C240">SUM(_xlfn._xlws.FILTER(CLIENTES!$F241:$K241,(CLIENTES!$F$9:$K$9=$A$1),0))</f>
        <v>22053.036193920423</v>
      </c>
      <c r="E240" s="338"/>
      <c r="F240" s="288" t="s">
        <v>12</v>
      </c>
      <c r="G240" s="291" cm="1">
        <f t="array" ref="G240">SUM(_xlfn._xlws.FILTER(CLIENTES!$F241:$K241,(CLIENTES!$F$9:$K$9=$E$1),0))</f>
        <v>-3.8689537182316527</v>
      </c>
    </row>
    <row r="241" spans="1:7" hidden="1" x14ac:dyDescent="0.2">
      <c r="A241" s="339"/>
      <c r="B241" s="288" t="s">
        <v>11</v>
      </c>
      <c r="C241" s="291" cm="1">
        <f t="array" ref="C241">SUM(_xlfn._xlws.FILTER(CLIENTES!$F242:$K242,(CLIENTES!$F$9:$K$9=$A$1),0))</f>
        <v>1043026.9340606066</v>
      </c>
      <c r="E241" s="339"/>
      <c r="F241" s="288" t="s">
        <v>11</v>
      </c>
      <c r="G241" s="291" cm="1">
        <f t="array" ref="G241">SUM(_xlfn._xlws.FILTER(CLIENTES!$F242:$K242,(CLIENTES!$F$9:$K$9=$E$1),0))</f>
        <v>-182.9871814141415</v>
      </c>
    </row>
    <row r="242" spans="1:7" hidden="1" x14ac:dyDescent="0.2">
      <c r="A242" s="336">
        <v>44440</v>
      </c>
      <c r="B242" s="288" t="s">
        <v>5</v>
      </c>
      <c r="C242" s="291" cm="1">
        <f t="array" ref="C242">SUM(_xlfn._xlws.FILTER(CLIENTES!$F243:$K243,(CLIENTES!$F$9:$K$9=$A$1),0))</f>
        <v>0</v>
      </c>
      <c r="E242" s="336">
        <v>44440</v>
      </c>
      <c r="F242" s="288" t="s">
        <v>5</v>
      </c>
      <c r="G242" s="291" cm="1">
        <f t="array" ref="G242">SUM(_xlfn._xlws.FILTER(CLIENTES!$F243:$K243,(CLIENTES!$F$9:$K$9=$E$1),0))</f>
        <v>0</v>
      </c>
    </row>
    <row r="243" spans="1:7" hidden="1" x14ac:dyDescent="0.2">
      <c r="A243" s="336"/>
      <c r="B243" s="288" t="s">
        <v>7</v>
      </c>
      <c r="C243" s="304" cm="1">
        <f t="array" ref="C243">SUM(_xlfn._xlws.FILTER(CLIENTES!$F244:$K244,(CLIENTES!$F$9:$K$9=$A$1),0))</f>
        <v>0.48000000000000004</v>
      </c>
      <c r="E243" s="336"/>
      <c r="F243" s="288" t="s">
        <v>7</v>
      </c>
      <c r="G243" s="304" cm="1">
        <f t="array" ref="G243">SUM(_xlfn._xlws.FILTER(CLIENTES!$F244:$K244,(CLIENTES!$F$9:$K$9=$E$1),0))</f>
        <v>0.24000000000000002</v>
      </c>
    </row>
    <row r="244" spans="1:7" hidden="1" x14ac:dyDescent="0.2">
      <c r="A244" s="336"/>
      <c r="B244" s="288" t="s">
        <v>6</v>
      </c>
      <c r="C244" s="291" cm="1">
        <f t="array" ref="C244">SUM(_xlfn._xlws.FILTER(CLIENTES!$F245:$K245,(CLIENTES!$F$9:$K$9=$A$1),0))</f>
        <v>95000</v>
      </c>
      <c r="E244" s="336"/>
      <c r="F244" s="288" t="s">
        <v>6</v>
      </c>
      <c r="G244" s="291" cm="1">
        <f t="array" ref="G244">SUM(_xlfn._xlws.FILTER(CLIENTES!$F245:$K245,(CLIENTES!$F$9:$K$9=$E$1),0))</f>
        <v>0</v>
      </c>
    </row>
    <row r="245" spans="1:7" hidden="1" x14ac:dyDescent="0.2">
      <c r="A245" s="336"/>
      <c r="B245" s="288" t="s">
        <v>9</v>
      </c>
      <c r="C245" s="291" cm="1">
        <f t="array" ref="C245">SUM(_xlfn._xlws.FILTER(CLIENTES!$F246:$K246,(CLIENTES!$F$9:$K$9=$A$1),0))</f>
        <v>0</v>
      </c>
      <c r="E245" s="336"/>
      <c r="F245" s="288" t="s">
        <v>9</v>
      </c>
      <c r="G245" s="291" cm="1">
        <f t="array" ref="G245">SUM(_xlfn._xlws.FILTER(CLIENTES!$F246:$K246,(CLIENTES!$F$9:$K$9=$E$1),0))</f>
        <v>0</v>
      </c>
    </row>
    <row r="246" spans="1:7" hidden="1" x14ac:dyDescent="0.2">
      <c r="A246" s="336"/>
      <c r="B246" s="288" t="s">
        <v>14</v>
      </c>
      <c r="C246" s="291" cm="1">
        <f t="array" ref="C246">SUM(_xlfn._xlws.FILTER(CLIENTES!$F247:$K247,(CLIENTES!$F$9:$K$9=$A$1),0))</f>
        <v>1043026.9340606066</v>
      </c>
      <c r="E246" s="336"/>
      <c r="F246" s="288" t="s">
        <v>14</v>
      </c>
      <c r="G246" s="291" cm="1">
        <f t="array" ref="G246">SUM(_xlfn._xlws.FILTER(CLIENTES!$F247:$K247,(CLIENTES!$F$9:$K$9=$E$1),0))</f>
        <v>-182.9871814141415</v>
      </c>
    </row>
    <row r="247" spans="1:7" hidden="1" x14ac:dyDescent="0.2">
      <c r="A247" s="336"/>
      <c r="B247" s="288" t="s">
        <v>10</v>
      </c>
      <c r="C247" s="304" cm="1">
        <f t="array" ref="C247">SUM(_xlfn._xlws.FILTER(CLIENTES!$F248:$K248,(CLIENTES!$F$9:$K$9=$A$1),0))</f>
        <v>1.7000000000000001E-2</v>
      </c>
      <c r="E247" s="336"/>
      <c r="F247" s="288" t="s">
        <v>10</v>
      </c>
      <c r="G247" s="304" cm="1">
        <f t="array" ref="G247">SUM(_xlfn._xlws.FILTER(CLIENTES!$F248:$K248,(CLIENTES!$F$9:$K$9=$E$1),0))</f>
        <v>8.5000000000000006E-3</v>
      </c>
    </row>
    <row r="248" spans="1:7" hidden="1" x14ac:dyDescent="0.2">
      <c r="A248" s="336"/>
      <c r="B248" s="288" t="s">
        <v>12</v>
      </c>
      <c r="C248" s="291" cm="1">
        <f t="array" ref="C248">SUM(_xlfn._xlws.FILTER(CLIENTES!$F249:$K249,(CLIENTES!$F$9:$K$9=$A$1),0))</f>
        <v>8865.7289395151565</v>
      </c>
      <c r="E248" s="336"/>
      <c r="F248" s="288" t="s">
        <v>12</v>
      </c>
      <c r="G248" s="291" cm="1">
        <f t="array" ref="G248">SUM(_xlfn._xlws.FILTER(CLIENTES!$F249:$K249,(CLIENTES!$F$9:$K$9=$E$1),0))</f>
        <v>-1.5553910420202028</v>
      </c>
    </row>
    <row r="249" spans="1:7" hidden="1" x14ac:dyDescent="0.2">
      <c r="A249" s="336"/>
      <c r="B249" s="288" t="s">
        <v>11</v>
      </c>
      <c r="C249" s="291" cm="1">
        <f t="array" ref="C249">SUM(_xlfn._xlws.FILTER(CLIENTES!$F250:$K250,(CLIENTES!$F$9:$K$9=$A$1),0))</f>
        <v>1051892.6630001217</v>
      </c>
      <c r="E249" s="336"/>
      <c r="F249" s="288" t="s">
        <v>11</v>
      </c>
      <c r="G249" s="291" cm="1">
        <f t="array" ref="G249">SUM(_xlfn._xlws.FILTER(CLIENTES!$F250:$K250,(CLIENTES!$F$9:$K$9=$E$1),0))</f>
        <v>-184.54257245616171</v>
      </c>
    </row>
    <row r="250" spans="1:7" hidden="1" x14ac:dyDescent="0.2">
      <c r="A250" s="337">
        <v>44470</v>
      </c>
      <c r="B250" s="288" t="s">
        <v>5</v>
      </c>
      <c r="C250" s="291" cm="1">
        <f t="array" ref="C250">SUM(_xlfn._xlws.FILTER(CLIENTES!$F251:$K251,(CLIENTES!$F$9:$K$9=$A$1),0))</f>
        <v>0</v>
      </c>
      <c r="E250" s="337">
        <v>44470</v>
      </c>
      <c r="F250" s="288" t="s">
        <v>5</v>
      </c>
      <c r="G250" s="291" cm="1">
        <f t="array" ref="G250">SUM(_xlfn._xlws.FILTER(CLIENTES!$F251:$K251,(CLIENTES!$F$9:$K$9=$E$1),0))</f>
        <v>0</v>
      </c>
    </row>
    <row r="251" spans="1:7" hidden="1" x14ac:dyDescent="0.2">
      <c r="A251" s="338"/>
      <c r="B251" s="288" t="s">
        <v>7</v>
      </c>
      <c r="C251" s="304" cm="1">
        <f t="array" ref="C251">SUM(_xlfn._xlws.FILTER(CLIENTES!$F252:$K252,(CLIENTES!$F$9:$K$9=$A$1),0))</f>
        <v>0.48000000000000004</v>
      </c>
      <c r="E251" s="338"/>
      <c r="F251" s="288" t="s">
        <v>7</v>
      </c>
      <c r="G251" s="304" cm="1">
        <f t="array" ref="G251">SUM(_xlfn._xlws.FILTER(CLIENTES!$F252:$K252,(CLIENTES!$F$9:$K$9=$E$1),0))</f>
        <v>0.24000000000000002</v>
      </c>
    </row>
    <row r="252" spans="1:7" hidden="1" x14ac:dyDescent="0.2">
      <c r="A252" s="338"/>
      <c r="B252" s="288" t="s">
        <v>6</v>
      </c>
      <c r="C252" s="291" cm="1">
        <f t="array" ref="C252">SUM(_xlfn._xlws.FILTER(CLIENTES!$F253:$K253,(CLIENTES!$F$9:$K$9=$A$1),0))</f>
        <v>95000</v>
      </c>
      <c r="E252" s="338"/>
      <c r="F252" s="288" t="s">
        <v>6</v>
      </c>
      <c r="G252" s="291" cm="1">
        <f t="array" ref="G252">SUM(_xlfn._xlws.FILTER(CLIENTES!$F253:$K253,(CLIENTES!$F$9:$K$9=$E$1),0))</f>
        <v>0</v>
      </c>
    </row>
    <row r="253" spans="1:7" hidden="1" x14ac:dyDescent="0.2">
      <c r="A253" s="338"/>
      <c r="B253" s="288" t="s">
        <v>9</v>
      </c>
      <c r="C253" s="291" cm="1">
        <f t="array" ref="C253">SUM(_xlfn._xlws.FILTER(CLIENTES!$F254:$K254,(CLIENTES!$F$9:$K$9=$A$1),0))</f>
        <v>0</v>
      </c>
      <c r="E253" s="338"/>
      <c r="F253" s="288" t="s">
        <v>9</v>
      </c>
      <c r="G253" s="291" cm="1">
        <f t="array" ref="G253">SUM(_xlfn._xlws.FILTER(CLIENTES!$F254:$K254,(CLIENTES!$F$9:$K$9=$E$1),0))</f>
        <v>0</v>
      </c>
    </row>
    <row r="254" spans="1:7" hidden="1" x14ac:dyDescent="0.2">
      <c r="A254" s="338"/>
      <c r="B254" s="288" t="s">
        <v>14</v>
      </c>
      <c r="C254" s="291" cm="1">
        <f t="array" ref="C254">SUM(_xlfn._xlws.FILTER(CLIENTES!$F255:$K255,(CLIENTES!$F$9:$K$9=$A$1),0))</f>
        <v>1051892.6630001217</v>
      </c>
      <c r="E254" s="338"/>
      <c r="F254" s="288" t="s">
        <v>14</v>
      </c>
      <c r="G254" s="291" cm="1">
        <f t="array" ref="G254">SUM(_xlfn._xlws.FILTER(CLIENTES!$F255:$K255,(CLIENTES!$F$9:$K$9=$E$1),0))</f>
        <v>-184.54257245616171</v>
      </c>
    </row>
    <row r="255" spans="1:7" hidden="1" x14ac:dyDescent="0.2">
      <c r="A255" s="338"/>
      <c r="B255" s="288" t="s">
        <v>10</v>
      </c>
      <c r="C255" s="304" cm="1">
        <f t="array" ref="C255">SUM(_xlfn._xlws.FILTER(CLIENTES!$F256:$K256,(CLIENTES!$F$9:$K$9=$A$1),0))</f>
        <v>9.1999999999999998E-3</v>
      </c>
      <c r="E255" s="338"/>
      <c r="F255" s="288" t="s">
        <v>10</v>
      </c>
      <c r="G255" s="304" cm="1">
        <f t="array" ref="G255">SUM(_xlfn._xlws.FILTER(CLIENTES!$F256:$K256,(CLIENTES!$F$9:$K$9=$E$1),0))</f>
        <v>4.5999999999999999E-3</v>
      </c>
    </row>
    <row r="256" spans="1:7" hidden="1" x14ac:dyDescent="0.2">
      <c r="A256" s="338"/>
      <c r="B256" s="288" t="s">
        <v>12</v>
      </c>
      <c r="C256" s="291" cm="1">
        <f t="array" ref="C256">SUM(_xlfn._xlws.FILTER(CLIENTES!$F257:$K257,(CLIENTES!$F$9:$K$9=$A$1),0))</f>
        <v>4838.7062498005598</v>
      </c>
      <c r="E256" s="338"/>
      <c r="F256" s="288" t="s">
        <v>12</v>
      </c>
      <c r="G256" s="291" cm="1">
        <f t="array" ref="G256">SUM(_xlfn._xlws.FILTER(CLIENTES!$F257:$K257,(CLIENTES!$F$9:$K$9=$E$1),0))</f>
        <v>-0.84889583329834384</v>
      </c>
    </row>
    <row r="257" spans="1:7" hidden="1" x14ac:dyDescent="0.2">
      <c r="A257" s="339"/>
      <c r="B257" s="288" t="s">
        <v>11</v>
      </c>
      <c r="C257" s="291" cm="1">
        <f t="array" ref="C257">SUM(_xlfn._xlws.FILTER(CLIENTES!$F258:$K258,(CLIENTES!$F$9:$K$9=$A$1),0))</f>
        <v>1056731.3692499222</v>
      </c>
      <c r="E257" s="339"/>
      <c r="F257" s="288" t="s">
        <v>11</v>
      </c>
      <c r="G257" s="291" cm="1">
        <f t="array" ref="G257">SUM(_xlfn._xlws.FILTER(CLIENTES!$F258:$K258,(CLIENTES!$F$9:$K$9=$E$1),0))</f>
        <v>-185.39146828946005</v>
      </c>
    </row>
    <row r="258" spans="1:7" hidden="1" x14ac:dyDescent="0.2">
      <c r="A258" s="336">
        <v>44501</v>
      </c>
      <c r="B258" s="288" t="s">
        <v>5</v>
      </c>
      <c r="C258" s="291" cm="1">
        <f t="array" ref="C258">SUM(_xlfn._xlws.FILTER(CLIENTES!$F259:$K259,(CLIENTES!$F$9:$K$9=$A$1),0))</f>
        <v>0</v>
      </c>
      <c r="E258" s="336">
        <v>44501</v>
      </c>
      <c r="F258" s="288" t="s">
        <v>5</v>
      </c>
      <c r="G258" s="291" cm="1">
        <f t="array" ref="G258">SUM(_xlfn._xlws.FILTER(CLIENTES!$F259:$K259,(CLIENTES!$F$9:$K$9=$E$1),0))</f>
        <v>0</v>
      </c>
    </row>
    <row r="259" spans="1:7" hidden="1" x14ac:dyDescent="0.2">
      <c r="A259" s="336"/>
      <c r="B259" s="288" t="s">
        <v>7</v>
      </c>
      <c r="C259" s="304" cm="1">
        <f t="array" ref="C259">SUM(_xlfn._xlws.FILTER(CLIENTES!$F260:$K260,(CLIENTES!$F$9:$K$9=$A$1),0))</f>
        <v>0.48000000000000004</v>
      </c>
      <c r="E259" s="336"/>
      <c r="F259" s="288" t="s">
        <v>7</v>
      </c>
      <c r="G259" s="304" cm="1">
        <f t="array" ref="G259">SUM(_xlfn._xlws.FILTER(CLIENTES!$F260:$K260,(CLIENTES!$F$9:$K$9=$E$1),0))</f>
        <v>0.24000000000000002</v>
      </c>
    </row>
    <row r="260" spans="1:7" hidden="1" x14ac:dyDescent="0.2">
      <c r="A260" s="336"/>
      <c r="B260" s="288" t="s">
        <v>6</v>
      </c>
      <c r="C260" s="291" cm="1">
        <f t="array" ref="C260">SUM(_xlfn._xlws.FILTER(CLIENTES!$F261:$K261,(CLIENTES!$F$9:$K$9=$A$1),0))</f>
        <v>95000</v>
      </c>
      <c r="E260" s="336"/>
      <c r="F260" s="288" t="s">
        <v>6</v>
      </c>
      <c r="G260" s="291" cm="1">
        <f t="array" ref="G260">SUM(_xlfn._xlws.FILTER(CLIENTES!$F261:$K261,(CLIENTES!$F$9:$K$9=$E$1),0))</f>
        <v>0</v>
      </c>
    </row>
    <row r="261" spans="1:7" hidden="1" x14ac:dyDescent="0.2">
      <c r="A261" s="336"/>
      <c r="B261" s="288" t="s">
        <v>9</v>
      </c>
      <c r="C261" s="291" cm="1">
        <f t="array" ref="C261">SUM(_xlfn._xlws.FILTER(CLIENTES!$F262:$K262,(CLIENTES!$F$9:$K$9=$A$1),0))</f>
        <v>0</v>
      </c>
      <c r="E261" s="336"/>
      <c r="F261" s="288" t="s">
        <v>9</v>
      </c>
      <c r="G261" s="291" cm="1">
        <f t="array" ref="G261">SUM(_xlfn._xlws.FILTER(CLIENTES!$F262:$K262,(CLIENTES!$F$9:$K$9=$E$1),0))</f>
        <v>0</v>
      </c>
    </row>
    <row r="262" spans="1:7" hidden="1" x14ac:dyDescent="0.2">
      <c r="A262" s="336"/>
      <c r="B262" s="288" t="s">
        <v>14</v>
      </c>
      <c r="C262" s="291" cm="1">
        <f t="array" ref="C262">SUM(_xlfn._xlws.FILTER(CLIENTES!$F263:$K263,(CLIENTES!$F$9:$K$9=$A$1),0))</f>
        <v>1056731.3692499222</v>
      </c>
      <c r="E262" s="336"/>
      <c r="F262" s="288" t="s">
        <v>14</v>
      </c>
      <c r="G262" s="291" cm="1">
        <f t="array" ref="G262">SUM(_xlfn._xlws.FILTER(CLIENTES!$F263:$K263,(CLIENTES!$F$9:$K$9=$E$1),0))</f>
        <v>-185.39146828946005</v>
      </c>
    </row>
    <row r="263" spans="1:7" hidden="1" x14ac:dyDescent="0.2">
      <c r="A263" s="336"/>
      <c r="B263" s="288" t="s">
        <v>10</v>
      </c>
      <c r="C263" s="304" cm="1">
        <f t="array" ref="C263">SUM(_xlfn._xlws.FILTER(CLIENTES!$F264:$K264,(CLIENTES!$F$9:$K$9=$A$1),0))</f>
        <v>1.0200000000000001E-2</v>
      </c>
      <c r="E263" s="336"/>
      <c r="F263" s="288" t="s">
        <v>10</v>
      </c>
      <c r="G263" s="304" cm="1">
        <f t="array" ref="G263">SUM(_xlfn._xlws.FILTER(CLIENTES!$F264:$K264,(CLIENTES!$F$9:$K$9=$E$1),0))</f>
        <v>5.1000000000000004E-3</v>
      </c>
    </row>
    <row r="264" spans="1:7" hidden="1" x14ac:dyDescent="0.2">
      <c r="A264" s="336"/>
      <c r="B264" s="288" t="s">
        <v>12</v>
      </c>
      <c r="C264" s="291" cm="1">
        <f t="array" ref="C264">SUM(_xlfn._xlws.FILTER(CLIENTES!$F265:$K265,(CLIENTES!$F$9:$K$9=$A$1),0))</f>
        <v>5389.3299831746044</v>
      </c>
      <c r="E264" s="336"/>
      <c r="F264" s="288" t="s">
        <v>12</v>
      </c>
      <c r="G264" s="291" cm="1">
        <f t="array" ref="G264">SUM(_xlfn._xlws.FILTER(CLIENTES!$F265:$K265,(CLIENTES!$F$9:$K$9=$E$1),0))</f>
        <v>-0.94549648827624633</v>
      </c>
    </row>
    <row r="265" spans="1:7" hidden="1" x14ac:dyDescent="0.2">
      <c r="A265" s="336"/>
      <c r="B265" s="288" t="s">
        <v>11</v>
      </c>
      <c r="C265" s="291" cm="1">
        <f t="array" ref="C265">SUM(_xlfn._xlws.FILTER(CLIENTES!$F266:$K266,(CLIENTES!$F$9:$K$9=$A$1),0))</f>
        <v>1062120.699233097</v>
      </c>
      <c r="E265" s="336"/>
      <c r="F265" s="288" t="s">
        <v>11</v>
      </c>
      <c r="G265" s="291" cm="1">
        <f t="array" ref="G265">SUM(_xlfn._xlws.FILTER(CLIENTES!$F266:$K266,(CLIENTES!$F$9:$K$9=$E$1),0))</f>
        <v>-186.33696477773628</v>
      </c>
    </row>
    <row r="266" spans="1:7" hidden="1" x14ac:dyDescent="0.2">
      <c r="A266" s="337">
        <v>44531</v>
      </c>
      <c r="B266" s="288" t="s">
        <v>5</v>
      </c>
      <c r="C266" s="291" cm="1">
        <f t="array" ref="C266">SUM(_xlfn._xlws.FILTER(CLIENTES!$F267:$K267,(CLIENTES!$F$9:$K$9=$A$1),0))</f>
        <v>0</v>
      </c>
      <c r="E266" s="337">
        <v>44531</v>
      </c>
      <c r="F266" s="288" t="s">
        <v>5</v>
      </c>
      <c r="G266" s="291" cm="1">
        <f t="array" ref="G266">SUM(_xlfn._xlws.FILTER(CLIENTES!$F267:$K267,(CLIENTES!$F$9:$K$9=$E$1),0))</f>
        <v>0</v>
      </c>
    </row>
    <row r="267" spans="1:7" hidden="1" x14ac:dyDescent="0.2">
      <c r="A267" s="338"/>
      <c r="B267" s="288" t="s">
        <v>7</v>
      </c>
      <c r="C267" s="304" cm="1">
        <f t="array" ref="C267">SUM(_xlfn._xlws.FILTER(CLIENTES!$F268:$K268,(CLIENTES!$F$9:$K$9=$A$1),0))</f>
        <v>0.48000000000000004</v>
      </c>
      <c r="E267" s="338"/>
      <c r="F267" s="288" t="s">
        <v>7</v>
      </c>
      <c r="G267" s="304" cm="1">
        <f t="array" ref="G267">SUM(_xlfn._xlws.FILTER(CLIENTES!$F268:$K268,(CLIENTES!$F$9:$K$9=$E$1),0))</f>
        <v>0.24000000000000002</v>
      </c>
    </row>
    <row r="268" spans="1:7" hidden="1" x14ac:dyDescent="0.2">
      <c r="A268" s="338"/>
      <c r="B268" s="288" t="s">
        <v>6</v>
      </c>
      <c r="C268" s="291" cm="1">
        <f t="array" ref="C268">SUM(_xlfn._xlws.FILTER(CLIENTES!$F269:$K269,(CLIENTES!$F$9:$K$9=$A$1),0))</f>
        <v>95000</v>
      </c>
      <c r="E268" s="338"/>
      <c r="F268" s="288" t="s">
        <v>6</v>
      </c>
      <c r="G268" s="291" cm="1">
        <f t="array" ref="G268">SUM(_xlfn._xlws.FILTER(CLIENTES!$F269:$K269,(CLIENTES!$F$9:$K$9=$E$1),0))</f>
        <v>0</v>
      </c>
    </row>
    <row r="269" spans="1:7" hidden="1" x14ac:dyDescent="0.2">
      <c r="A269" s="338"/>
      <c r="B269" s="288" t="s">
        <v>9</v>
      </c>
      <c r="C269" s="291" cm="1">
        <f t="array" ref="C269">SUM(_xlfn._xlws.FILTER(CLIENTES!$F270:$K270,(CLIENTES!$F$9:$K$9=$A$1),0))</f>
        <v>0</v>
      </c>
      <c r="E269" s="338"/>
      <c r="F269" s="288" t="s">
        <v>9</v>
      </c>
      <c r="G269" s="291" cm="1">
        <f t="array" ref="G269">SUM(_xlfn._xlws.FILTER(CLIENTES!$F270:$K270,(CLIENTES!$F$9:$K$9=$E$1),0))</f>
        <v>0</v>
      </c>
    </row>
    <row r="270" spans="1:7" hidden="1" x14ac:dyDescent="0.2">
      <c r="A270" s="338"/>
      <c r="B270" s="288" t="s">
        <v>14</v>
      </c>
      <c r="C270" s="291" cm="1">
        <f t="array" ref="C270">SUM(_xlfn._xlws.FILTER(CLIENTES!$F271:$K271,(CLIENTES!$F$9:$K$9=$A$1),0))</f>
        <v>1062120.699233097</v>
      </c>
      <c r="E270" s="338"/>
      <c r="F270" s="288" t="s">
        <v>14</v>
      </c>
      <c r="G270" s="291" cm="1">
        <f t="array" ref="G270">SUM(_xlfn._xlws.FILTER(CLIENTES!$F271:$K271,(CLIENTES!$F$9:$K$9=$E$1),0))</f>
        <v>-186.33696477773628</v>
      </c>
    </row>
    <row r="271" spans="1:7" hidden="1" x14ac:dyDescent="0.2">
      <c r="A271" s="338"/>
      <c r="B271" s="288" t="s">
        <v>10</v>
      </c>
      <c r="C271" s="304" cm="1">
        <f t="array" ref="C271">SUM(_xlfn._xlws.FILTER(CLIENTES!$F272:$K272,(CLIENTES!$F$9:$K$9=$A$1),0))</f>
        <v>1.72E-2</v>
      </c>
      <c r="E271" s="338"/>
      <c r="F271" s="288" t="s">
        <v>10</v>
      </c>
      <c r="G271" s="304" cm="1">
        <f t="array" ref="G271">SUM(_xlfn._xlws.FILTER(CLIENTES!$F272:$K272,(CLIENTES!$F$9:$K$9=$E$1),0))</f>
        <v>8.6E-3</v>
      </c>
    </row>
    <row r="272" spans="1:7" hidden="1" x14ac:dyDescent="0.2">
      <c r="A272" s="338"/>
      <c r="B272" s="288" t="s">
        <v>12</v>
      </c>
      <c r="C272" s="291" cm="1">
        <f t="array" ref="C272">SUM(_xlfn._xlws.FILTER(CLIENTES!$F273:$K273,(CLIENTES!$F$9:$K$9=$A$1),0))</f>
        <v>9134.2380134046343</v>
      </c>
      <c r="E272" s="338"/>
      <c r="F272" s="288" t="s">
        <v>12</v>
      </c>
      <c r="G272" s="291" cm="1">
        <f t="array" ref="G272">SUM(_xlfn._xlws.FILTER(CLIENTES!$F273:$K273,(CLIENTES!$F$9:$K$9=$E$1),0))</f>
        <v>-1.602497897088532</v>
      </c>
    </row>
    <row r="273" spans="1:7" hidden="1" x14ac:dyDescent="0.2">
      <c r="A273" s="339"/>
      <c r="B273" s="288" t="s">
        <v>11</v>
      </c>
      <c r="C273" s="291" cm="1">
        <f t="array" ref="C273">SUM(_xlfn._xlws.FILTER(CLIENTES!$F274:$K274,(CLIENTES!$F$9:$K$9=$A$1),0))</f>
        <v>1071254.9372465014</v>
      </c>
      <c r="E273" s="339"/>
      <c r="F273" s="288" t="s">
        <v>11</v>
      </c>
      <c r="G273" s="291" cm="1">
        <f t="array" ref="G273">SUM(_xlfn._xlws.FILTER(CLIENTES!$F274:$K274,(CLIENTES!$F$9:$K$9=$E$1),0))</f>
        <v>-187.93946267482482</v>
      </c>
    </row>
  </sheetData>
  <mergeCells count="70">
    <mergeCell ref="A250:A257"/>
    <mergeCell ref="E250:E257"/>
    <mergeCell ref="A258:A265"/>
    <mergeCell ref="E258:E265"/>
    <mergeCell ref="A266:A273"/>
    <mergeCell ref="E266:E273"/>
    <mergeCell ref="A226:A233"/>
    <mergeCell ref="E226:E233"/>
    <mergeCell ref="A234:A241"/>
    <mergeCell ref="E234:E241"/>
    <mergeCell ref="A242:A249"/>
    <mergeCell ref="E242:E249"/>
    <mergeCell ref="A202:A209"/>
    <mergeCell ref="E202:E209"/>
    <mergeCell ref="A210:A217"/>
    <mergeCell ref="E210:E217"/>
    <mergeCell ref="A218:A225"/>
    <mergeCell ref="E218:E225"/>
    <mergeCell ref="A178:A185"/>
    <mergeCell ref="E178:E185"/>
    <mergeCell ref="A186:A193"/>
    <mergeCell ref="E186:E193"/>
    <mergeCell ref="A194:A201"/>
    <mergeCell ref="E194:E201"/>
    <mergeCell ref="A154:A161"/>
    <mergeCell ref="E154:E161"/>
    <mergeCell ref="A162:A169"/>
    <mergeCell ref="E162:E169"/>
    <mergeCell ref="A170:A177"/>
    <mergeCell ref="E170:E177"/>
    <mergeCell ref="A130:A137"/>
    <mergeCell ref="E130:E137"/>
    <mergeCell ref="A138:A145"/>
    <mergeCell ref="E138:E145"/>
    <mergeCell ref="A146:A153"/>
    <mergeCell ref="E146:E153"/>
    <mergeCell ref="A106:A113"/>
    <mergeCell ref="E106:E113"/>
    <mergeCell ref="A114:A121"/>
    <mergeCell ref="E114:E121"/>
    <mergeCell ref="A122:A129"/>
    <mergeCell ref="E122:E129"/>
    <mergeCell ref="A82:A89"/>
    <mergeCell ref="E82:E89"/>
    <mergeCell ref="A90:A97"/>
    <mergeCell ref="E90:E97"/>
    <mergeCell ref="A98:A105"/>
    <mergeCell ref="E98:E105"/>
    <mergeCell ref="A58:A65"/>
    <mergeCell ref="E58:E65"/>
    <mergeCell ref="A66:A73"/>
    <mergeCell ref="E66:E73"/>
    <mergeCell ref="A74:A81"/>
    <mergeCell ref="E74:E81"/>
    <mergeCell ref="A1:C1"/>
    <mergeCell ref="E1:G1"/>
    <mergeCell ref="A50:A57"/>
    <mergeCell ref="E50:E57"/>
    <mergeCell ref="A18:A25"/>
    <mergeCell ref="E18:E25"/>
    <mergeCell ref="A2:A9"/>
    <mergeCell ref="A10:A17"/>
    <mergeCell ref="E10:E17"/>
    <mergeCell ref="E2:E9"/>
    <mergeCell ref="A26:A33"/>
    <mergeCell ref="E26:E33"/>
    <mergeCell ref="A34:A41"/>
    <mergeCell ref="E34:E41"/>
    <mergeCell ref="A42:A49"/>
    <mergeCell ref="E42:E4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6" tint="0.59999389629810485"/>
  </sheetPr>
  <dimension ref="B2:D5"/>
  <sheetViews>
    <sheetView showGridLines="0" workbookViewId="0">
      <selection activeCell="B3" sqref="B3:B4"/>
    </sheetView>
  </sheetViews>
  <sheetFormatPr defaultRowHeight="12.75" x14ac:dyDescent="0.2"/>
  <cols>
    <col min="2" max="2" width="19.7109375" bestFit="1" customWidth="1"/>
    <col min="3" max="3" width="3.5703125" customWidth="1"/>
    <col min="4" max="4" width="16.42578125" customWidth="1"/>
  </cols>
  <sheetData>
    <row r="2" spans="2:4" ht="13.5" thickBot="1" x14ac:dyDescent="0.25">
      <c r="B2" s="130"/>
      <c r="C2" s="97"/>
    </row>
    <row r="3" spans="2:4" ht="18.75" customHeight="1" x14ac:dyDescent="0.2">
      <c r="B3" s="341"/>
      <c r="C3" s="97"/>
      <c r="D3" s="341"/>
    </row>
    <row r="4" spans="2:4" ht="18.75" customHeight="1" thickBot="1" x14ac:dyDescent="0.25">
      <c r="B4" s="342"/>
      <c r="C4" s="97"/>
      <c r="D4" s="342"/>
    </row>
    <row r="5" spans="2:4" x14ac:dyDescent="0.2">
      <c r="B5" s="130"/>
      <c r="C5" s="97"/>
      <c r="D5" s="130"/>
    </row>
  </sheetData>
  <mergeCells count="2">
    <mergeCell ref="B3:B4"/>
    <mergeCell ref="D3:D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C5:G30"/>
  <sheetViews>
    <sheetView workbookViewId="0">
      <selection activeCell="C5" sqref="C5"/>
    </sheetView>
  </sheetViews>
  <sheetFormatPr defaultRowHeight="12.75" x14ac:dyDescent="0.2"/>
  <cols>
    <col min="7" max="7" width="10.140625" bestFit="1" customWidth="1"/>
  </cols>
  <sheetData>
    <row r="5" spans="3:6" x14ac:dyDescent="0.2">
      <c r="C5" s="233" t="s">
        <v>166</v>
      </c>
      <c r="D5" s="234">
        <v>1.2800000000000001E-2</v>
      </c>
      <c r="E5" s="235" t="s">
        <v>167</v>
      </c>
      <c r="F5" s="343">
        <v>2021</v>
      </c>
    </row>
    <row r="6" spans="3:6" x14ac:dyDescent="0.2">
      <c r="C6" s="233" t="s">
        <v>168</v>
      </c>
      <c r="D6" s="234">
        <v>7.0000000000000001E-3</v>
      </c>
      <c r="E6" s="235" t="s">
        <v>169</v>
      </c>
      <c r="F6" s="344"/>
    </row>
    <row r="7" spans="3:6" x14ac:dyDescent="0.2">
      <c r="C7" s="233" t="s">
        <v>167</v>
      </c>
      <c r="D7" s="234">
        <v>8.8999999999999999E-3</v>
      </c>
      <c r="E7" s="235" t="s">
        <v>170</v>
      </c>
      <c r="F7" s="344"/>
    </row>
    <row r="8" spans="3:6" x14ac:dyDescent="0.2">
      <c r="C8" s="233" t="s">
        <v>169</v>
      </c>
      <c r="D8" s="234">
        <v>1.89E-2</v>
      </c>
      <c r="E8" s="235" t="s">
        <v>171</v>
      </c>
      <c r="F8" s="344"/>
    </row>
    <row r="9" spans="3:6" x14ac:dyDescent="0.2">
      <c r="C9" s="233" t="s">
        <v>170</v>
      </c>
      <c r="D9" s="234">
        <v>1.2999999999999999E-2</v>
      </c>
      <c r="E9" s="235" t="s">
        <v>172</v>
      </c>
      <c r="F9" s="344"/>
    </row>
    <row r="10" spans="3:6" x14ac:dyDescent="0.2">
      <c r="C10" s="233" t="s">
        <v>171</v>
      </c>
      <c r="D10" s="234">
        <v>8.9999999999999993E-3</v>
      </c>
      <c r="E10" s="235" t="s">
        <v>173</v>
      </c>
      <c r="F10" s="344"/>
    </row>
    <row r="11" spans="3:6" x14ac:dyDescent="0.2">
      <c r="C11" s="233" t="s">
        <v>172</v>
      </c>
      <c r="D11" s="234">
        <v>2.2200000000000001E-2</v>
      </c>
      <c r="E11" s="235" t="s">
        <v>174</v>
      </c>
      <c r="F11" s="344"/>
    </row>
    <row r="12" spans="3:6" x14ac:dyDescent="0.2">
      <c r="C12" s="233" t="s">
        <v>173</v>
      </c>
      <c r="D12" s="234">
        <v>2.1600000000000001E-2</v>
      </c>
      <c r="E12" s="235" t="s">
        <v>175</v>
      </c>
      <c r="F12" s="344"/>
    </row>
    <row r="13" spans="3:6" x14ac:dyDescent="0.2">
      <c r="C13" s="233" t="s">
        <v>174</v>
      </c>
      <c r="D13" s="234">
        <v>8.5000000000000006E-3</v>
      </c>
      <c r="E13" s="235" t="s">
        <v>176</v>
      </c>
      <c r="F13" s="344"/>
    </row>
    <row r="14" spans="3:6" x14ac:dyDescent="0.2">
      <c r="C14" s="233" t="s">
        <v>175</v>
      </c>
      <c r="D14" s="234">
        <v>4.5999999999999999E-3</v>
      </c>
      <c r="E14" s="235" t="s">
        <v>177</v>
      </c>
      <c r="F14" s="344"/>
    </row>
    <row r="15" spans="3:6" x14ac:dyDescent="0.2">
      <c r="C15" s="233" t="s">
        <v>176</v>
      </c>
      <c r="D15" s="234">
        <v>5.1000000000000004E-3</v>
      </c>
      <c r="E15" s="235" t="s">
        <v>166</v>
      </c>
      <c r="F15" s="344"/>
    </row>
    <row r="16" spans="3:6" x14ac:dyDescent="0.2">
      <c r="C16" s="233" t="s">
        <v>177</v>
      </c>
      <c r="D16" s="234">
        <v>8.6E-3</v>
      </c>
      <c r="E16" s="235" t="s">
        <v>168</v>
      </c>
      <c r="F16" s="344"/>
    </row>
    <row r="17" spans="3:7" x14ac:dyDescent="0.2">
      <c r="C17" s="233" t="s">
        <v>166</v>
      </c>
      <c r="D17" s="234">
        <v>6.7000000000000002E-3</v>
      </c>
      <c r="E17" s="235" t="s">
        <v>167</v>
      </c>
      <c r="F17" s="344"/>
    </row>
    <row r="18" spans="3:7" x14ac:dyDescent="0.2">
      <c r="C18" s="236" t="s">
        <v>168</v>
      </c>
      <c r="D18" s="237">
        <v>3.5000000000000001E-3</v>
      </c>
      <c r="E18" s="238" t="s">
        <v>169</v>
      </c>
      <c r="F18" s="345"/>
    </row>
    <row r="30" spans="3:7" x14ac:dyDescent="0.2">
      <c r="G30" s="265"/>
    </row>
  </sheetData>
  <mergeCells count="1">
    <mergeCell ref="F5:F18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02D4323-1DCB-4562-A860-50CEA7593AAE}">
  <ds:schemaRefs/>
</ds:datastoreItem>
</file>

<file path=customXml/itemProps2.xml><?xml version="1.0" encoding="utf-8"?>
<ds:datastoreItem xmlns:ds="http://schemas.openxmlformats.org/officeDocument/2006/customXml" ds:itemID="{317EC400-0CCF-4A65-9DF3-DCB7199AACC7}">
  <ds:schemaRefs/>
</ds:datastoreItem>
</file>

<file path=customXml/itemProps3.xml><?xml version="1.0" encoding="utf-8"?>
<ds:datastoreItem xmlns:ds="http://schemas.openxmlformats.org/officeDocument/2006/customXml" ds:itemID="{990C31F5-DB3F-4BA0-A60F-0A6C5B702B02}">
  <ds:schemaRefs/>
</ds:datastoreItem>
</file>

<file path=customXml/itemProps4.xml><?xml version="1.0" encoding="utf-8"?>
<ds:datastoreItem xmlns:ds="http://schemas.openxmlformats.org/officeDocument/2006/customXml" ds:itemID="{C232D572-117B-4879-A30C-7179A0DF668E}">
  <ds:schemaRefs/>
</ds:datastoreItem>
</file>

<file path=customXml/itemProps5.xml><?xml version="1.0" encoding="utf-8"?>
<ds:datastoreItem xmlns:ds="http://schemas.openxmlformats.org/officeDocument/2006/customXml" ds:itemID="{C91CACA6-ECEA-4A69-A2FC-9F005178D424}">
  <ds:schemaRefs/>
</ds:datastoreItem>
</file>

<file path=customXml/itemProps6.xml><?xml version="1.0" encoding="utf-8"?>
<ds:datastoreItem xmlns:ds="http://schemas.openxmlformats.org/officeDocument/2006/customXml" ds:itemID="{55F6F7A3-FCF6-4250-8228-E1455A7088F4}">
  <ds:schemaRefs/>
</ds:datastoreItem>
</file>

<file path=customXml/itemProps7.xml><?xml version="1.0" encoding="utf-8"?>
<ds:datastoreItem xmlns:ds="http://schemas.openxmlformats.org/officeDocument/2006/customXml" ds:itemID="{B238FD1A-53AE-4F0F-BE0F-3E14399BA0F2}">
  <ds:schemaRefs/>
</ds:datastoreItem>
</file>

<file path=customXml/itemProps8.xml><?xml version="1.0" encoding="utf-8"?>
<ds:datastoreItem xmlns:ds="http://schemas.openxmlformats.org/officeDocument/2006/customXml" ds:itemID="{B45CE619-D43D-4FF8-9560-8556931219FD}">
  <ds:schemaRefs/>
</ds:datastoreItem>
</file>

<file path=customXml/itemProps9.xml><?xml version="1.0" encoding="utf-8"?>
<ds:datastoreItem xmlns:ds="http://schemas.openxmlformats.org/officeDocument/2006/customXml" ds:itemID="{B22F4985-FC43-4ADB-89F7-F44C57CD28F2}">
  <ds:schemaRefs/>
</ds:datastoreItem>
</file>

<file path=customXml/itemProps10.xml><?xml version="1.0" encoding="utf-8"?>
<ds:datastoreItem xmlns:ds="http://schemas.openxmlformats.org/officeDocument/2006/customXml" ds:itemID="{97BBDD3B-C788-44FB-8FAA-C08604261A63}">
  <ds:schemaRefs/>
</ds:datastoreItem>
</file>

<file path=customXml/itemProps11.xml><?xml version="1.0" encoding="utf-8"?>
<ds:datastoreItem xmlns:ds="http://schemas.openxmlformats.org/officeDocument/2006/customXml" ds:itemID="{56621549-9645-46DC-B38C-396C709377F9}">
  <ds:schemaRefs/>
</ds:datastoreItem>
</file>

<file path=customXml/itemProps12.xml><?xml version="1.0" encoding="utf-8"?>
<ds:datastoreItem xmlns:ds="http://schemas.openxmlformats.org/officeDocument/2006/customXml" ds:itemID="{C5A364DA-F4B6-4BD9-903F-24B81822A950}">
  <ds:schemaRefs/>
</ds:datastoreItem>
</file>

<file path=customXml/itemProps13.xml><?xml version="1.0" encoding="utf-8"?>
<ds:datastoreItem xmlns:ds="http://schemas.openxmlformats.org/officeDocument/2006/customXml" ds:itemID="{5C83A99C-CCD1-48FF-9144-4FFC5A047918}">
  <ds:schemaRefs/>
</ds:datastoreItem>
</file>

<file path=customXml/itemProps14.xml><?xml version="1.0" encoding="utf-8"?>
<ds:datastoreItem xmlns:ds="http://schemas.openxmlformats.org/officeDocument/2006/customXml" ds:itemID="{BED26BCE-F2A4-4268-9D9A-48F5CA6B3D1B}">
  <ds:schemaRefs/>
</ds:datastoreItem>
</file>

<file path=customXml/itemProps15.xml><?xml version="1.0" encoding="utf-8"?>
<ds:datastoreItem xmlns:ds="http://schemas.openxmlformats.org/officeDocument/2006/customXml" ds:itemID="{85513B80-C399-432D-B9C8-5BB840BE69DC}">
  <ds:schemaRefs/>
</ds:datastoreItem>
</file>

<file path=customXml/itemProps16.xml><?xml version="1.0" encoding="utf-8"?>
<ds:datastoreItem xmlns:ds="http://schemas.openxmlformats.org/officeDocument/2006/customXml" ds:itemID="{355FF221-ED2C-4990-9840-8A4DD2DE77EE}">
  <ds:schemaRefs/>
</ds:datastoreItem>
</file>

<file path=customXml/itemProps17.xml><?xml version="1.0" encoding="utf-8"?>
<ds:datastoreItem xmlns:ds="http://schemas.openxmlformats.org/officeDocument/2006/customXml" ds:itemID="{78429AEA-BE7E-490D-96A0-214071F377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ESTOQUE </vt:lpstr>
      <vt:lpstr>CUSTOS REALIZADOS</vt:lpstr>
      <vt:lpstr>CLIENTES</vt:lpstr>
      <vt:lpstr>VALORES A CONTABILIZAR </vt:lpstr>
      <vt:lpstr>RESUMO</vt:lpstr>
      <vt:lpstr>DISTRATOS</vt:lpstr>
      <vt:lpstr>INCC</vt:lpstr>
      <vt:lpstr>CLIENTES!Area_de_impressao</vt:lpstr>
      <vt:lpstr>'VALORES A CONTABILIZAR '!Area_de_impressao</vt:lpstr>
      <vt:lpstr>CLIENTES!Titulos_de_impressao</vt:lpstr>
      <vt:lpstr>'VALORES A CONTABILIZAR '!Titulos_de_impressao</vt:lpstr>
    </vt:vector>
  </TitlesOfParts>
  <Company>----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Fijos</dc:creator>
  <cp:lastModifiedBy>Rafael Fijos</cp:lastModifiedBy>
  <cp:lastPrinted>2021-09-30T18:54:24Z</cp:lastPrinted>
  <dcterms:created xsi:type="dcterms:W3CDTF">2005-12-05T14:09:34Z</dcterms:created>
  <dcterms:modified xsi:type="dcterms:W3CDTF">2023-11-27T12:26:42Z</dcterms:modified>
</cp:coreProperties>
</file>